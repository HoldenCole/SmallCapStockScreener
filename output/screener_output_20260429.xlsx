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drawings/drawing5.xml" ContentType="application/vnd.openxmlformats-officedocument.drawing+xml"/>
  <Override PartName="/xl/worksheets/sheet9.xml" ContentType="application/vnd.openxmlformats-officedocument.spreadsheetml.worksheet+xml"/>
  <Override PartName="/xl/drawings/drawing6.xml" ContentType="application/vnd.openxmlformats-officedocument.drawing+xml"/>
  <Override PartName="/xl/worksheets/sheet10.xml" ContentType="application/vnd.openxmlformats-officedocument.spreadsheetml.worksheet+xml"/>
  <Override PartName="/xl/drawings/drawing7.xml" ContentType="application/vnd.openxmlformats-officedocument.drawing+xml"/>
  <Override PartName="/xl/worksheets/sheet11.xml" ContentType="application/vnd.openxmlformats-officedocument.spreadsheetml.worksheet+xml"/>
  <Override PartName="/xl/worksheets/sheet12.xml" ContentType="application/vnd.openxmlformats-officedocument.spreadsheetml.worksheet+xml"/>
  <Override PartName="/xl/drawings/drawing8.xml" ContentType="application/vnd.openxmlformats-officedocument.drawing+xml"/>
  <Override PartName="/xl/worksheets/sheet13.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charts/chart7.xml" ContentType="application/vnd.openxmlformats-officedocument.drawingml.chart+xml"/>
  <Override PartName="/xl/charts/chart8.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ashboard" sheetId="1" state="visible" r:id="rId1"/>
    <sheet name="Nano Cap" sheetId="2" state="visible" r:id="rId2"/>
    <sheet name="Small Cap" sheetId="3" state="visible" r:id="rId3"/>
    <sheet name="Breakout" sheetId="4" state="visible" r:id="rId4"/>
    <sheet name="Descriptions" sheetId="5" state="visible" r:id="rId5"/>
    <sheet name="Competitive Moats" sheetId="6" state="visible" r:id="rId6"/>
    <sheet name="Standouts" sheetId="7" state="visible" r:id="rId7"/>
    <sheet name="Recommendations" sheetId="8" state="visible" r:id="rId8"/>
    <sheet name="Portfolio Construction" sheetId="9" state="visible" r:id="rId9"/>
    <sheet name="Sensitivity Analysis" sheetId="10" state="visible" r:id="rId10"/>
    <sheet name="Revenue Trends" sheetId="11" state="visible" r:id="rId11"/>
    <sheet name="Fingerprint Reference" sheetId="12" state="visible" r:id="rId12"/>
    <sheet name="Methodology" sheetId="13" state="visible" r:id="rId13"/>
  </sheets>
  <definedNames>
    <definedName name="_xlnm._FilterDatabase" localSheetId="4" hidden="1">'Descriptions'!$A$4:$F$34</definedName>
    <definedName name="_xlnm._FilterDatabase" localSheetId="5" hidden="1">'Competitive Moats'!$A$4:$G$34</definedName>
  </definedNames>
  <calcPr calcId="124519" fullCalcOnLoad="1"/>
</workbook>
</file>

<file path=xl/styles.xml><?xml version="1.0" encoding="utf-8"?>
<styleSheet xmlns="http://schemas.openxmlformats.org/spreadsheetml/2006/main">
  <numFmts count="6">
    <numFmt numFmtId="164" formatCode="$#,##0"/>
    <numFmt numFmtId="165" formatCode="0.0"/>
    <numFmt numFmtId="166" formatCode="$#,##0.00"/>
    <numFmt numFmtId="167" formatCode="0.0%"/>
    <numFmt numFmtId="168" formatCode="0.0x"/>
    <numFmt numFmtId="169" formatCode="$#,##0.0"/>
  </numFmts>
  <fonts count="20">
    <font>
      <name val="Calibri"/>
      <family val="2"/>
      <color theme="1"/>
      <sz val="11"/>
      <scheme val="minor"/>
    </font>
    <font>
      <name val="Arial"/>
      <b val="1"/>
      <color rgb="00C9A84C"/>
      <sz val="18"/>
    </font>
    <font>
      <name val="Arial"/>
      <color rgb="00FFFFFF"/>
      <sz val="11"/>
    </font>
    <font>
      <name val="Arial"/>
      <color rgb="006B7280"/>
      <sz val="9"/>
    </font>
    <font>
      <name val="Arial"/>
      <color rgb="00FFFFFF"/>
      <sz val="9"/>
    </font>
    <font>
      <name val="Arial"/>
      <b val="1"/>
      <color rgb="00C9A84C"/>
      <sz val="16"/>
    </font>
    <font>
      <name val="Arial"/>
      <b val="1"/>
      <color rgb="00C9A84C"/>
      <sz val="11"/>
    </font>
    <font>
      <name val="Arial"/>
      <b val="1"/>
      <color rgb="00FFFFFF"/>
      <sz val="10"/>
    </font>
    <font>
      <name val="Arial"/>
      <b val="1"/>
      <color rgb="004FC3F7"/>
      <sz val="10"/>
    </font>
    <font>
      <name val="Arial"/>
      <color rgb="000D1B2A"/>
      <sz val="10"/>
    </font>
    <font>
      <name val="Arial"/>
      <b val="1"/>
      <color rgb="000D1B2A"/>
      <sz val="10"/>
    </font>
    <font>
      <name val="Arial"/>
      <b val="1"/>
      <color rgb="00FFFFFF"/>
      <sz val="13"/>
    </font>
    <font>
      <name val="Arial"/>
      <color rgb="000000FF"/>
      <sz val="10"/>
    </font>
    <font>
      <name val="Arial"/>
      <color rgb="00000000"/>
      <sz val="10"/>
    </font>
    <font>
      <name val="Arial"/>
      <b val="1"/>
      <color rgb="00C9A84C"/>
      <sz val="10"/>
    </font>
    <font>
      <name val="Arial"/>
      <b val="1"/>
      <color rgb="002A9D8F"/>
      <sz val="10"/>
    </font>
    <font>
      <name val="Arial"/>
      <i val="1"/>
      <color rgb="006B7280"/>
      <sz val="9"/>
    </font>
    <font>
      <name val="Arial"/>
      <b val="1"/>
      <color rgb="00FFFFFF"/>
      <sz val="11"/>
    </font>
    <font>
      <name val="Arial"/>
      <color rgb="001A6B3C"/>
      <sz val="10"/>
    </font>
    <font>
      <name val="Arial"/>
      <color rgb="00F9C74F"/>
      <sz val="10"/>
    </font>
  </fonts>
  <fills count="19">
    <fill>
      <patternFill/>
    </fill>
    <fill>
      <patternFill patternType="gray125"/>
    </fill>
    <fill>
      <patternFill patternType="solid">
        <fgColor rgb="000D1B2A"/>
      </patternFill>
    </fill>
    <fill>
      <patternFill patternType="solid">
        <fgColor rgb="001B2A3B"/>
      </patternFill>
    </fill>
    <fill>
      <patternFill patternType="solid">
        <fgColor rgb="002E3B4E"/>
      </patternFill>
    </fill>
    <fill>
      <patternFill patternType="solid">
        <fgColor rgb="00F7F9FC"/>
      </patternFill>
    </fill>
    <fill>
      <patternFill patternType="solid">
        <fgColor rgb="001A6B3C"/>
      </patternFill>
    </fill>
    <fill>
      <patternFill patternType="solid">
        <fgColor rgb="002A9D8F"/>
      </patternFill>
    </fill>
    <fill>
      <patternFill patternType="solid">
        <fgColor rgb="00FFFFFF"/>
      </patternFill>
    </fill>
    <fill>
      <patternFill patternType="solid">
        <fgColor rgb="004FC3F7"/>
      </patternFill>
    </fill>
    <fill>
      <patternFill patternType="solid">
        <fgColor rgb="00F9C74F"/>
      </patternFill>
    </fill>
    <fill>
      <patternFill patternType="solid">
        <fgColor rgb="00F4E4B0"/>
      </patternFill>
    </fill>
    <fill>
      <patternFill patternType="solid">
        <fgColor rgb="00B5D8B0"/>
      </patternFill>
    </fill>
    <fill>
      <patternFill patternType="solid">
        <fgColor rgb="00E0F0ED"/>
      </patternFill>
    </fill>
    <fill>
      <patternFill patternType="solid">
        <fgColor rgb="00E8EDF2"/>
      </patternFill>
    </fill>
    <fill>
      <patternFill patternType="solid">
        <fgColor rgb="00EDE8F0"/>
      </patternFill>
    </fill>
    <fill>
      <patternFill patternType="solid">
        <fgColor rgb="00FFF8E1"/>
      </patternFill>
    </fill>
    <fill>
      <patternFill patternType="solid">
        <fgColor rgb="00E8F5E9"/>
      </patternFill>
    </fill>
    <fill>
      <patternFill patternType="solid">
        <fgColor rgb="00FBE9E7"/>
      </patternFill>
    </fill>
  </fills>
  <borders count="19">
    <border>
      <left/>
      <right/>
      <top/>
      <bottom/>
      <diagonal/>
    </border>
    <border>
      <left style="medium">
        <color rgb="000D1B2A"/>
      </left>
      <right style="medium">
        <color rgb="000D1B2A"/>
      </right>
      <top style="medium">
        <color rgb="000D1B2A"/>
      </top>
      <bottom style="medium">
        <color rgb="000D1B2A"/>
      </bottom>
    </border>
    <border>
      <left/>
      <right/>
      <top style="medium">
        <color rgb="000D1B2A"/>
      </top>
      <bottom/>
      <diagonal/>
    </border>
    <border>
      <left style="medium">
        <color rgb="000D1B2A"/>
      </left>
      <right/>
      <top/>
      <bottom/>
      <diagonal/>
    </border>
    <border>
      <left/>
      <right style="medium">
        <color rgb="000D1B2A"/>
      </right>
      <top style="medium">
        <color rgb="000D1B2A"/>
      </top>
      <bottom/>
      <diagonal/>
    </border>
    <border>
      <left/>
      <right style="medium">
        <color rgb="000D1B2A"/>
      </right>
      <top/>
      <bottom/>
      <diagonal/>
    </border>
    <border>
      <left style="medium">
        <color rgb="000D1B2A"/>
      </left>
      <right/>
      <top/>
      <bottom style="medium">
        <color rgb="000D1B2A"/>
      </bottom>
      <diagonal/>
    </border>
    <border>
      <left/>
      <right/>
      <top/>
      <bottom style="medium">
        <color rgb="000D1B2A"/>
      </bottom>
      <diagonal/>
    </border>
    <border>
      <left/>
      <right style="medium">
        <color rgb="000D1B2A"/>
      </right>
      <top/>
      <bottom style="medium">
        <color rgb="000D1B2A"/>
      </bottom>
      <diagonal/>
    </border>
    <border>
      <left/>
      <right/>
      <top style="medium">
        <color rgb="000D1B2A"/>
      </top>
      <bottom style="medium">
        <color rgb="000D1B2A"/>
      </bottom>
      <diagonal/>
    </border>
    <border>
      <left/>
      <right style="medium">
        <color rgb="000D1B2A"/>
      </right>
      <top style="medium">
        <color rgb="000D1B2A"/>
      </top>
      <bottom style="medium">
        <color rgb="000D1B2A"/>
      </bottom>
      <diagonal/>
    </border>
    <border>
      <top style="medium">
        <color rgb="00C9A84C"/>
      </top>
    </border>
    <border>
      <bottom style="medium">
        <color rgb="00C9A84C"/>
      </bottom>
    </border>
    <border>
      <left style="thin">
        <color rgb="002E3B4E"/>
      </left>
      <right style="thin">
        <color rgb="002E3B4E"/>
      </right>
      <top style="thin">
        <color rgb="002E3B4E"/>
      </top>
      <bottom style="thin">
        <color rgb="002E3B4E"/>
      </bottom>
    </border>
    <border>
      <left style="medium">
        <color rgb="00C9A84C"/>
      </left>
      <bottom style="medium">
        <color rgb="00C9A84C"/>
      </bottom>
    </border>
    <border>
      <right style="medium">
        <color rgb="00C9A84C"/>
      </right>
      <bottom style="medium">
        <color rgb="00C9A84C"/>
      </bottom>
    </border>
    <border>
      <left style="medium">
        <color rgb="00C9A84C"/>
      </left>
      <right style="thin">
        <color rgb="002E3B4E"/>
      </right>
      <top style="thin">
        <color rgb="002E3B4E"/>
      </top>
      <bottom style="thin">
        <color rgb="002E3B4E"/>
      </bottom>
    </border>
    <border>
      <left style="thin">
        <color rgb="002E3B4E"/>
      </left>
      <right style="medium">
        <color rgb="00C9A84C"/>
      </right>
      <top style="thin">
        <color rgb="002E3B4E"/>
      </top>
      <bottom style="thin">
        <color rgb="002E3B4E"/>
      </bottom>
    </border>
    <border>
      <left style="medium">
        <color rgb="00C9A84C"/>
      </left>
      <right style="medium">
        <color rgb="00C9A84C"/>
      </right>
      <top style="medium">
        <color rgb="00C9A84C"/>
      </top>
      <bottom style="medium">
        <color rgb="00C9A84C"/>
      </bottom>
    </border>
  </borders>
  <cellStyleXfs count="1">
    <xf numFmtId="0" fontId="0" fillId="0" borderId="0"/>
  </cellStyleXfs>
  <cellXfs count="105">
    <xf numFmtId="0" fontId="0" fillId="0" borderId="0" pivotButton="0" quotePrefix="0" xfId="0"/>
    <xf numFmtId="0" fontId="1" fillId="2" borderId="1" applyAlignment="1" pivotButton="0" quotePrefix="0" xfId="0">
      <alignment horizontal="center" vertical="center" wrapText="1"/>
    </xf>
    <xf numFmtId="0" fontId="0" fillId="0" borderId="2" pivotButton="0" quotePrefix="0" xfId="0"/>
    <xf numFmtId="0" fontId="0" fillId="0" borderId="4" pivotButton="0" quotePrefix="0" xfId="0"/>
    <xf numFmtId="0" fontId="0" fillId="0" borderId="6" pivotButton="0" quotePrefix="0" xfId="0"/>
    <xf numFmtId="0" fontId="0" fillId="0" borderId="7" pivotButton="0" quotePrefix="0" xfId="0"/>
    <xf numFmtId="0" fontId="0" fillId="0" borderId="8" pivotButton="0" quotePrefix="0" xfId="0"/>
    <xf numFmtId="0" fontId="2" fillId="2" borderId="1" applyAlignment="1" pivotButton="0" quotePrefix="0" xfId="0">
      <alignment horizontal="center" vertical="center" wrapText="1"/>
    </xf>
    <xf numFmtId="0" fontId="0" fillId="0" borderId="9" pivotButton="0" quotePrefix="0" xfId="0"/>
    <xf numFmtId="0" fontId="0" fillId="0" borderId="10" pivotButton="0" quotePrefix="0" xfId="0"/>
    <xf numFmtId="0" fontId="3" fillId="2" borderId="1" applyAlignment="1" pivotButton="0" quotePrefix="0" xfId="0">
      <alignment horizontal="right" vertical="center"/>
    </xf>
    <xf numFmtId="0" fontId="0" fillId="2" borderId="1" pivotButton="0" quotePrefix="0" xfId="0"/>
    <xf numFmtId="0" fontId="0" fillId="2" borderId="0" pivotButton="0" quotePrefix="0" xfId="0"/>
    <xf numFmtId="0" fontId="0" fillId="2" borderId="11" pivotButton="0" quotePrefix="0" xfId="0"/>
    <xf numFmtId="0" fontId="4" fillId="2" borderId="0" applyAlignment="1" pivotButton="0" quotePrefix="0" xfId="0">
      <alignment horizontal="center" vertical="center" wrapText="1"/>
    </xf>
    <xf numFmtId="0" fontId="5" fillId="2" borderId="0" applyAlignment="1" pivotButton="0" quotePrefix="0" xfId="0">
      <alignment horizontal="center" vertical="center" wrapText="1"/>
    </xf>
    <xf numFmtId="0" fontId="6" fillId="3" borderId="12" applyAlignment="1" pivotButton="0" quotePrefix="0" xfId="0">
      <alignment horizontal="left" vertical="center" wrapText="1"/>
    </xf>
    <xf numFmtId="0" fontId="0" fillId="3" borderId="12" pivotButton="0" quotePrefix="0" xfId="0"/>
    <xf numFmtId="0" fontId="7" fillId="4" borderId="13" applyAlignment="1" pivotButton="0" quotePrefix="0" xfId="0">
      <alignment horizontal="center" vertical="center" wrapText="1"/>
    </xf>
    <xf numFmtId="0" fontId="8" fillId="5" borderId="13" applyAlignment="1" pivotButton="0" quotePrefix="0" xfId="0">
      <alignment horizontal="center" vertical="center" wrapText="1"/>
    </xf>
    <xf numFmtId="0" fontId="9" fillId="5" borderId="13" applyAlignment="1" pivotButton="0" quotePrefix="0" xfId="0">
      <alignment horizontal="left" vertical="center" wrapText="1"/>
    </xf>
    <xf numFmtId="164" fontId="9" fillId="5" borderId="13" applyAlignment="1" pivotButton="0" quotePrefix="0" xfId="0">
      <alignment horizontal="center" vertical="center" wrapText="1"/>
    </xf>
    <xf numFmtId="165" fontId="7" fillId="6" borderId="13" applyAlignment="1" pivotButton="0" quotePrefix="0" xfId="0">
      <alignment horizontal="center" vertical="center" wrapText="1"/>
    </xf>
    <xf numFmtId="0" fontId="7" fillId="7" borderId="13" applyAlignment="1" pivotButton="0" quotePrefix="0" xfId="0">
      <alignment horizontal="center" vertical="center" wrapText="1"/>
    </xf>
    <xf numFmtId="0" fontId="10" fillId="9" borderId="13" applyAlignment="1" pivotButton="0" quotePrefix="0" xfId="0">
      <alignment horizontal="center" vertical="center" wrapText="1"/>
    </xf>
    <xf numFmtId="0" fontId="8" fillId="8" borderId="13" applyAlignment="1" pivotButton="0" quotePrefix="0" xfId="0">
      <alignment horizontal="center" vertical="center" wrapText="1"/>
    </xf>
    <xf numFmtId="0" fontId="9" fillId="8" borderId="13" applyAlignment="1" pivotButton="0" quotePrefix="0" xfId="0">
      <alignment horizontal="left" vertical="center" wrapText="1"/>
    </xf>
    <xf numFmtId="164" fontId="9" fillId="8" borderId="13" applyAlignment="1" pivotButton="0" quotePrefix="0" xfId="0">
      <alignment horizontal="center" vertical="center" wrapText="1"/>
    </xf>
    <xf numFmtId="165" fontId="10" fillId="10" borderId="13" applyAlignment="1" pivotButton="0" quotePrefix="0" xfId="0">
      <alignment horizontal="center" vertical="center" wrapText="1"/>
    </xf>
    <xf numFmtId="0" fontId="10" fillId="11" borderId="13" applyAlignment="1" pivotButton="0" quotePrefix="0" xfId="0">
      <alignment horizontal="center" vertical="center" wrapText="1"/>
    </xf>
    <xf numFmtId="0" fontId="9" fillId="0" borderId="0" pivotButton="0" quotePrefix="0" xfId="0"/>
    <xf numFmtId="0" fontId="11" fillId="2" borderId="1" applyAlignment="1" pivotButton="0" quotePrefix="0" xfId="0">
      <alignment horizontal="center" vertical="center" wrapText="1"/>
    </xf>
    <xf numFmtId="0" fontId="2" fillId="2" borderId="0" applyAlignment="1" pivotButton="0" quotePrefix="0" xfId="0">
      <alignment horizontal="center" vertical="center" wrapText="1"/>
    </xf>
    <xf numFmtId="0" fontId="7" fillId="2" borderId="13" applyAlignment="1" pivotButton="0" quotePrefix="0" xfId="0">
      <alignment horizontal="center" vertical="center" wrapText="1"/>
    </xf>
    <xf numFmtId="166" fontId="9" fillId="5" borderId="13" applyAlignment="1" pivotButton="0" quotePrefix="0" xfId="0">
      <alignment horizontal="center" vertical="center" wrapText="1"/>
    </xf>
    <xf numFmtId="167" fontId="9" fillId="5" borderId="13" applyAlignment="1" pivotButton="0" quotePrefix="0" xfId="0">
      <alignment horizontal="center" vertical="center" wrapText="1"/>
    </xf>
    <xf numFmtId="165" fontId="9" fillId="5" borderId="13" applyAlignment="1" pivotButton="0" quotePrefix="0" xfId="0">
      <alignment horizontal="center" vertical="center" wrapText="1"/>
    </xf>
    <xf numFmtId="165" fontId="10" fillId="5" borderId="13" applyAlignment="1" pivotButton="0" quotePrefix="0" xfId="0">
      <alignment horizontal="center" vertical="center" wrapText="1"/>
    </xf>
    <xf numFmtId="165" fontId="10" fillId="11" borderId="13" applyAlignment="1" pivotButton="0" quotePrefix="0" xfId="0">
      <alignment horizontal="center" vertical="center" wrapText="1"/>
    </xf>
    <xf numFmtId="166" fontId="9" fillId="8" borderId="13" applyAlignment="1" pivotButton="0" quotePrefix="0" xfId="0">
      <alignment horizontal="center" vertical="center" wrapText="1"/>
    </xf>
    <xf numFmtId="167" fontId="9" fillId="8" borderId="13" applyAlignment="1" pivotButton="0" quotePrefix="0" xfId="0">
      <alignment horizontal="center" vertical="center" wrapText="1"/>
    </xf>
    <xf numFmtId="165" fontId="9" fillId="8" borderId="13" applyAlignment="1" pivotButton="0" quotePrefix="0" xfId="0">
      <alignment horizontal="center" vertical="center" wrapText="1"/>
    </xf>
    <xf numFmtId="165" fontId="10" fillId="8" borderId="13" applyAlignment="1" pivotButton="0" quotePrefix="0" xfId="0">
      <alignment horizontal="center" vertical="center" wrapText="1"/>
    </xf>
    <xf numFmtId="165" fontId="10" fillId="12" borderId="13" applyAlignment="1" pivotButton="0" quotePrefix="0" xfId="0">
      <alignment horizontal="center" vertical="center" wrapText="1"/>
    </xf>
    <xf numFmtId="0" fontId="9" fillId="13" borderId="13" applyAlignment="1" pivotButton="0" quotePrefix="0" xfId="0">
      <alignment horizontal="left" vertical="center" wrapText="1"/>
    </xf>
    <xf numFmtId="0" fontId="9" fillId="5" borderId="13" applyAlignment="1" pivotButton="0" quotePrefix="0" xfId="0">
      <alignment horizontal="center" vertical="center" wrapText="1"/>
    </xf>
    <xf numFmtId="0" fontId="9" fillId="5" borderId="13" applyAlignment="1" pivotButton="0" quotePrefix="0" xfId="0">
      <alignment horizontal="left" vertical="top" wrapText="1"/>
    </xf>
    <xf numFmtId="0" fontId="9" fillId="14" borderId="13" applyAlignment="1" pivotButton="0" quotePrefix="0" xfId="0">
      <alignment horizontal="left" vertical="center" wrapText="1"/>
    </xf>
    <xf numFmtId="0" fontId="9" fillId="8" borderId="13" applyAlignment="1" pivotButton="0" quotePrefix="0" xfId="0">
      <alignment horizontal="center" vertical="center" wrapText="1"/>
    </xf>
    <xf numFmtId="0" fontId="9" fillId="8" borderId="13" applyAlignment="1" pivotButton="0" quotePrefix="0" xfId="0">
      <alignment horizontal="left" vertical="top" wrapText="1"/>
    </xf>
    <xf numFmtId="0" fontId="9" fillId="15" borderId="13" applyAlignment="1" pivotButton="0" quotePrefix="0" xfId="0">
      <alignment horizontal="left" vertical="center" wrapText="1"/>
    </xf>
    <xf numFmtId="0" fontId="9" fillId="16" borderId="13" applyAlignment="1" pivotButton="0" quotePrefix="0" xfId="0">
      <alignment horizontal="left" vertical="center" wrapText="1"/>
    </xf>
    <xf numFmtId="0" fontId="6" fillId="3" borderId="14" applyAlignment="1" pivotButton="0" quotePrefix="0" xfId="0">
      <alignment horizontal="left" vertical="center" wrapText="1"/>
    </xf>
    <xf numFmtId="0" fontId="0" fillId="3" borderId="15" pivotButton="0" quotePrefix="0" xfId="0"/>
    <xf numFmtId="0" fontId="7" fillId="4" borderId="16" applyAlignment="1" pivotButton="0" quotePrefix="0" xfId="0">
      <alignment horizontal="center" vertical="center" wrapText="1"/>
    </xf>
    <xf numFmtId="0" fontId="7" fillId="4" borderId="17" applyAlignment="1" pivotButton="0" quotePrefix="0" xfId="0">
      <alignment horizontal="center" vertical="center" wrapText="1"/>
    </xf>
    <xf numFmtId="0" fontId="9" fillId="5" borderId="16" applyAlignment="1" pivotButton="0" quotePrefix="0" xfId="0">
      <alignment horizontal="center" vertical="center" wrapText="1"/>
    </xf>
    <xf numFmtId="165" fontId="9" fillId="5" borderId="17" applyAlignment="1" pivotButton="0" quotePrefix="0" xfId="0">
      <alignment horizontal="center" vertical="center" wrapText="1"/>
    </xf>
    <xf numFmtId="0" fontId="9" fillId="8" borderId="16" applyAlignment="1" pivotButton="0" quotePrefix="0" xfId="0">
      <alignment horizontal="center" vertical="center" wrapText="1"/>
    </xf>
    <xf numFmtId="165" fontId="9" fillId="8" borderId="17" applyAlignment="1" pivotButton="0" quotePrefix="0" xfId="0">
      <alignment horizontal="center" vertical="center" wrapText="1"/>
    </xf>
    <xf numFmtId="0" fontId="3" fillId="0" borderId="0" applyAlignment="1" pivotButton="0" quotePrefix="0" xfId="0">
      <alignment horizontal="right" vertical="center"/>
    </xf>
    <xf numFmtId="0" fontId="12" fillId="11" borderId="18" applyAlignment="1" pivotButton="0" quotePrefix="0" xfId="0">
      <alignment horizontal="center" vertical="center" wrapText="1"/>
    </xf>
    <xf numFmtId="0" fontId="9" fillId="17" borderId="13" applyAlignment="1" pivotButton="0" quotePrefix="0" xfId="0">
      <alignment horizontal="left" vertical="top" wrapText="1"/>
    </xf>
    <xf numFmtId="0" fontId="9" fillId="18" borderId="13" applyAlignment="1" pivotButton="0" quotePrefix="0" xfId="0">
      <alignment horizontal="left" vertical="top" wrapText="1"/>
    </xf>
    <xf numFmtId="0" fontId="10" fillId="8" borderId="13" applyAlignment="1" pivotButton="0" quotePrefix="0" xfId="0">
      <alignment horizontal="left" vertical="center" wrapText="1"/>
    </xf>
    <xf numFmtId="164" fontId="12" fillId="11" borderId="18" applyAlignment="1" pivotButton="0" quotePrefix="0" xfId="0">
      <alignment horizontal="center" vertical="center" wrapText="1"/>
    </xf>
    <xf numFmtId="0" fontId="3" fillId="0" borderId="0" applyAlignment="1" pivotButton="0" quotePrefix="0" xfId="0">
      <alignment horizontal="left" vertical="center" wrapText="1"/>
    </xf>
    <xf numFmtId="167" fontId="12" fillId="11" borderId="18" applyAlignment="1" pivotButton="0" quotePrefix="0" xfId="0">
      <alignment horizontal="center" vertical="center" wrapText="1"/>
    </xf>
    <xf numFmtId="168" fontId="12" fillId="11" borderId="18" applyAlignment="1" pivotButton="0" quotePrefix="0" xfId="0">
      <alignment horizontal="center" vertical="center" wrapText="1"/>
    </xf>
    <xf numFmtId="167" fontId="13" fillId="5" borderId="13" applyAlignment="1" pivotButton="0" quotePrefix="0" xfId="0">
      <alignment horizontal="center" vertical="center" wrapText="1"/>
    </xf>
    <xf numFmtId="164" fontId="13" fillId="5" borderId="13" applyAlignment="1" pivotButton="0" quotePrefix="0" xfId="0">
      <alignment horizontal="center" vertical="center" wrapText="1"/>
    </xf>
    <xf numFmtId="3" fontId="9" fillId="5" borderId="13" applyAlignment="1" pivotButton="0" quotePrefix="0" xfId="0">
      <alignment horizontal="center" vertical="center" wrapText="1"/>
    </xf>
    <xf numFmtId="0" fontId="3" fillId="5" borderId="13" applyAlignment="1" pivotButton="0" quotePrefix="0" xfId="0">
      <alignment horizontal="left" vertical="center" wrapText="1"/>
    </xf>
    <xf numFmtId="167" fontId="13" fillId="8" borderId="13" applyAlignment="1" pivotButton="0" quotePrefix="0" xfId="0">
      <alignment horizontal="center" vertical="center" wrapText="1"/>
    </xf>
    <xf numFmtId="164" fontId="13" fillId="8" borderId="13" applyAlignment="1" pivotButton="0" quotePrefix="0" xfId="0">
      <alignment horizontal="center" vertical="center" wrapText="1"/>
    </xf>
    <xf numFmtId="3" fontId="9" fillId="8" borderId="13" applyAlignment="1" pivotButton="0" quotePrefix="0" xfId="0">
      <alignment horizontal="center" vertical="center" wrapText="1"/>
    </xf>
    <xf numFmtId="0" fontId="3" fillId="8" borderId="13" applyAlignment="1" pivotButton="0" quotePrefix="0" xfId="0">
      <alignment horizontal="left" vertical="center" wrapText="1"/>
    </xf>
    <xf numFmtId="0" fontId="10" fillId="3" borderId="13" applyAlignment="1" pivotButton="0" quotePrefix="0" xfId="0">
      <alignment horizontal="left" vertical="center" wrapText="1"/>
    </xf>
    <xf numFmtId="0" fontId="0" fillId="3" borderId="13" pivotButton="0" quotePrefix="0" xfId="0"/>
    <xf numFmtId="167" fontId="14" fillId="3" borderId="13" applyAlignment="1" pivotButton="0" quotePrefix="0" xfId="0">
      <alignment horizontal="center" vertical="center" wrapText="1"/>
    </xf>
    <xf numFmtId="164" fontId="14" fillId="3" borderId="13" applyAlignment="1" pivotButton="0" quotePrefix="0" xfId="0">
      <alignment horizontal="center" vertical="center" wrapText="1"/>
    </xf>
    <xf numFmtId="167" fontId="15" fillId="3" borderId="13" applyAlignment="1" pivotButton="0" quotePrefix="0" xfId="0">
      <alignment horizontal="center" vertical="center" wrapText="1"/>
    </xf>
    <xf numFmtId="164" fontId="15" fillId="3" borderId="13" applyAlignment="1" pivotButton="0" quotePrefix="0" xfId="0">
      <alignment horizontal="center" vertical="center" wrapText="1"/>
    </xf>
    <xf numFmtId="164" fontId="9" fillId="11" borderId="13" applyAlignment="1" pivotButton="0" quotePrefix="0" xfId="0">
      <alignment horizontal="center" vertical="center" wrapText="1"/>
    </xf>
    <xf numFmtId="0" fontId="10" fillId="0" borderId="0" applyAlignment="1" pivotButton="0" quotePrefix="0" xfId="0">
      <alignment horizontal="right" vertical="center"/>
    </xf>
    <xf numFmtId="2" fontId="13" fillId="11" borderId="13" applyAlignment="1" pivotButton="0" quotePrefix="0" xfId="0">
      <alignment horizontal="center" vertical="center" wrapText="1"/>
    </xf>
    <xf numFmtId="2" fontId="13" fillId="5" borderId="13" applyAlignment="1" pivotButton="0" quotePrefix="0" xfId="0">
      <alignment horizontal="center" vertical="center" wrapText="1"/>
    </xf>
    <xf numFmtId="2" fontId="12" fillId="11" borderId="13" applyAlignment="1" pivotButton="0" quotePrefix="0" xfId="0">
      <alignment horizontal="center" vertical="center" wrapText="1"/>
    </xf>
    <xf numFmtId="0" fontId="16" fillId="0" borderId="0" applyAlignment="1" pivotButton="0" quotePrefix="0" xfId="0">
      <alignment horizontal="left" vertical="center" wrapText="1"/>
    </xf>
    <xf numFmtId="2" fontId="9" fillId="5" borderId="13" applyAlignment="1" pivotButton="0" quotePrefix="0" xfId="0">
      <alignment horizontal="center" vertical="center" wrapText="1"/>
    </xf>
    <xf numFmtId="2" fontId="9" fillId="8" borderId="13" applyAlignment="1" pivotButton="0" quotePrefix="0" xfId="0">
      <alignment horizontal="center" vertical="center" wrapText="1"/>
    </xf>
    <xf numFmtId="0" fontId="10" fillId="5" borderId="13" applyAlignment="1" pivotButton="0" quotePrefix="0" xfId="0">
      <alignment horizontal="left" vertical="center" wrapText="1"/>
    </xf>
    <xf numFmtId="0" fontId="3" fillId="5" borderId="13" applyAlignment="1" pivotButton="0" quotePrefix="0" xfId="0">
      <alignment horizontal="center" vertical="center" wrapText="1"/>
    </xf>
    <xf numFmtId="0" fontId="0" fillId="5" borderId="13" pivotButton="0" quotePrefix="0" xfId="0"/>
    <xf numFmtId="0" fontId="9" fillId="0" borderId="13" pivotButton="0" quotePrefix="0" xfId="0"/>
    <xf numFmtId="169" fontId="12" fillId="8" borderId="13" applyAlignment="1" pivotButton="0" quotePrefix="0" xfId="0">
      <alignment horizontal="center" vertical="center" wrapText="1"/>
    </xf>
    <xf numFmtId="0" fontId="17" fillId="3" borderId="16" applyAlignment="1" pivotButton="0" quotePrefix="0" xfId="0">
      <alignment horizontal="left" vertical="center" wrapText="1"/>
    </xf>
    <xf numFmtId="0" fontId="0" fillId="3" borderId="17" pivotButton="0" quotePrefix="0" xfId="0"/>
    <xf numFmtId="0" fontId="15" fillId="5" borderId="16" applyAlignment="1" pivotButton="0" quotePrefix="0" xfId="0">
      <alignment horizontal="left" vertical="center" wrapText="1"/>
    </xf>
    <xf numFmtId="0" fontId="0" fillId="5" borderId="17" pivotButton="0" quotePrefix="0" xfId="0"/>
    <xf numFmtId="0" fontId="3" fillId="5" borderId="16" applyAlignment="1" pivotButton="0" quotePrefix="0" xfId="0">
      <alignment horizontal="left" vertical="center" wrapText="1"/>
    </xf>
    <xf numFmtId="0" fontId="16" fillId="5" borderId="16" applyAlignment="1" pivotButton="0" quotePrefix="0" xfId="0">
      <alignment horizontal="left" vertical="center" wrapText="1"/>
    </xf>
    <xf numFmtId="0" fontId="18" fillId="17" borderId="13" applyAlignment="1" pivotButton="0" quotePrefix="0" xfId="0">
      <alignment horizontal="center" vertical="center" wrapText="1"/>
    </xf>
    <xf numFmtId="0" fontId="19" fillId="16" borderId="13" applyAlignment="1" pivotButton="0" quotePrefix="0" xfId="0">
      <alignment horizontal="center" vertical="center" wrapText="1"/>
    </xf>
    <xf numFmtId="0" fontId="9" fillId="8" borderId="13" pivotButton="0" quotePrefix="0" xfId="0"/>
  </cellXfs>
  <cellStyles count="1">
    <cellStyle name="Normal" xfId="0" builtinId="0" hidden="0"/>
  </cellStyles>
  <dxfs count="1">
    <dxf>
      <fill>
        <patternFill patternType="solid">
          <fgColor rgb="00E76F51"/>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styles" Target="styles.xml" Id="rId14" /><Relationship Type="http://schemas.openxmlformats.org/officeDocument/2006/relationships/theme" Target="theme/theme1.xml" Id="rId15" /></Relationships>
</file>

<file path=xl/charts/chart1.xml><?xml version="1.0" encoding="utf-8"?>
<chartSpace xmlns:a="http://schemas.openxmlformats.org/drawingml/2006/main" xmlns="http://schemas.openxmlformats.org/drawingml/2006/chart">
  <style val="10"/>
  <chart>
    <plotArea>
      <barChart>
        <barDir val="col"/>
        <grouping val="clustered"/>
        <ser>
          <idx val="0"/>
          <order val="0"/>
          <tx>
            <strRef>
              <f>'Dashboard'!B40</f>
            </strRef>
          </tx>
          <spPr>
            <a:solidFill>
              <a:srgbClr val="C9A84C"/>
            </a:solidFill>
            <a:ln>
              <a:prstDash val="solid"/>
            </a:ln>
          </spPr>
          <cat>
            <numRef>
              <f>'Dashboard'!$A$41:$A$50</f>
            </numRef>
          </cat>
          <val>
            <numRef>
              <f>'Dashboard'!$B$41:$B$50</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title>
          <tx>
            <rich>
              <a:bodyPr/>
              <a:p>
                <a:pPr>
                  <a:defRPr/>
                </a:pPr>
                <a:r>
                  <a:t>Combined Score</a:t>
                </a:r>
              </a:p>
            </rich>
          </tx>
        </title>
        <majorTickMark val="none"/>
        <minorTickMark val="none"/>
        <crossAx val="10"/>
      </valAx>
    </plotArea>
    <plotVisOnly val="1"/>
    <dispBlanksAs val="gap"/>
  </chart>
</chartSpace>
</file>

<file path=xl/charts/chart2.xml><?xml version="1.0" encoding="utf-8"?>
<chartSpace xmlns:a="http://schemas.openxmlformats.org/drawingml/2006/main" xmlns="http://schemas.openxmlformats.org/drawingml/2006/chart">
  <chart>
    <title>
      <tx>
        <rich>
          <a:bodyPr/>
          <a:p>
            <a:pPr>
              <a:defRPr/>
            </a:pPr>
            <a:r>
              <a:t>Growth vs Margin (bubble = market cap)</a:t>
            </a:r>
          </a:p>
        </rich>
      </tx>
    </title>
    <plotArea>
      <bubbleChart>
        <ser>
          <idx val="0"/>
          <order val="0"/>
          <tx>
            <v>Stocks</v>
          </tx>
          <spPr>
            <a:solidFill>
              <a:srgbClr val="C9A84C"/>
            </a:solidFill>
            <a:ln>
              <a:prstDash val="solid"/>
            </a:ln>
          </spPr>
          <xVal>
            <numRef>
              <f>'Nano Cap'!$B$61:$B$70</f>
            </numRef>
          </xVal>
          <yVal>
            <numRef>
              <f>'Nano Cap'!$C$61:$C$70</f>
            </numRef>
          </yVal>
          <bubbleSize>
            <numRef>
              <f>'Nano Cap'!$D$61:$D$70</f>
            </numRef>
          </bubbleSize>
        </ser>
        <axId val="10"/>
        <axId val="20"/>
      </bubbleChart>
      <valAx>
        <axId val="10"/>
        <scaling>
          <orientation val="minMax"/>
        </scaling>
        <axPos val="l"/>
        <majorGridlines/>
        <title>
          <tx>
            <rich>
              <a:bodyPr/>
              <a:p>
                <a:pPr>
                  <a:defRPr/>
                </a:pPr>
                <a:r>
                  <a:t>Gross Margin %</a:t>
                </a:r>
              </a:p>
            </rich>
          </tx>
        </title>
        <majorTickMark val="none"/>
        <minorTickMark val="none"/>
        <crossAx val="20"/>
      </valAx>
      <valAx>
        <axId val="20"/>
        <scaling>
          <orientation val="minMax"/>
        </scaling>
        <axPos val="l"/>
        <majorGridlines/>
        <title>
          <tx>
            <rich>
              <a:bodyPr/>
              <a:p>
                <a:pPr>
                  <a:defRPr/>
                </a:pPr>
                <a:r>
                  <a:t>Revenue Growth %</a:t>
                </a:r>
              </a:p>
            </rich>
          </tx>
        </title>
        <majorTickMark val="none"/>
        <minorTickMark val="none"/>
        <crossAx val="10"/>
      </valAx>
    </plotArea>
    <legend>
      <legendPos val="r"/>
    </legend>
    <plotVisOnly val="1"/>
    <dispBlanksAs val="gap"/>
  </chart>
</chartSpace>
</file>

<file path=xl/charts/chart3.xml><?xml version="1.0" encoding="utf-8"?>
<chartSpace xmlns:a="http://schemas.openxmlformats.org/drawingml/2006/main" xmlns="http://schemas.openxmlformats.org/drawingml/2006/chart">
  <chart>
    <title>
      <tx>
        <rich>
          <a:bodyPr/>
          <a:p>
            <a:pPr>
              <a:defRPr/>
            </a:pPr>
            <a:r>
              <a:t>Growth vs Margin (bubble = market cap)</a:t>
            </a:r>
          </a:p>
        </rich>
      </tx>
    </title>
    <plotArea>
      <bubbleChart>
        <ser>
          <idx val="0"/>
          <order val="0"/>
          <tx>
            <v>Stocks</v>
          </tx>
          <spPr>
            <a:solidFill>
              <a:srgbClr val="C9A84C"/>
            </a:solidFill>
            <a:ln>
              <a:prstDash val="solid"/>
            </a:ln>
          </spPr>
          <xVal>
            <numRef>
              <f>'Small Cap'!$B$61:$B$70</f>
            </numRef>
          </xVal>
          <yVal>
            <numRef>
              <f>'Small Cap'!$C$61:$C$70</f>
            </numRef>
          </yVal>
          <bubbleSize>
            <numRef>
              <f>'Small Cap'!$D$61:$D$70</f>
            </numRef>
          </bubbleSize>
        </ser>
        <axId val="10"/>
        <axId val="20"/>
      </bubbleChart>
      <valAx>
        <axId val="10"/>
        <scaling>
          <orientation val="minMax"/>
        </scaling>
        <axPos val="l"/>
        <majorGridlines/>
        <title>
          <tx>
            <rich>
              <a:bodyPr/>
              <a:p>
                <a:pPr>
                  <a:defRPr/>
                </a:pPr>
                <a:r>
                  <a:t>Gross Margin %</a:t>
                </a:r>
              </a:p>
            </rich>
          </tx>
        </title>
        <majorTickMark val="none"/>
        <minorTickMark val="none"/>
        <crossAx val="20"/>
      </valAx>
      <valAx>
        <axId val="20"/>
        <scaling>
          <orientation val="minMax"/>
        </scaling>
        <axPos val="l"/>
        <majorGridlines/>
        <title>
          <tx>
            <rich>
              <a:bodyPr/>
              <a:p>
                <a:pPr>
                  <a:defRPr/>
                </a:pPr>
                <a:r>
                  <a:t>Revenue Growth %</a:t>
                </a:r>
              </a:p>
            </rich>
          </tx>
        </title>
        <majorTickMark val="none"/>
        <minorTickMark val="none"/>
        <crossAx val="10"/>
      </valAx>
    </plotArea>
    <legend>
      <legendPos val="r"/>
    </legend>
    <plotVisOnly val="1"/>
    <dispBlanksAs val="gap"/>
  </chart>
</chartSpace>
</file>

<file path=xl/charts/chart4.xml><?xml version="1.0" encoding="utf-8"?>
<chartSpace xmlns:a="http://schemas.openxmlformats.org/drawingml/2006/main" xmlns="http://schemas.openxmlformats.org/drawingml/2006/chart">
  <chart>
    <title>
      <tx>
        <rich>
          <a:bodyPr/>
          <a:p>
            <a:pPr>
              <a:defRPr/>
            </a:pPr>
            <a:r>
              <a:t>Growth vs Margin (bubble = market cap)</a:t>
            </a:r>
          </a:p>
        </rich>
      </tx>
    </title>
    <plotArea>
      <bubbleChart>
        <ser>
          <idx val="0"/>
          <order val="0"/>
          <tx>
            <v>Stocks</v>
          </tx>
          <spPr>
            <a:solidFill>
              <a:srgbClr val="C9A84C"/>
            </a:solidFill>
            <a:ln>
              <a:prstDash val="solid"/>
            </a:ln>
          </spPr>
          <xVal>
            <numRef>
              <f>'Breakout'!$B$61:$B$70</f>
            </numRef>
          </xVal>
          <yVal>
            <numRef>
              <f>'Breakout'!$C$61:$C$70</f>
            </numRef>
          </yVal>
          <bubbleSize>
            <numRef>
              <f>'Breakout'!$D$61:$D$70</f>
            </numRef>
          </bubbleSize>
        </ser>
        <axId val="10"/>
        <axId val="20"/>
      </bubbleChart>
      <valAx>
        <axId val="10"/>
        <scaling>
          <orientation val="minMax"/>
        </scaling>
        <axPos val="l"/>
        <majorGridlines/>
        <title>
          <tx>
            <rich>
              <a:bodyPr/>
              <a:p>
                <a:pPr>
                  <a:defRPr/>
                </a:pPr>
                <a:r>
                  <a:t>Gross Margin %</a:t>
                </a:r>
              </a:p>
            </rich>
          </tx>
        </title>
        <majorTickMark val="none"/>
        <minorTickMark val="none"/>
        <crossAx val="20"/>
      </valAx>
      <valAx>
        <axId val="20"/>
        <scaling>
          <orientation val="minMax"/>
        </scaling>
        <axPos val="l"/>
        <majorGridlines/>
        <title>
          <tx>
            <rich>
              <a:bodyPr/>
              <a:p>
                <a:pPr>
                  <a:defRPr/>
                </a:pPr>
                <a:r>
                  <a:t>Revenue Growth %</a:t>
                </a:r>
              </a:p>
            </rich>
          </tx>
        </title>
        <majorTickMark val="none"/>
        <minorTickMark val="none"/>
        <crossAx val="10"/>
      </valAx>
    </plotArea>
    <legend>
      <legendPos val="r"/>
    </legend>
    <plotVisOnly val="1"/>
    <dispBlanksAs val="gap"/>
  </chart>
</chartSpace>
</file>

<file path=xl/charts/chart5.xml><?xml version="1.0" encoding="utf-8"?>
<chartSpace xmlns:a="http://schemas.openxmlformats.org/drawingml/2006/main" xmlns="http://schemas.openxmlformats.org/drawingml/2006/chart">
  <chart>
    <title>
      <tx>
        <rich>
          <a:bodyPr/>
          <a:p>
            <a:pPr>
              <a:defRPr/>
            </a:pPr>
            <a:r>
              <a:t>Conviction Distribution by Tier</a:t>
            </a:r>
          </a:p>
        </rich>
      </tx>
    </title>
    <plotArea>
      <barChart>
        <barDir val="bar"/>
        <grouping val="stacked"/>
        <ser>
          <idx val="0"/>
          <order val="0"/>
          <tx>
            <strRef>
              <f>'Recommendations'!B39</f>
            </strRef>
          </tx>
          <spPr>
            <a:solidFill>
              <a:srgbClr val="2A9D8F"/>
            </a:solidFill>
            <a:ln>
              <a:prstDash val="solid"/>
            </a:ln>
          </spPr>
          <cat>
            <numRef>
              <f>'Recommendations'!$A$40:$A$42</f>
            </numRef>
          </cat>
          <val>
            <numRef>
              <f>'Recommendations'!$B$40:$B$42</f>
            </numRef>
          </val>
        </ser>
        <ser>
          <idx val="1"/>
          <order val="1"/>
          <tx>
            <strRef>
              <f>'Recommendations'!C39</f>
            </strRef>
          </tx>
          <spPr>
            <a:solidFill>
              <a:srgbClr val="4FC3F7"/>
            </a:solidFill>
            <a:ln>
              <a:prstDash val="solid"/>
            </a:ln>
          </spPr>
          <cat>
            <numRef>
              <f>'Recommendations'!$A$40:$A$42</f>
            </numRef>
          </cat>
          <val>
            <numRef>
              <f>'Recommendations'!$C$40:$C$42</f>
            </numRef>
          </val>
        </ser>
        <ser>
          <idx val="2"/>
          <order val="2"/>
          <tx>
            <strRef>
              <f>'Recommendations'!D39</f>
            </strRef>
          </tx>
          <spPr>
            <a:solidFill>
              <a:srgbClr val="C9A84C"/>
            </a:solidFill>
            <a:ln>
              <a:prstDash val="solid"/>
            </a:ln>
          </spPr>
          <cat>
            <numRef>
              <f>'Recommendations'!$A$40:$A$42</f>
            </numRef>
          </cat>
          <val>
            <numRef>
              <f>'Recommendations'!$D$40:$D$42</f>
            </numRef>
          </val>
        </ser>
        <ser>
          <idx val="3"/>
          <order val="3"/>
          <tx>
            <strRef>
              <f>'Recommendations'!E39</f>
            </strRef>
          </tx>
          <spPr>
            <a:solidFill>
              <a:srgbClr val="E76F51"/>
            </a:solidFill>
            <a:ln>
              <a:prstDash val="solid"/>
            </a:ln>
          </spPr>
          <cat>
            <numRef>
              <f>'Recommendations'!$A$40:$A$42</f>
            </numRef>
          </cat>
          <val>
            <numRef>
              <f>'Recommendations'!$E$40:$E$42</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majorTickMark val="none"/>
        <minorTickMark val="none"/>
        <crossAx val="10"/>
      </valAx>
    </plotArea>
    <legend>
      <legendPos val="r"/>
    </legend>
    <plotVisOnly val="1"/>
    <dispBlanksAs val="gap"/>
  </chart>
</chartSpace>
</file>

<file path=xl/charts/chart6.xml><?xml version="1.0" encoding="utf-8"?>
<chartSpace xmlns:a="http://schemas.openxmlformats.org/drawingml/2006/main" xmlns="http://schemas.openxmlformats.org/drawingml/2006/chart">
  <chart>
    <title>
      <tx>
        <rich>
          <a:bodyPr/>
          <a:p>
            <a:pPr>
              <a:defRPr/>
            </a:pPr>
            <a:r>
              <a:t>Allocation by Tier</a:t>
            </a:r>
          </a:p>
        </rich>
      </tx>
    </title>
    <plotArea>
      <doughnutChart>
        <varyColors val="1"/>
        <ser>
          <idx val="0"/>
          <order val="0"/>
          <tx>
            <strRef>
              <f>'Portfolio Construction'!M49</f>
            </strRef>
          </tx>
          <spPr>
            <a:ln>
              <a:prstDash val="solid"/>
            </a:ln>
          </spPr>
          <cat>
            <numRef>
              <f>'Portfolio Construction'!$L$50:$L$53</f>
            </numRef>
          </cat>
          <val>
            <numRef>
              <f>'Portfolio Construction'!$M$50:$M$53</f>
            </numRef>
          </val>
        </ser>
        <firstSliceAng val="0"/>
        <holeSize val="10"/>
      </doughnutChart>
    </plotArea>
    <legend>
      <legendPos val="r"/>
    </legend>
    <plotVisOnly val="1"/>
    <dispBlanksAs val="gap"/>
  </chart>
</chartSpace>
</file>

<file path=xl/charts/chart7.xml><?xml version="1.0" encoding="utf-8"?>
<chartSpace xmlns:a="http://schemas.openxmlformats.org/drawingml/2006/main" xmlns="http://schemas.openxmlformats.org/drawingml/2006/chart">
  <chart>
    <title>
      <tx>
        <rich>
          <a:bodyPr/>
          <a:p>
            <a:pPr>
              <a:defRPr/>
            </a:pPr>
            <a:r>
              <a:t>Score Impact — SODI</a:t>
            </a:r>
          </a:p>
        </rich>
      </tx>
    </title>
    <plotArea>
      <barChart>
        <barDir val="bar"/>
        <grouping val="clustered"/>
        <ser>
          <idx val="0"/>
          <order val="0"/>
          <spPr>
            <a:solidFill>
              <a:srgbClr val="E76F51"/>
            </a:solidFill>
            <a:ln>
              <a:prstDash val="solid"/>
            </a:ln>
          </spPr>
          <cat>
            <numRef>
              <f>'Sensitivity Analysis'!$B$51:$B$55</f>
            </numRef>
          </cat>
          <val>
            <numRef>
              <f>'Sensitivity Analysis'!$C$51:$C$55</f>
            </numRef>
          </val>
        </ser>
        <ser>
          <idx val="1"/>
          <order val="1"/>
          <spPr>
            <a:solidFill>
              <a:srgbClr val="2A9D8F"/>
            </a:solidFill>
            <a:ln>
              <a:prstDash val="solid"/>
            </a:ln>
          </spPr>
          <cat>
            <numRef>
              <f>'Sensitivity Analysis'!$B$51:$B$55</f>
            </numRef>
          </cat>
          <val>
            <numRef>
              <f>'Sensitivity Analysis'!$D$51:$D$55</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majorTickMark val="none"/>
        <minorTickMark val="none"/>
        <crossAx val="10"/>
      </valAx>
    </plotArea>
    <plotVisOnly val="1"/>
    <dispBlanksAs val="gap"/>
  </chart>
</chartSpace>
</file>

<file path=xl/charts/chart8.xml><?xml version="1.0" encoding="utf-8"?>
<chartSpace xmlns:a="http://schemas.openxmlformats.org/drawingml/2006/main" xmlns="http://schemas.openxmlformats.org/drawingml/2006/chart">
  <style val="26"/>
  <chart>
    <title>
      <tx>
        <rich>
          <a:bodyPr/>
          <a:p>
            <a:pPr>
              <a:defRPr/>
            </a:pPr>
            <a:r>
              <a:t>Reference Stock Comparison</a:t>
            </a:r>
          </a:p>
        </rich>
      </tx>
    </title>
    <plotArea>
      <radarChart>
        <radarStyle val="standard"/>
        <ser>
          <idx val="0"/>
          <order val="0"/>
          <tx>
            <strRef>
              <f>'Fingerprint Reference'!B35</f>
            </strRef>
          </tx>
          <spPr>
            <a:ln>
              <a:solidFill>
                <a:srgbClr val="C9A84C"/>
              </a:solidFill>
              <a:prstDash val="solid"/>
            </a:ln>
          </spPr>
          <marker>
            <symbol val="none"/>
            <spPr>
              <a:ln>
                <a:prstDash val="solid"/>
              </a:ln>
            </spPr>
          </marker>
          <cat>
            <numRef>
              <f>'Fingerprint Reference'!$A$36:$A$40</f>
            </numRef>
          </cat>
          <val>
            <numRef>
              <f>'Fingerprint Reference'!$B$36:$B$40</f>
            </numRef>
          </val>
        </ser>
        <ser>
          <idx val="1"/>
          <order val="1"/>
          <tx>
            <strRef>
              <f>'Fingerprint Reference'!C35</f>
            </strRef>
          </tx>
          <spPr>
            <a:ln>
              <a:solidFill>
                <a:srgbClr val="2A9D8F"/>
              </a:solidFill>
              <a:prstDash val="solid"/>
            </a:ln>
          </spPr>
          <marker>
            <symbol val="none"/>
            <spPr>
              <a:ln>
                <a:prstDash val="solid"/>
              </a:ln>
            </spPr>
          </marker>
          <cat>
            <numRef>
              <f>'Fingerprint Reference'!$A$36:$A$40</f>
            </numRef>
          </cat>
          <val>
            <numRef>
              <f>'Fingerprint Reference'!$C$36:$C$40</f>
            </numRef>
          </val>
        </ser>
        <ser>
          <idx val="2"/>
          <order val="2"/>
          <tx>
            <strRef>
              <f>'Fingerprint Reference'!D35</f>
            </strRef>
          </tx>
          <spPr>
            <a:ln>
              <a:solidFill>
                <a:srgbClr val="E76F51"/>
              </a:solidFill>
              <a:prstDash val="solid"/>
            </a:ln>
          </spPr>
          <marker>
            <symbol val="none"/>
            <spPr>
              <a:ln>
                <a:prstDash val="solid"/>
              </a:ln>
            </spPr>
          </marker>
          <cat>
            <numRef>
              <f>'Fingerprint Reference'!$A$36:$A$40</f>
            </numRef>
          </cat>
          <val>
            <numRef>
              <f>'Fingerprint Reference'!$D$36:$D$40</f>
            </numRef>
          </val>
        </ser>
        <ser>
          <idx val="3"/>
          <order val="3"/>
          <tx>
            <strRef>
              <f>'Fingerprint Reference'!E35</f>
            </strRef>
          </tx>
          <spPr>
            <a:ln>
              <a:solidFill>
                <a:srgbClr val="4FC3F7"/>
              </a:solidFill>
              <a:prstDash val="solid"/>
            </a:ln>
          </spPr>
          <marker>
            <symbol val="none"/>
            <spPr>
              <a:ln>
                <a:prstDash val="solid"/>
              </a:ln>
            </spPr>
          </marker>
          <cat>
            <numRef>
              <f>'Fingerprint Reference'!$A$36:$A$40</f>
            </numRef>
          </cat>
          <val>
            <numRef>
              <f>'Fingerprint Reference'!$E$36:$E$40</f>
            </numRef>
          </val>
        </ser>
        <ser>
          <idx val="4"/>
          <order val="4"/>
          <tx>
            <strRef>
              <f>'Fingerprint Reference'!F35</f>
            </strRef>
          </tx>
          <spPr>
            <a:ln>
              <a:solidFill>
                <a:srgbClr val="0D1B2A"/>
              </a:solidFill>
              <a:prstDash val="solid"/>
            </a:ln>
          </spPr>
          <marker>
            <symbol val="none"/>
            <spPr>
              <a:ln>
                <a:prstDash val="solid"/>
              </a:ln>
            </spPr>
          </marker>
          <cat>
            <numRef>
              <f>'Fingerprint Reference'!$A$36:$A$40</f>
            </numRef>
          </cat>
          <val>
            <numRef>
              <f>'Fingerprint Reference'!$F$36:$F$40</f>
            </numRef>
          </val>
        </ser>
        <ser>
          <idx val="5"/>
          <order val="5"/>
          <tx>
            <strRef>
              <f>'Fingerprint Reference'!G35</f>
            </strRef>
          </tx>
          <spPr>
            <a:ln>
              <a:solidFill>
                <a:srgbClr val="F9C74F"/>
              </a:solidFill>
              <a:prstDash val="solid"/>
            </a:ln>
          </spPr>
          <marker>
            <symbol val="none"/>
            <spPr>
              <a:ln>
                <a:prstDash val="solid"/>
              </a:ln>
            </spPr>
          </marker>
          <cat>
            <numRef>
              <f>'Fingerprint Reference'!$A$36:$A$40</f>
            </numRef>
          </cat>
          <val>
            <numRef>
              <f>'Fingerprint Reference'!$G$36:$G$40</f>
            </numRef>
          </val>
        </ser>
        <axId val="10"/>
        <axId val="100"/>
      </radarChart>
      <catAx>
        <axId val="10"/>
        <scaling>
          <orientation val="minMax"/>
        </scaling>
        <axPos val="l"/>
        <majorTickMark val="none"/>
        <minorTickMark val="none"/>
        <crossAx val="100"/>
        <lblOffset val="100"/>
      </catAx>
      <valAx>
        <axId val="100"/>
        <scaling>
          <orientation val="minMax"/>
        </scaling>
        <axPos val="l"/>
        <majorGridlines/>
        <majorTickMark val="none"/>
        <minorTickMark val="none"/>
        <crossAx val="10"/>
      </valAx>
    </plotArea>
    <legend>
      <legendPos val="r"/>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 /></Relationships>
</file>

<file path=xl/drawings/_rels/drawing2.xml.rels><Relationships xmlns="http://schemas.openxmlformats.org/package/2006/relationships"><Relationship Type="http://schemas.openxmlformats.org/officeDocument/2006/relationships/chart" Target="/xl/charts/chart2.xml" Id="rId1" /></Relationships>
</file>

<file path=xl/drawings/_rels/drawing3.xml.rels><Relationships xmlns="http://schemas.openxmlformats.org/package/2006/relationships"><Relationship Type="http://schemas.openxmlformats.org/officeDocument/2006/relationships/chart" Target="/xl/charts/chart3.xml" Id="rId1" /></Relationships>
</file>

<file path=xl/drawings/_rels/drawing4.xml.rels><Relationships xmlns="http://schemas.openxmlformats.org/package/2006/relationships"><Relationship Type="http://schemas.openxmlformats.org/officeDocument/2006/relationships/chart" Target="/xl/charts/chart4.xml" Id="rId1" /></Relationships>
</file>

<file path=xl/drawings/_rels/drawing5.xml.rels><Relationships xmlns="http://schemas.openxmlformats.org/package/2006/relationships"><Relationship Type="http://schemas.openxmlformats.org/officeDocument/2006/relationships/chart" Target="/xl/charts/chart5.xml" Id="rId1" /></Relationships>
</file>

<file path=xl/drawings/_rels/drawing6.xml.rels><Relationships xmlns="http://schemas.openxmlformats.org/package/2006/relationships"><Relationship Type="http://schemas.openxmlformats.org/officeDocument/2006/relationships/chart" Target="/xl/charts/chart6.xml" Id="rId1" /></Relationships>
</file>

<file path=xl/drawings/_rels/drawing7.xml.rels><Relationships xmlns="http://schemas.openxmlformats.org/package/2006/relationships"><Relationship Type="http://schemas.openxmlformats.org/officeDocument/2006/relationships/chart" Target="/xl/charts/chart7.xml" Id="rId1" /></Relationships>
</file>

<file path=xl/drawings/_rels/drawing8.xml.rels><Relationships xmlns="http://schemas.openxmlformats.org/package/2006/relationships"><Relationship Type="http://schemas.openxmlformats.org/officeDocument/2006/relationships/chart" Target="/xl/charts/chart8.xml" Id="rId1" /></Relationships>
</file>

<file path=xl/drawings/drawing1.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1</col>
      <colOff>0</colOff>
      <row>19</row>
      <rowOff>0</rowOff>
    </from>
    <ext cx="10080000" cy="4320000"/>
    <graphicFrame>
      <nvGraphicFramePr>
        <cNvPr id="1" name="Chart 1"/>
        <cNvGraphicFramePr/>
      </nvGraphicFramePr>
      <xfrm/>
      <a:graphic>
        <a:graphicData uri="http://schemas.openxmlformats.org/drawingml/2006/chart">
          <c:chart r:id="rId1"/>
        </a:graphicData>
      </a:graphic>
    </graphicFrame>
    <clientData/>
  </oneCellAnchor>
</wsDr>
</file>

<file path=xl/drawings/drawing2.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7</col>
      <colOff>0</colOff>
      <row>16</row>
      <rowOff>0</rowOff>
    </from>
    <ext cx="6480000" cy="4320000"/>
    <graphicFrame>
      <nvGraphicFramePr>
        <cNvPr id="1" name="Chart 1"/>
        <cNvGraphicFramePr/>
      </nvGraphicFramePr>
      <xfrm/>
      <a:graphic>
        <a:graphicData uri="http://schemas.openxmlformats.org/drawingml/2006/chart">
          <c:chart r:id="rId1"/>
        </a:graphicData>
      </a:graphic>
    </graphicFrame>
    <clientData/>
  </oneCellAnchor>
</wsDr>
</file>

<file path=xl/drawings/drawing3.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7</col>
      <colOff>0</colOff>
      <row>16</row>
      <rowOff>0</rowOff>
    </from>
    <ext cx="6480000" cy="4320000"/>
    <graphicFrame>
      <nvGraphicFramePr>
        <cNvPr id="1" name="Chart 1"/>
        <cNvGraphicFramePr/>
      </nvGraphicFramePr>
      <xfrm/>
      <a:graphic>
        <a:graphicData uri="http://schemas.openxmlformats.org/drawingml/2006/chart">
          <c:chart r:id="rId1"/>
        </a:graphicData>
      </a:graphic>
    </graphicFrame>
    <clientData/>
  </oneCellAnchor>
</wsDr>
</file>

<file path=xl/drawings/drawing4.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7</col>
      <colOff>0</colOff>
      <row>16</row>
      <rowOff>0</rowOff>
    </from>
    <ext cx="6480000" cy="4320000"/>
    <graphicFrame>
      <nvGraphicFramePr>
        <cNvPr id="1" name="Chart 1"/>
        <cNvGraphicFramePr/>
      </nvGraphicFramePr>
      <xfrm/>
      <a:graphic>
        <a:graphicData uri="http://schemas.openxmlformats.org/drawingml/2006/chart">
          <c:chart r:id="rId1"/>
        </a:graphicData>
      </a:graphic>
    </graphicFrame>
    <clientData/>
  </oneCellAnchor>
</wsDr>
</file>

<file path=xl/drawings/drawing5.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0</col>
      <colOff>0</colOff>
      <row>43</row>
      <rowOff>0</rowOff>
    </from>
    <ext cx="7200000" cy="3600000"/>
    <graphicFrame>
      <nvGraphicFramePr>
        <cNvPr id="1" name="Chart 1"/>
        <cNvGraphicFramePr/>
      </nvGraphicFramePr>
      <xfrm/>
      <a:graphic>
        <a:graphicData uri="http://schemas.openxmlformats.org/drawingml/2006/chart">
          <c:chart r:id="rId1"/>
        </a:graphicData>
      </a:graphic>
    </graphicFrame>
    <clientData/>
  </oneCellAnchor>
</wsDr>
</file>

<file path=xl/drawings/drawing6.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11</col>
      <colOff>0</colOff>
      <row>3</row>
      <rowOff>0</rowOff>
    </from>
    <ext cx="5040000" cy="3600000"/>
    <graphicFrame>
      <nvGraphicFramePr>
        <cNvPr id="1" name="Chart 1"/>
        <cNvGraphicFramePr/>
      </nvGraphicFramePr>
      <xfrm/>
      <a:graphic>
        <a:graphicData uri="http://schemas.openxmlformats.org/drawingml/2006/chart">
          <c:chart r:id="rId1"/>
        </a:graphicData>
      </a:graphic>
    </graphicFrame>
    <clientData/>
  </oneCellAnchor>
</wsDr>
</file>

<file path=xl/drawings/drawing7.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5</col>
      <colOff>0</colOff>
      <row>50</row>
      <rowOff>0</rowOff>
    </from>
    <ext cx="6480000" cy="3600000"/>
    <graphicFrame>
      <nvGraphicFramePr>
        <cNvPr id="1" name="Chart 1"/>
        <cNvGraphicFramePr/>
      </nvGraphicFramePr>
      <xfrm/>
      <a:graphic>
        <a:graphicData uri="http://schemas.openxmlformats.org/drawingml/2006/chart">
          <c:chart r:id="rId1"/>
        </a:graphicData>
      </a:graphic>
    </graphicFrame>
    <clientData/>
  </oneCellAnchor>
</wsDr>
</file>

<file path=xl/drawings/drawing8.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0</col>
      <colOff>0</colOff>
      <row>41</row>
      <rowOff>0</rowOff>
    </from>
    <ext cx="7200000" cy="5040000"/>
    <graphicFrame>
      <nvGraphicFramePr>
        <cNvPr id="1" name="Chart 1"/>
        <cNvGraphicFramePr/>
      </nvGraphicFramePr>
      <xfrm/>
      <a:graphic>
        <a:graphicData uri="http://schemas.openxmlformats.org/drawingml/2006/chart">
          <c:chart r:id="rId1"/>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 /></Relationships>
</file>

<file path=xl/worksheets/_rels/sheet2.xml.rels><Relationships xmlns="http://schemas.openxmlformats.org/package/2006/relationships"><Relationship Type="http://schemas.openxmlformats.org/officeDocument/2006/relationships/drawing" Target="/xl/drawings/drawing2.xml" Id="rId1" /></Relationships>
</file>

<file path=xl/worksheets/_rels/sheet3.xml.rels><Relationships xmlns="http://schemas.openxmlformats.org/package/2006/relationships"><Relationship Type="http://schemas.openxmlformats.org/officeDocument/2006/relationships/drawing" Target="/xl/drawings/drawing3.xml" Id="rId1" /></Relationships>
</file>

<file path=xl/worksheets/_rels/sheet4.xml.rels><Relationships xmlns="http://schemas.openxmlformats.org/package/2006/relationships"><Relationship Type="http://schemas.openxmlformats.org/officeDocument/2006/relationships/drawing" Target="/xl/drawings/drawing4.xml" Id="rId1" /></Relationships>
</file>

<file path=xl/worksheets/_rels/sheet8.xml.rels><Relationships xmlns="http://schemas.openxmlformats.org/package/2006/relationships"><Relationship Type="http://schemas.openxmlformats.org/officeDocument/2006/relationships/drawing" Target="/xl/drawings/drawing5.xml" Id="rId1" /></Relationships>
</file>

<file path=xl/worksheets/_rels/sheet9.xml.rels><Relationships xmlns="http://schemas.openxmlformats.org/package/2006/relationships"><Relationship Type="http://schemas.openxmlformats.org/officeDocument/2006/relationships/drawing" Target="/xl/drawings/drawing6.xml" Id="rId1" /></Relationships>
</file>

<file path=xl/worksheets/_rels/sheet10.xml.rels><Relationships xmlns="http://schemas.openxmlformats.org/package/2006/relationships"><Relationship Type="http://schemas.openxmlformats.org/officeDocument/2006/relationships/drawing" Target="/xl/drawings/drawing7.xml" Id="rId1" /></Relationships>
</file>

<file path=xl/worksheets/_rels/sheet12.xml.rels><Relationships xmlns="http://schemas.openxmlformats.org/package/2006/relationships"><Relationship Type="http://schemas.openxmlformats.org/officeDocument/2006/relationships/drawing" Target="/xl/drawings/drawing8.xml" Id="rId1" /></Relationships>
</file>

<file path=xl/worksheets/sheet1.xml><?xml version="1.0" encoding="utf-8"?>
<worksheet xmlns="http://schemas.openxmlformats.org/spreadsheetml/2006/main">
  <sheetPr>
    <tabColor rgb="00C9A84C"/>
    <outlinePr summaryBelow="1" summaryRight="1"/>
    <pageSetUpPr fitToPage="1"/>
  </sheetPr>
  <dimension ref="A1:P50"/>
  <sheetViews>
    <sheetView showGridLines="0" workbookViewId="0">
      <pane ySplit="4" topLeftCell="A5" activePane="bottomLeft" state="frozen"/>
      <selection pane="bottomLeft" activeCell="A1" sqref="A1"/>
    </sheetView>
  </sheetViews>
  <sheetFormatPr baseColWidth="8" defaultRowHeight="15"/>
  <cols>
    <col width="3" customWidth="1" min="1" max="1"/>
    <col width="14" customWidth="1" min="2" max="2"/>
    <col width="14" customWidth="1" min="3" max="3"/>
    <col width="14" customWidth="1" min="4" max="4"/>
    <col width="14" customWidth="1" min="5" max="5"/>
    <col width="14" customWidth="1" min="6" max="6"/>
    <col width="14" customWidth="1" min="7" max="7"/>
    <col width="3" customWidth="1" min="8" max="8"/>
    <col width="14" customWidth="1" min="9" max="9"/>
    <col width="14" customWidth="1" min="10" max="10"/>
    <col width="14" customWidth="1" min="11" max="11"/>
    <col width="14" customWidth="1" min="12" max="12"/>
    <col width="14" customWidth="1" min="13" max="13"/>
    <col width="14" customWidth="1" min="14" max="14"/>
    <col width="3" customWidth="1" min="15" max="15"/>
    <col width="14" customWidth="1" min="16" max="16"/>
  </cols>
  <sheetData>
    <row r="1" ht="28" customHeight="1">
      <c r="A1" s="1" t="inlineStr">
        <is>
          <t>STRUCTURAL GROWTH EQUITY SCREENER</t>
        </is>
      </c>
      <c r="B1" s="2" t="n"/>
      <c r="C1" s="2" t="n"/>
      <c r="D1" s="2" t="n"/>
      <c r="E1" s="2" t="n"/>
      <c r="F1" s="2" t="n"/>
      <c r="G1" s="2" t="n"/>
      <c r="H1" s="2" t="n"/>
      <c r="I1" s="2" t="n"/>
      <c r="J1" s="2" t="n"/>
      <c r="K1" s="2" t="n"/>
      <c r="L1" s="2" t="n"/>
      <c r="M1" s="2" t="n"/>
      <c r="N1" s="2" t="n"/>
      <c r="O1" s="2" t="n"/>
      <c r="P1" s="3" t="n"/>
    </row>
    <row r="2" ht="28" customHeight="1">
      <c r="A2" s="4" t="n"/>
      <c r="B2" s="5" t="n"/>
      <c r="C2" s="5" t="n"/>
      <c r="D2" s="5" t="n"/>
      <c r="E2" s="5" t="n"/>
      <c r="F2" s="5" t="n"/>
      <c r="G2" s="5" t="n"/>
      <c r="H2" s="5" t="n"/>
      <c r="I2" s="5" t="n"/>
      <c r="J2" s="5" t="n"/>
      <c r="K2" s="5" t="n"/>
      <c r="L2" s="5" t="n"/>
      <c r="M2" s="5" t="n"/>
      <c r="N2" s="5" t="n"/>
      <c r="O2" s="5" t="n"/>
      <c r="P2" s="6" t="n"/>
    </row>
    <row r="3" ht="20" customHeight="1">
      <c r="A3" s="7" t="inlineStr">
        <is>
          <t>Nano  ·  Small  ·  Breakout Tier Analysis</t>
        </is>
      </c>
      <c r="B3" s="8" t="n"/>
      <c r="C3" s="8" t="n"/>
      <c r="D3" s="8" t="n"/>
      <c r="E3" s="8" t="n"/>
      <c r="F3" s="8" t="n"/>
      <c r="G3" s="8" t="n"/>
      <c r="H3" s="8" t="n"/>
      <c r="I3" s="8" t="n"/>
      <c r="J3" s="9" t="n"/>
      <c r="K3" s="10" t="inlineStr">
        <is>
          <t>Run Date: April 29, 2026  |  Universe: 30 stocks  |  Source: Financial Modeling Prep</t>
        </is>
      </c>
      <c r="L3" s="8" t="n"/>
      <c r="M3" s="8" t="n"/>
      <c r="N3" s="8" t="n"/>
      <c r="O3" s="8" t="n"/>
      <c r="P3" s="9" t="n"/>
    </row>
    <row r="4" ht="8" customHeight="1">
      <c r="A4" s="11" t="n"/>
      <c r="B4" s="11" t="n"/>
      <c r="C4" s="11" t="n"/>
      <c r="D4" s="11" t="n"/>
      <c r="E4" s="11" t="n"/>
      <c r="F4" s="11" t="n"/>
      <c r="G4" s="11" t="n"/>
      <c r="H4" s="11" t="n"/>
      <c r="I4" s="11" t="n"/>
      <c r="J4" s="11" t="n"/>
      <c r="K4" s="11" t="n"/>
      <c r="L4" s="11" t="n"/>
      <c r="M4" s="11" t="n"/>
      <c r="N4" s="11" t="n"/>
      <c r="O4" s="11" t="n"/>
      <c r="P4" s="11" t="n"/>
    </row>
    <row r="5" ht="6" customHeight="1">
      <c r="A5" s="12" t="n"/>
      <c r="B5" s="13" t="n"/>
      <c r="C5" s="13" t="n"/>
      <c r="D5" s="13" t="n"/>
      <c r="E5" s="13" t="n"/>
      <c r="F5" s="13" t="n"/>
      <c r="G5" s="13" t="n"/>
      <c r="H5" s="12" t="n"/>
      <c r="I5" s="13" t="n"/>
      <c r="J5" s="13" t="n"/>
      <c r="K5" s="13" t="n"/>
      <c r="L5" s="13" t="n"/>
      <c r="M5" s="13" t="n"/>
      <c r="N5" s="13" t="n"/>
      <c r="O5" s="12" t="n"/>
      <c r="P5" s="12" t="n"/>
    </row>
    <row r="6" ht="16" customHeight="1">
      <c r="A6" s="12" t="n"/>
      <c r="B6" s="14" t="inlineStr">
        <is>
          <t>TOTAL SCREENED</t>
        </is>
      </c>
      <c r="D6" s="14" t="inlineStr">
        <is>
          <t>PASSED FILTERS</t>
        </is>
      </c>
      <c r="F6" s="14" t="inlineStr">
        <is>
          <t>AVG COMBINED SCORE</t>
        </is>
      </c>
      <c r="H6" s="12" t="n"/>
      <c r="I6" s="14" t="inlineStr">
        <is>
          <t>AVG REV GROWTH</t>
        </is>
      </c>
      <c r="K6" s="14" t="inlineStr">
        <is>
          <t>AVG GROSS MARGIN</t>
        </is>
      </c>
      <c r="M6" s="14" t="inlineStr">
        <is>
          <t>HIGH CONVICTION</t>
        </is>
      </c>
      <c r="O6" s="12" t="n"/>
      <c r="P6" s="12" t="n"/>
    </row>
    <row r="7" ht="28" customHeight="1">
      <c r="A7" s="12" t="n"/>
      <c r="B7" s="15" t="inlineStr">
        <is>
          <t>30</t>
        </is>
      </c>
      <c r="D7" s="15" t="inlineStr">
        <is>
          <t>30</t>
        </is>
      </c>
      <c r="F7" s="15" t="inlineStr">
        <is>
          <t>76.3</t>
        </is>
      </c>
      <c r="H7" s="12" t="n"/>
      <c r="I7" s="15" t="inlineStr">
        <is>
          <t>47.4%</t>
        </is>
      </c>
      <c r="K7" s="15" t="inlineStr">
        <is>
          <t>45.4%</t>
        </is>
      </c>
      <c r="M7" s="15" t="inlineStr">
        <is>
          <t>3</t>
        </is>
      </c>
      <c r="O7" s="12" t="n"/>
      <c r="P7" s="12" t="n"/>
    </row>
    <row r="8" ht="6" customHeight="1">
      <c r="A8" s="12" t="n"/>
      <c r="B8" s="12" t="n"/>
      <c r="C8" s="12" t="n"/>
      <c r="D8" s="12" t="n"/>
      <c r="E8" s="12" t="n"/>
      <c r="F8" s="12" t="n"/>
      <c r="G8" s="12" t="n"/>
      <c r="H8" s="12" t="n"/>
      <c r="I8" s="12" t="n"/>
      <c r="J8" s="12" t="n"/>
      <c r="K8" s="12" t="n"/>
      <c r="L8" s="12" t="n"/>
      <c r="M8" s="12" t="n"/>
      <c r="N8" s="12" t="n"/>
      <c r="O8" s="12" t="n"/>
      <c r="P8" s="12" t="n"/>
    </row>
    <row r="9" ht="8" customHeight="1"/>
    <row r="10" ht="22" customHeight="1">
      <c r="B10" s="16" t="inlineStr">
        <is>
          <t xml:space="preserve">  Nano Cap</t>
        </is>
      </c>
      <c r="C10" s="17" t="n"/>
      <c r="D10" s="17" t="n"/>
      <c r="E10" s="17" t="n"/>
      <c r="F10" s="17" t="n"/>
      <c r="G10" s="16" t="inlineStr">
        <is>
          <t xml:space="preserve">  Small Cap</t>
        </is>
      </c>
      <c r="H10" s="17" t="n"/>
      <c r="I10" s="17" t="n"/>
      <c r="J10" s="17" t="n"/>
      <c r="K10" s="17" t="n"/>
      <c r="L10" s="16" t="inlineStr">
        <is>
          <t xml:space="preserve">  Breakout</t>
        </is>
      </c>
      <c r="M10" s="17" t="n"/>
      <c r="N10" s="17" t="n"/>
      <c r="O10" s="17" t="n"/>
      <c r="P10" s="17" t="n"/>
    </row>
    <row r="11" ht="18" customHeight="1">
      <c r="B11" s="18" t="inlineStr">
        <is>
          <t>Ticker</t>
        </is>
      </c>
      <c r="C11" s="18" t="inlineStr">
        <is>
          <t>Company</t>
        </is>
      </c>
      <c r="D11" s="18" t="inlineStr">
        <is>
          <t>Mkt Cap</t>
        </is>
      </c>
      <c r="E11" s="18" t="inlineStr">
        <is>
          <t>Score</t>
        </is>
      </c>
      <c r="F11" s="18" t="inlineStr">
        <is>
          <t>Conviction</t>
        </is>
      </c>
      <c r="G11" s="18" t="inlineStr">
        <is>
          <t>Ticker</t>
        </is>
      </c>
      <c r="H11" s="18" t="inlineStr">
        <is>
          <t>Company</t>
        </is>
      </c>
      <c r="I11" s="18" t="inlineStr">
        <is>
          <t>Mkt Cap</t>
        </is>
      </c>
      <c r="J11" s="18" t="inlineStr">
        <is>
          <t>Score</t>
        </is>
      </c>
      <c r="K11" s="18" t="inlineStr">
        <is>
          <t>Conviction</t>
        </is>
      </c>
      <c r="L11" s="18" t="inlineStr">
        <is>
          <t>Ticker</t>
        </is>
      </c>
      <c r="M11" s="18" t="inlineStr">
        <is>
          <t>Company</t>
        </is>
      </c>
      <c r="N11" s="18" t="inlineStr">
        <is>
          <t>Mkt Cap</t>
        </is>
      </c>
      <c r="O11" s="18" t="inlineStr">
        <is>
          <t>Score</t>
        </is>
      </c>
      <c r="P11" s="18" t="inlineStr">
        <is>
          <t>Conviction</t>
        </is>
      </c>
    </row>
    <row r="12" ht="16" customHeight="1">
      <c r="B12" s="19" t="inlineStr">
        <is>
          <t>SODI</t>
        </is>
      </c>
      <c r="C12" s="20" t="inlineStr">
        <is>
          <t>Solitron Devices, Inc.</t>
        </is>
      </c>
      <c r="D12" s="21" t="n">
        <v>56.9</v>
      </c>
      <c r="E12" s="22" t="n">
        <v>93.8</v>
      </c>
      <c r="F12" s="23" t="inlineStr">
        <is>
          <t>High</t>
        </is>
      </c>
      <c r="G12" s="19" t="inlineStr">
        <is>
          <t>GOGO</t>
        </is>
      </c>
      <c r="H12" s="20" t="inlineStr">
        <is>
          <t>Gogo Inc.</t>
        </is>
      </c>
      <c r="I12" s="21" t="n">
        <v>534.2</v>
      </c>
      <c r="J12" s="22" t="n">
        <v>89.3</v>
      </c>
      <c r="K12" s="23" t="inlineStr">
        <is>
          <t>High</t>
        </is>
      </c>
      <c r="L12" s="19" t="inlineStr">
        <is>
          <t>XMTR</t>
        </is>
      </c>
      <c r="M12" s="20" t="inlineStr">
        <is>
          <t>Xometry, Inc.</t>
        </is>
      </c>
      <c r="N12" s="21" t="n">
        <v>2278</v>
      </c>
      <c r="O12" s="22" t="n">
        <v>80.5</v>
      </c>
      <c r="P12" s="24" t="inlineStr">
        <is>
          <t>Medium-High</t>
        </is>
      </c>
    </row>
    <row r="13" ht="16" customHeight="1">
      <c r="B13" s="25" t="inlineStr">
        <is>
          <t>CODA</t>
        </is>
      </c>
      <c r="C13" s="26" t="inlineStr">
        <is>
          <t>Coda Octopus Group, Inc.</t>
        </is>
      </c>
      <c r="D13" s="27" t="n">
        <v>123.5</v>
      </c>
      <c r="E13" s="22" t="n">
        <v>82</v>
      </c>
      <c r="F13" s="24" t="inlineStr">
        <is>
          <t>Medium-High</t>
        </is>
      </c>
      <c r="G13" s="25" t="inlineStr">
        <is>
          <t>CLFD</t>
        </is>
      </c>
      <c r="H13" s="26" t="inlineStr">
        <is>
          <t>Clearfield, Inc.</t>
        </is>
      </c>
      <c r="I13" s="27" t="n">
        <v>388</v>
      </c>
      <c r="J13" s="22" t="n">
        <v>85.59999999999999</v>
      </c>
      <c r="K13" s="23" t="inlineStr">
        <is>
          <t>High</t>
        </is>
      </c>
      <c r="L13" s="25" t="inlineStr">
        <is>
          <t>RUN</t>
        </is>
      </c>
      <c r="M13" s="26" t="inlineStr">
        <is>
          <t>Sunrun Inc.</t>
        </is>
      </c>
      <c r="N13" s="27" t="n">
        <v>2772.9</v>
      </c>
      <c r="O13" s="28" t="n">
        <v>79.09999999999999</v>
      </c>
      <c r="P13" s="24" t="inlineStr">
        <is>
          <t>Medium-High</t>
        </is>
      </c>
    </row>
    <row r="14" ht="16" customHeight="1">
      <c r="B14" s="19" t="inlineStr">
        <is>
          <t>SCTQ</t>
        </is>
      </c>
      <c r="C14" s="20" t="inlineStr">
        <is>
          <t>Spectra Systems Corporation</t>
        </is>
      </c>
      <c r="D14" s="21" t="n">
        <v>101.7</v>
      </c>
      <c r="E14" s="22" t="n">
        <v>80.2</v>
      </c>
      <c r="F14" s="24" t="inlineStr">
        <is>
          <t>Medium-High</t>
        </is>
      </c>
      <c r="G14" s="19" t="inlineStr">
        <is>
          <t>CTLP</t>
        </is>
      </c>
      <c r="H14" s="20" t="inlineStr">
        <is>
          <t>Cantaloupe, Inc.</t>
        </is>
      </c>
      <c r="I14" s="21" t="n">
        <v>798.8</v>
      </c>
      <c r="J14" s="28" t="n">
        <v>76.90000000000001</v>
      </c>
      <c r="K14" s="24" t="inlineStr">
        <is>
          <t>Medium-High</t>
        </is>
      </c>
      <c r="L14" s="19" t="inlineStr">
        <is>
          <t>FELE</t>
        </is>
      </c>
      <c r="M14" s="20" t="inlineStr">
        <is>
          <t>Franklin Electric Co., Inc.</t>
        </is>
      </c>
      <c r="N14" s="21" t="n">
        <v>4514.6</v>
      </c>
      <c r="O14" s="28" t="n">
        <v>75.8</v>
      </c>
      <c r="P14" s="24" t="inlineStr">
        <is>
          <t>Medium-High</t>
        </is>
      </c>
    </row>
    <row r="15" ht="16" customHeight="1">
      <c r="B15" s="25" t="inlineStr">
        <is>
          <t>OPXS</t>
        </is>
      </c>
      <c r="C15" s="26" t="inlineStr">
        <is>
          <t>Optex Systems Holdings, Inc</t>
        </is>
      </c>
      <c r="D15" s="27" t="n">
        <v>70.40000000000001</v>
      </c>
      <c r="E15" s="28" t="n">
        <v>78.7</v>
      </c>
      <c r="F15" s="24" t="inlineStr">
        <is>
          <t>Medium-High</t>
        </is>
      </c>
      <c r="G15" s="25" t="inlineStr">
        <is>
          <t>CMCO</t>
        </is>
      </c>
      <c r="H15" s="26" t="inlineStr">
        <is>
          <t>Columbus McKinnon Corporation</t>
        </is>
      </c>
      <c r="I15" s="27" t="n">
        <v>424</v>
      </c>
      <c r="J15" s="28" t="n">
        <v>76.8</v>
      </c>
      <c r="K15" s="24" t="inlineStr">
        <is>
          <t>Medium-High</t>
        </is>
      </c>
      <c r="L15" s="25" t="inlineStr">
        <is>
          <t>QRVO</t>
        </is>
      </c>
      <c r="M15" s="26" t="inlineStr">
        <is>
          <t>Qorvo, Inc.</t>
        </is>
      </c>
      <c r="N15" s="27" t="n">
        <v>8062.6</v>
      </c>
      <c r="O15" s="28" t="n">
        <v>73.8</v>
      </c>
      <c r="P15" s="29" t="inlineStr">
        <is>
          <t>Medium</t>
        </is>
      </c>
    </row>
    <row r="16" ht="16" customHeight="1">
      <c r="B16" s="19" t="inlineStr">
        <is>
          <t>KVHI</t>
        </is>
      </c>
      <c r="C16" s="20" t="inlineStr">
        <is>
          <t>KVH Industries, Inc.</t>
        </is>
      </c>
      <c r="D16" s="21" t="n">
        <v>175.9</v>
      </c>
      <c r="E16" s="28" t="n">
        <v>78.2</v>
      </c>
      <c r="F16" s="24" t="inlineStr">
        <is>
          <t>Medium-High</t>
        </is>
      </c>
      <c r="G16" s="19" t="inlineStr">
        <is>
          <t>CRNC</t>
        </is>
      </c>
      <c r="H16" s="20" t="inlineStr">
        <is>
          <t>Cerence Inc.</t>
        </is>
      </c>
      <c r="I16" s="21" t="n">
        <v>385.3</v>
      </c>
      <c r="J16" s="28" t="n">
        <v>76.59999999999999</v>
      </c>
      <c r="K16" s="24" t="inlineStr">
        <is>
          <t>Medium-High</t>
        </is>
      </c>
      <c r="L16" s="19" t="inlineStr">
        <is>
          <t>ESI</t>
        </is>
      </c>
      <c r="M16" s="20" t="inlineStr">
        <is>
          <t>Element Solutions Inc</t>
        </is>
      </c>
      <c r="N16" s="21" t="n">
        <v>10372.3</v>
      </c>
      <c r="O16" s="28" t="n">
        <v>73.8</v>
      </c>
      <c r="P16" s="29" t="inlineStr">
        <is>
          <t>Medium</t>
        </is>
      </c>
    </row>
    <row r="19" ht="22" customHeight="1">
      <c r="B19" s="16" t="inlineStr">
        <is>
          <t>TOP PERFORMERS — Combined Score Ranking</t>
        </is>
      </c>
      <c r="C19" s="17" t="n"/>
      <c r="D19" s="17" t="n"/>
      <c r="E19" s="17" t="n"/>
      <c r="F19" s="17" t="n"/>
      <c r="G19" s="17" t="n"/>
      <c r="H19" s="17" t="n"/>
      <c r="I19" s="17" t="n"/>
      <c r="J19" s="17" t="n"/>
      <c r="K19" s="17" t="n"/>
      <c r="L19" s="17" t="n"/>
      <c r="M19" s="17" t="n"/>
      <c r="N19" s="17" t="n"/>
      <c r="O19" s="17" t="n"/>
      <c r="P19" s="17" t="n"/>
    </row>
    <row r="40">
      <c r="A40" s="30" t="inlineStr">
        <is>
          <t>Ticker</t>
        </is>
      </c>
      <c r="B40" s="30" t="inlineStr">
        <is>
          <t>Score</t>
        </is>
      </c>
      <c r="C40" s="30" t="inlineStr">
        <is>
          <t>Tier</t>
        </is>
      </c>
    </row>
    <row r="41">
      <c r="A41" t="inlineStr">
        <is>
          <t>SODI</t>
        </is>
      </c>
      <c r="B41" t="n">
        <v>93.8</v>
      </c>
      <c r="C41" t="inlineStr">
        <is>
          <t>Nano Cap</t>
        </is>
      </c>
    </row>
    <row r="42">
      <c r="A42" t="inlineStr">
        <is>
          <t>GOGO</t>
        </is>
      </c>
      <c r="B42" t="n">
        <v>89.3</v>
      </c>
      <c r="C42" t="inlineStr">
        <is>
          <t>Small Cap</t>
        </is>
      </c>
    </row>
    <row r="43">
      <c r="A43" t="inlineStr">
        <is>
          <t>CLFD</t>
        </is>
      </c>
      <c r="B43" t="n">
        <v>85.59999999999999</v>
      </c>
      <c r="C43" t="inlineStr">
        <is>
          <t>Small Cap</t>
        </is>
      </c>
    </row>
    <row r="44">
      <c r="A44" t="inlineStr">
        <is>
          <t>CODA</t>
        </is>
      </c>
      <c r="B44" t="n">
        <v>82</v>
      </c>
      <c r="C44" t="inlineStr">
        <is>
          <t>Nano Cap</t>
        </is>
      </c>
    </row>
    <row r="45">
      <c r="A45" t="inlineStr">
        <is>
          <t>XMTR</t>
        </is>
      </c>
      <c r="B45" t="n">
        <v>80.5</v>
      </c>
      <c r="C45" t="inlineStr">
        <is>
          <t>Breakout</t>
        </is>
      </c>
    </row>
    <row r="46">
      <c r="A46" t="inlineStr">
        <is>
          <t>SCTQ</t>
        </is>
      </c>
      <c r="B46" t="n">
        <v>80.2</v>
      </c>
      <c r="C46" t="inlineStr">
        <is>
          <t>Nano Cap</t>
        </is>
      </c>
    </row>
    <row r="47">
      <c r="A47" t="inlineStr">
        <is>
          <t>RUN</t>
        </is>
      </c>
      <c r="B47" t="n">
        <v>79.09999999999999</v>
      </c>
      <c r="C47" t="inlineStr">
        <is>
          <t>Breakout</t>
        </is>
      </c>
    </row>
    <row r="48">
      <c r="A48" t="inlineStr">
        <is>
          <t>OPXS</t>
        </is>
      </c>
      <c r="B48" t="n">
        <v>78.7</v>
      </c>
      <c r="C48" t="inlineStr">
        <is>
          <t>Nano Cap</t>
        </is>
      </c>
    </row>
    <row r="49">
      <c r="A49" t="inlineStr">
        <is>
          <t>KVHI</t>
        </is>
      </c>
      <c r="B49" t="n">
        <v>78.2</v>
      </c>
      <c r="C49" t="inlineStr">
        <is>
          <t>Nano Cap</t>
        </is>
      </c>
    </row>
    <row r="50">
      <c r="A50" t="inlineStr">
        <is>
          <t>SSTI</t>
        </is>
      </c>
      <c r="B50" t="n">
        <v>78.2</v>
      </c>
      <c r="C50" t="inlineStr">
        <is>
          <t>Nano Cap</t>
        </is>
      </c>
    </row>
  </sheetData>
  <mergeCells count="19">
    <mergeCell ref="I6:J6"/>
    <mergeCell ref="B7:C7"/>
    <mergeCell ref="A1:P2"/>
    <mergeCell ref="F6:G6"/>
    <mergeCell ref="F7:G7"/>
    <mergeCell ref="D6:E6"/>
    <mergeCell ref="I7:J7"/>
    <mergeCell ref="B19:P19"/>
    <mergeCell ref="G10:K10"/>
    <mergeCell ref="M7:N7"/>
    <mergeCell ref="D7:E7"/>
    <mergeCell ref="M6:N6"/>
    <mergeCell ref="B10:F10"/>
    <mergeCell ref="L10:P10"/>
    <mergeCell ref="K3:P3"/>
    <mergeCell ref="B6:C6"/>
    <mergeCell ref="K7:L7"/>
    <mergeCell ref="A3:J3"/>
    <mergeCell ref="K6:L6"/>
  </mergeCells>
  <pageMargins left="0.75" right="0.75" top="1" bottom="1" header="0.5" footer="0.5"/>
  <pageSetup orientation="landscape" fitToWidth="1"/>
  <drawing xmlns:r="http://schemas.openxmlformats.org/officeDocument/2006/relationships" r:id="rId1"/>
</worksheet>
</file>

<file path=xl/worksheets/sheet2.xml><?xml version="1.0" encoding="utf-8"?>
<worksheet xmlns="http://schemas.openxmlformats.org/spreadsheetml/2006/main">
  <sheetPr>
    <tabColor rgb="004FC3F7"/>
    <outlinePr summaryBelow="1" summaryRight="1"/>
    <pageSetUpPr fitToPage="1"/>
  </sheetPr>
  <dimension ref="A1:T70"/>
  <sheetViews>
    <sheetView showGridLines="0" workbookViewId="0">
      <pane xSplit="2" ySplit="4" topLeftCell="C5" activePane="bottomRight" state="frozen"/>
      <selection pane="topRight"/>
      <selection pane="bottomLeft"/>
      <selection pane="bottomRight" activeCell="A1" sqref="A1"/>
    </sheetView>
  </sheetViews>
  <sheetFormatPr baseColWidth="8" defaultRowHeight="15"/>
  <cols>
    <col width="6" customWidth="1" min="1" max="1"/>
    <col width="9" customWidth="1" min="2" max="2"/>
    <col width="28" customWidth="1" min="3" max="3"/>
    <col width="14" customWidth="1" min="4" max="4"/>
    <col width="12" customWidth="1" min="5" max="5"/>
    <col width="14" customWidth="1" min="6" max="6"/>
    <col width="14" customWidth="1" min="7" max="7"/>
    <col width="14" customWidth="1" min="8" max="8"/>
    <col width="14" customWidth="1" min="9" max="9"/>
    <col width="12" customWidth="1" min="10" max="10"/>
    <col width="12" customWidth="1" min="11" max="11"/>
    <col width="12" customWidth="1" min="12" max="12"/>
    <col width="12" customWidth="1" min="13" max="13"/>
    <col width="14" customWidth="1" min="14" max="14"/>
    <col width="12" customWidth="1" min="15" max="15"/>
    <col width="10" customWidth="1" min="16" max="16"/>
    <col width="10" customWidth="1" min="17" max="17"/>
    <col width="10" customWidth="1" min="18" max="18"/>
    <col width="10" customWidth="1" min="19" max="19"/>
    <col width="10" customWidth="1" min="20" max="20"/>
  </cols>
  <sheetData>
    <row r="1" ht="28" customHeight="1">
      <c r="A1" s="31" t="inlineStr">
        <is>
          <t>Nano Cap ($50M–$300M) — Screener Results</t>
        </is>
      </c>
      <c r="B1" s="11" t="n"/>
      <c r="C1" s="11" t="n"/>
      <c r="D1" s="11" t="n"/>
      <c r="E1" s="11" t="n"/>
      <c r="F1" s="11" t="n"/>
      <c r="G1" s="11" t="n"/>
      <c r="H1" s="11" t="n"/>
      <c r="I1" s="11" t="n"/>
      <c r="J1" s="11" t="n"/>
      <c r="K1" s="11" t="n"/>
      <c r="L1" s="11" t="n"/>
      <c r="M1" s="11" t="n"/>
      <c r="N1" s="11" t="n"/>
      <c r="O1" s="11" t="n"/>
      <c r="P1" s="11" t="n"/>
      <c r="Q1" s="11" t="n"/>
      <c r="R1" s="11" t="n"/>
      <c r="S1" s="11" t="n"/>
      <c r="T1" s="11" t="n"/>
    </row>
    <row r="2" ht="22" customHeight="1">
      <c r="A2" s="32" t="inlineStr">
        <is>
          <t>Top 10 by combined score  |  April 29, 2026</t>
        </is>
      </c>
      <c r="B2" s="12" t="n"/>
      <c r="C2" s="12" t="n"/>
      <c r="D2" s="12" t="n"/>
      <c r="E2" s="12" t="n"/>
      <c r="F2" s="12" t="n"/>
      <c r="G2" s="12" t="n"/>
      <c r="H2" s="12" t="n"/>
      <c r="I2" s="12" t="n"/>
      <c r="J2" s="12" t="n"/>
      <c r="K2" s="12" t="n"/>
      <c r="L2" s="12" t="n"/>
      <c r="M2" s="12" t="n"/>
      <c r="N2" s="12" t="n"/>
      <c r="O2" s="12" t="n"/>
      <c r="P2" s="12" t="n"/>
      <c r="Q2" s="12" t="n"/>
      <c r="R2" s="12" t="n"/>
      <c r="S2" s="12" t="n"/>
      <c r="T2" s="12" t="n"/>
    </row>
    <row r="3" ht="8" customHeight="1"/>
    <row r="4" ht="18" customHeight="1">
      <c r="A4" s="18" t="inlineStr">
        <is>
          <t>Rank</t>
        </is>
      </c>
      <c r="B4" s="18" t="inlineStr">
        <is>
          <t>Ticker</t>
        </is>
      </c>
      <c r="C4" s="18" t="inlineStr">
        <is>
          <t>Company Name</t>
        </is>
      </c>
      <c r="D4" s="18" t="inlineStr">
        <is>
          <t>Mkt Cap ($M)</t>
        </is>
      </c>
      <c r="E4" s="18" t="inlineStr">
        <is>
          <t>Price</t>
        </is>
      </c>
      <c r="F4" s="18" t="inlineStr">
        <is>
          <t>Rev Growth YoY</t>
        </is>
      </c>
      <c r="G4" s="18" t="inlineStr">
        <is>
          <t>Rev Accel</t>
        </is>
      </c>
      <c r="H4" s="18" t="inlineStr">
        <is>
          <t>Gross Margin</t>
        </is>
      </c>
      <c r="I4" s="18" t="inlineStr">
        <is>
          <t>Dilution 3yr</t>
        </is>
      </c>
      <c r="J4" s="18" t="inlineStr">
        <is>
          <t>Insider %</t>
        </is>
      </c>
      <c r="K4" s="18" t="inlineStr">
        <is>
          <t>Composite</t>
        </is>
      </c>
      <c r="L4" s="18" t="inlineStr">
        <is>
          <t>Fingerprint</t>
        </is>
      </c>
      <c r="M4" s="18" t="inlineStr">
        <is>
          <t>Combined</t>
        </is>
      </c>
      <c r="N4" s="18" t="inlineStr">
        <is>
          <t>Run Maturity</t>
        </is>
      </c>
      <c r="O4" s="18" t="inlineStr">
        <is>
          <t>Conviction</t>
        </is>
      </c>
      <c r="P4" s="18" t="inlineStr">
        <is>
          <t>1M</t>
        </is>
      </c>
      <c r="Q4" s="18" t="inlineStr">
        <is>
          <t>3M</t>
        </is>
      </c>
      <c r="R4" s="18" t="inlineStr">
        <is>
          <t>6M</t>
        </is>
      </c>
      <c r="S4" s="18" t="inlineStr">
        <is>
          <t>YTD</t>
        </is>
      </c>
      <c r="T4" s="18" t="inlineStr">
        <is>
          <t>1Y</t>
        </is>
      </c>
    </row>
    <row r="5" ht="16" customHeight="1">
      <c r="A5" s="33" t="n">
        <v>1</v>
      </c>
      <c r="B5" s="19" t="inlineStr">
        <is>
          <t>SODI</t>
        </is>
      </c>
      <c r="C5" s="20" t="inlineStr">
        <is>
          <t>Solitron Devices, Inc.</t>
        </is>
      </c>
      <c r="D5" s="21" t="n">
        <v>56.9</v>
      </c>
      <c r="E5" s="34" t="n">
        <v>26.5</v>
      </c>
      <c r="F5" s="35" t="n">
        <v>0.491</v>
      </c>
      <c r="G5" s="35" t="n">
        <v>0.65</v>
      </c>
      <c r="H5" s="35" t="n">
        <v>0.343</v>
      </c>
      <c r="I5" s="35" t="n">
        <v>0.01</v>
      </c>
      <c r="J5" s="35" t="n">
        <v>0.228</v>
      </c>
      <c r="K5" s="36" t="n">
        <v>96.59999999999999</v>
      </c>
      <c r="L5" s="36" t="n">
        <v>98.2</v>
      </c>
      <c r="M5" s="37" t="n">
        <v>93.8</v>
      </c>
      <c r="N5" s="38" t="n">
        <v>47</v>
      </c>
      <c r="O5" s="23" t="inlineStr">
        <is>
          <t>High</t>
        </is>
      </c>
      <c r="P5" s="35" t="n">
        <v>0.0433071</v>
      </c>
      <c r="Q5" s="35" t="n">
        <v>0.2458862</v>
      </c>
      <c r="R5" s="35" t="n">
        <v>0.4640884</v>
      </c>
      <c r="S5" s="35" t="n">
        <v>0.4021164</v>
      </c>
      <c r="T5" s="35" t="n">
        <v>0.8064076</v>
      </c>
    </row>
    <row r="6" ht="16" customHeight="1">
      <c r="A6" s="33" t="n">
        <v>2</v>
      </c>
      <c r="B6" s="25" t="inlineStr">
        <is>
          <t>CODA</t>
        </is>
      </c>
      <c r="C6" s="26" t="inlineStr">
        <is>
          <t>Coda Octopus Group, Inc.</t>
        </is>
      </c>
      <c r="D6" s="27" t="n">
        <v>123.5</v>
      </c>
      <c r="E6" s="39" t="n">
        <v>10.88</v>
      </c>
      <c r="F6" s="40" t="n">
        <v>0.288</v>
      </c>
      <c r="G6" s="40" t="n">
        <v>0.309</v>
      </c>
      <c r="H6" s="40" t="n">
        <v>0.6509999999999999</v>
      </c>
      <c r="I6" s="40" t="n">
        <v>0.024</v>
      </c>
      <c r="J6" s="40" t="n">
        <v>0.467</v>
      </c>
      <c r="K6" s="41" t="n">
        <v>87.3</v>
      </c>
      <c r="L6" s="41" t="n">
        <v>74.09999999999999</v>
      </c>
      <c r="M6" s="42" t="n">
        <v>82</v>
      </c>
      <c r="N6" s="43" t="n">
        <v>31.7</v>
      </c>
      <c r="O6" s="24" t="inlineStr">
        <is>
          <t>Medium-High</t>
        </is>
      </c>
      <c r="P6" s="40" t="n">
        <v>-0.04477610000000001</v>
      </c>
      <c r="Q6" s="40" t="n">
        <v>0.0009199632000000001</v>
      </c>
      <c r="R6" s="40" t="n">
        <v>0.0522244</v>
      </c>
      <c r="S6" s="40" t="n">
        <v>0.1698925</v>
      </c>
      <c r="T6" s="40" t="n">
        <v>0.5768116</v>
      </c>
    </row>
    <row r="7" ht="16" customHeight="1">
      <c r="A7" s="33" t="n">
        <v>3</v>
      </c>
      <c r="B7" s="19" t="inlineStr">
        <is>
          <t>SCTQ</t>
        </is>
      </c>
      <c r="C7" s="20" t="inlineStr">
        <is>
          <t>Spectra Systems Corporation</t>
        </is>
      </c>
      <c r="D7" s="21" t="n">
        <v>101.7</v>
      </c>
      <c r="E7" s="34" t="n">
        <v>2.13</v>
      </c>
      <c r="F7" s="35" t="n">
        <v>5.018</v>
      </c>
      <c r="G7" s="35" t="n">
        <v>0</v>
      </c>
      <c r="H7" s="35" t="n">
        <v>0.57</v>
      </c>
      <c r="I7" s="35" t="n">
        <v>0.052</v>
      </c>
      <c r="J7" s="35" t="n">
        <v>0.179</v>
      </c>
      <c r="K7" s="36" t="n">
        <v>84.8</v>
      </c>
      <c r="L7" s="36" t="n">
        <v>73.3</v>
      </c>
      <c r="M7" s="37" t="n">
        <v>80.2</v>
      </c>
      <c r="N7" s="43" t="n">
        <v>20.5</v>
      </c>
      <c r="O7" s="24" t="inlineStr">
        <is>
          <t>Medium-High</t>
        </is>
      </c>
      <c r="P7" s="35" t="n">
        <v>0</v>
      </c>
      <c r="Q7" s="35" t="n">
        <v>0.0492611</v>
      </c>
      <c r="R7" s="35" t="n">
        <v>0.0492611</v>
      </c>
      <c r="S7" s="35" t="n">
        <v>0.0492611</v>
      </c>
      <c r="T7" s="35" t="n">
        <v>0.0492611</v>
      </c>
    </row>
    <row r="8" ht="16" customHeight="1">
      <c r="A8" s="33" t="n">
        <v>4</v>
      </c>
      <c r="B8" s="25" t="inlineStr">
        <is>
          <t>OPXS</t>
        </is>
      </c>
      <c r="C8" s="26" t="inlineStr">
        <is>
          <t>Optex Systems Holdings, Inc</t>
        </is>
      </c>
      <c r="D8" s="27" t="n">
        <v>70.40000000000001</v>
      </c>
      <c r="E8" s="39" t="n">
        <v>10.145</v>
      </c>
      <c r="F8" s="40" t="n">
        <v>0.116</v>
      </c>
      <c r="G8" s="40" t="n">
        <v>0.154</v>
      </c>
      <c r="H8" s="40" t="n">
        <v>0.229</v>
      </c>
      <c r="I8" s="40" t="n">
        <v>0.03700000000000001</v>
      </c>
      <c r="J8" s="40" t="n">
        <v>0.21</v>
      </c>
      <c r="K8" s="41" t="n">
        <v>66.7</v>
      </c>
      <c r="L8" s="41" t="n">
        <v>96.7</v>
      </c>
      <c r="M8" s="42" t="n">
        <v>78.7</v>
      </c>
      <c r="N8" s="43" t="n">
        <v>26.9</v>
      </c>
      <c r="O8" s="24" t="inlineStr">
        <is>
          <t>Medium-High</t>
        </is>
      </c>
      <c r="P8" s="40" t="n">
        <v>-0.237218</v>
      </c>
      <c r="Q8" s="40" t="n">
        <v>-0.3377937</v>
      </c>
      <c r="R8" s="40" t="n">
        <v>-0.4025324</v>
      </c>
      <c r="S8" s="40" t="n">
        <v>-0.2845557</v>
      </c>
      <c r="T8" s="40" t="n">
        <v>0.5777605</v>
      </c>
    </row>
    <row r="9" ht="16" customHeight="1">
      <c r="A9" s="33" t="n">
        <v>5</v>
      </c>
      <c r="B9" s="19" t="inlineStr">
        <is>
          <t>KVHI</t>
        </is>
      </c>
      <c r="C9" s="20" t="inlineStr">
        <is>
          <t>KVH Industries, Inc.</t>
        </is>
      </c>
      <c r="D9" s="21" t="n">
        <v>175.9</v>
      </c>
      <c r="E9" s="34" t="n">
        <v>9.029999999999999</v>
      </c>
      <c r="F9" s="35" t="n">
        <v>0.134</v>
      </c>
      <c r="G9" s="35" t="n">
        <v>0.214</v>
      </c>
      <c r="H9" s="35" t="n">
        <v>0.295</v>
      </c>
      <c r="I9" s="35" t="n">
        <v>0.024</v>
      </c>
      <c r="J9" s="35" t="n">
        <v>0.419</v>
      </c>
      <c r="K9" s="36" t="n">
        <v>72.8</v>
      </c>
      <c r="L9" s="36" t="n">
        <v>90.5</v>
      </c>
      <c r="M9" s="37" t="n">
        <v>78.2</v>
      </c>
      <c r="N9" s="38" t="n">
        <v>44.2</v>
      </c>
      <c r="O9" s="24" t="inlineStr">
        <is>
          <t>Medium-High</t>
        </is>
      </c>
      <c r="P9" s="35" t="n">
        <v>0.05</v>
      </c>
      <c r="Q9" s="35" t="n">
        <v>0.3240469</v>
      </c>
      <c r="R9" s="35" t="n">
        <v>0.505</v>
      </c>
      <c r="S9" s="35" t="n">
        <v>0.2955524</v>
      </c>
      <c r="T9" s="35" t="n">
        <v>0.7568093</v>
      </c>
    </row>
    <row r="10" ht="16" customHeight="1">
      <c r="A10" s="33" t="n">
        <v>6</v>
      </c>
      <c r="B10" s="25" t="inlineStr">
        <is>
          <t>SSTI</t>
        </is>
      </c>
      <c r="C10" s="26" t="inlineStr">
        <is>
          <t>SoundThinking, Inc.</t>
        </is>
      </c>
      <c r="D10" s="27" t="n">
        <v>88.2</v>
      </c>
      <c r="E10" s="39" t="n">
        <v>6.815</v>
      </c>
      <c r="F10" s="40" t="n">
        <v>0.059</v>
      </c>
      <c r="G10" s="40" t="n">
        <v>0.138</v>
      </c>
      <c r="H10" s="40" t="n">
        <v>0.509</v>
      </c>
      <c r="I10" s="40" t="n">
        <v>0.04099999999999999</v>
      </c>
      <c r="J10" s="40" t="n">
        <v>0.398</v>
      </c>
      <c r="K10" s="41" t="n">
        <v>71.2</v>
      </c>
      <c r="L10" s="41" t="n">
        <v>88.8</v>
      </c>
      <c r="M10" s="42" t="n">
        <v>78.2</v>
      </c>
      <c r="N10" s="43" t="n">
        <v>4.6</v>
      </c>
      <c r="O10" s="24" t="inlineStr">
        <is>
          <t>Medium-High</t>
        </is>
      </c>
      <c r="P10" s="40" t="n">
        <v>0.06651020000000001</v>
      </c>
      <c r="Q10" s="40" t="n">
        <v>-0.0468531</v>
      </c>
      <c r="R10" s="40" t="n">
        <v>-0.2592391</v>
      </c>
      <c r="S10" s="40" t="n">
        <v>-0.1513076</v>
      </c>
      <c r="T10" s="40" t="n">
        <v>-0.5727273000000001</v>
      </c>
    </row>
    <row r="11" ht="16" customHeight="1">
      <c r="A11" s="33" t="n">
        <v>7</v>
      </c>
      <c r="B11" s="19" t="inlineStr">
        <is>
          <t>SPRU</t>
        </is>
      </c>
      <c r="C11" s="20" t="inlineStr">
        <is>
          <t>Spruce Power Holding Corporation</t>
        </is>
      </c>
      <c r="D11" s="21" t="n">
        <v>60.6</v>
      </c>
      <c r="E11" s="34" t="n">
        <v>3.315</v>
      </c>
      <c r="F11" s="35" t="n">
        <v>0.188</v>
      </c>
      <c r="G11" s="35" t="n">
        <v>0.08199999999999999</v>
      </c>
      <c r="H11" s="35" t="n">
        <v>1.05</v>
      </c>
      <c r="I11" s="35" t="n">
        <v>-0.011</v>
      </c>
      <c r="J11" s="35" t="n">
        <v>0.213</v>
      </c>
      <c r="K11" s="36" t="n">
        <v>76.90000000000001</v>
      </c>
      <c r="L11" s="36" t="n">
        <v>78.3</v>
      </c>
      <c r="M11" s="37" t="n">
        <v>77.2</v>
      </c>
      <c r="N11" s="38" t="n">
        <v>40.9</v>
      </c>
      <c r="O11" s="24" t="inlineStr">
        <is>
          <t>Medium-High</t>
        </is>
      </c>
      <c r="P11" s="35" t="n">
        <v>-0.1670854</v>
      </c>
      <c r="Q11" s="35" t="n">
        <v>-0.4583332999999999</v>
      </c>
      <c r="R11" s="35" t="n">
        <v>0.1391753</v>
      </c>
      <c r="S11" s="35" t="n">
        <v>-0.348723</v>
      </c>
      <c r="T11" s="35" t="n">
        <v>0.6742424</v>
      </c>
    </row>
    <row r="12" ht="16" customHeight="1">
      <c r="A12" s="33" t="n">
        <v>8</v>
      </c>
      <c r="B12" s="25" t="inlineStr">
        <is>
          <t>TAYD</t>
        </is>
      </c>
      <c r="C12" s="26" t="inlineStr">
        <is>
          <t>Taylor Devices, Inc.</t>
        </is>
      </c>
      <c r="D12" s="27" t="n">
        <v>175.4</v>
      </c>
      <c r="E12" s="39" t="n">
        <v>54.51</v>
      </c>
      <c r="F12" s="40" t="n">
        <v>0.058</v>
      </c>
      <c r="G12" s="40" t="n">
        <v>0.182</v>
      </c>
      <c r="H12" s="40" t="n">
        <v>0.402</v>
      </c>
      <c r="I12" s="40" t="n">
        <v>-0.104</v>
      </c>
      <c r="J12" s="40" t="n">
        <v>0.026</v>
      </c>
      <c r="K12" s="41" t="n">
        <v>61.7</v>
      </c>
      <c r="L12" s="41" t="n">
        <v>96.59999999999999</v>
      </c>
      <c r="M12" s="42" t="n">
        <v>75.7</v>
      </c>
      <c r="N12" s="43" t="n">
        <v>39.8</v>
      </c>
      <c r="O12" s="24" t="inlineStr">
        <is>
          <t>Medium-High</t>
        </is>
      </c>
      <c r="P12" s="40" t="n">
        <v>-0.271938</v>
      </c>
      <c r="Q12" s="40" t="n">
        <v>-0.2438618</v>
      </c>
      <c r="R12" s="40" t="n">
        <v>0.2388636</v>
      </c>
      <c r="S12" s="40" t="n">
        <v>-0.06756760000000001</v>
      </c>
      <c r="T12" s="40" t="n">
        <v>0.725</v>
      </c>
    </row>
    <row r="13" ht="16" customHeight="1">
      <c r="A13" s="33" t="n">
        <v>9</v>
      </c>
      <c r="B13" s="19" t="inlineStr">
        <is>
          <t>BYRN</t>
        </is>
      </c>
      <c r="C13" s="20" t="inlineStr">
        <is>
          <t>Byrna Technologies Inc.</t>
        </is>
      </c>
      <c r="D13" s="21" t="n">
        <v>130.1</v>
      </c>
      <c r="E13" s="34" t="n">
        <v>5.7419</v>
      </c>
      <c r="F13" s="35" t="n">
        <v>0.109</v>
      </c>
      <c r="G13" s="35" t="n">
        <v>-0.183</v>
      </c>
      <c r="H13" s="35" t="n">
        <v>0.599</v>
      </c>
      <c r="I13" s="35" t="n">
        <v>0.03700000000000001</v>
      </c>
      <c r="J13" s="35" t="n">
        <v>0.217</v>
      </c>
      <c r="K13" s="36" t="n">
        <v>62.2</v>
      </c>
      <c r="L13" s="36" t="n">
        <v>91.40000000000001</v>
      </c>
      <c r="M13" s="37" t="n">
        <v>73.90000000000001</v>
      </c>
      <c r="N13" s="43" t="n">
        <v>0.5</v>
      </c>
      <c r="O13" s="29" t="inlineStr">
        <is>
          <t>Medium</t>
        </is>
      </c>
      <c r="P13" s="35" t="n">
        <v>-0.3475114</v>
      </c>
      <c r="Q13" s="35" t="n">
        <v>-0.5962096</v>
      </c>
      <c r="R13" s="35" t="n">
        <v>-0.7190851</v>
      </c>
      <c r="S13" s="35" t="n">
        <v>-0.6580167</v>
      </c>
      <c r="T13" s="35" t="n">
        <v>-0.7451443000000001</v>
      </c>
    </row>
    <row r="14" ht="16" customHeight="1">
      <c r="A14" s="33" t="n">
        <v>10</v>
      </c>
      <c r="B14" s="25" t="inlineStr">
        <is>
          <t>ULBI</t>
        </is>
      </c>
      <c r="C14" s="26" t="inlineStr">
        <is>
          <t>Ultralife Corporation</t>
        </is>
      </c>
      <c r="D14" s="27" t="n">
        <v>114.2</v>
      </c>
      <c r="E14" s="39" t="n">
        <v>6.855</v>
      </c>
      <c r="F14" s="40" t="n">
        <v>0.106</v>
      </c>
      <c r="G14" s="40" t="n">
        <v>0.06</v>
      </c>
      <c r="H14" s="40" t="n">
        <v>0.249</v>
      </c>
      <c r="I14" s="40" t="n">
        <v>0.032</v>
      </c>
      <c r="J14" s="40" t="n">
        <v>0.416</v>
      </c>
      <c r="K14" s="41" t="n">
        <v>63.5</v>
      </c>
      <c r="L14" s="41" t="n">
        <v>89.59999999999999</v>
      </c>
      <c r="M14" s="42" t="n">
        <v>73.90000000000001</v>
      </c>
      <c r="N14" s="43" t="n">
        <v>29</v>
      </c>
      <c r="O14" s="29" t="inlineStr">
        <is>
          <t>Medium</t>
        </is>
      </c>
      <c r="P14" s="40" t="n">
        <v>0.0744514</v>
      </c>
      <c r="Q14" s="40" t="n">
        <v>0.0595054</v>
      </c>
      <c r="R14" s="40" t="n">
        <v>-0.0007288630000000001</v>
      </c>
      <c r="S14" s="40" t="n">
        <v>0.1984266</v>
      </c>
      <c r="T14" s="40" t="n">
        <v>0.4647436</v>
      </c>
    </row>
    <row r="17" ht="22" customHeight="1">
      <c r="A17" s="16" t="inlineStr">
        <is>
          <t>SCORE COMPONENT BREAKDOWN</t>
        </is>
      </c>
      <c r="B17" s="17" t="n"/>
      <c r="C17" s="17" t="n"/>
      <c r="D17" s="17" t="n"/>
      <c r="E17" s="17" t="n"/>
      <c r="F17" s="17" t="n"/>
      <c r="G17" s="17" t="n"/>
      <c r="H17" s="17" t="n"/>
      <c r="I17" s="17" t="n"/>
      <c r="J17" s="17" t="n"/>
      <c r="K17" s="17" t="n"/>
      <c r="L17" s="17" t="n"/>
      <c r="M17" s="17" t="n"/>
      <c r="N17" s="17" t="n"/>
      <c r="O17" s="17" t="n"/>
      <c r="P17" s="17" t="n"/>
      <c r="Q17" s="17" t="n"/>
      <c r="R17" s="17" t="n"/>
      <c r="S17" s="17" t="n"/>
      <c r="T17" s="17" t="n"/>
    </row>
    <row r="18" ht="18" customHeight="1">
      <c r="A18" s="18" t="inlineStr">
        <is>
          <t>Ticker</t>
        </is>
      </c>
      <c r="B18" s="18" t="inlineStr">
        <is>
          <t>Rev Growth</t>
        </is>
      </c>
      <c r="C18" s="18" t="inlineStr">
        <is>
          <t>Gross Margin</t>
        </is>
      </c>
      <c r="D18" s="18" t="inlineStr">
        <is>
          <t>Dilution</t>
        </is>
      </c>
      <c r="E18" s="18" t="inlineStr">
        <is>
          <t>Insider Own</t>
        </is>
      </c>
      <c r="F18" s="18" t="inlineStr">
        <is>
          <t>Acceleration</t>
        </is>
      </c>
    </row>
    <row r="19" ht="16" customHeight="1">
      <c r="A19" s="19" t="inlineStr">
        <is>
          <t>SODI</t>
        </is>
      </c>
      <c r="B19" s="36" t="n">
        <v>98.2</v>
      </c>
      <c r="C19" s="36" t="n">
        <v>85.8</v>
      </c>
      <c r="D19" s="36" t="n">
        <v>100</v>
      </c>
      <c r="E19" s="36" t="n">
        <v>100</v>
      </c>
      <c r="F19" s="36" t="n">
        <v>100</v>
      </c>
    </row>
    <row r="20" ht="16" customHeight="1">
      <c r="A20" s="25" t="inlineStr">
        <is>
          <t>CODA</t>
        </is>
      </c>
      <c r="B20" s="41" t="n">
        <v>57.6</v>
      </c>
      <c r="C20" s="41" t="n">
        <v>100</v>
      </c>
      <c r="D20" s="41" t="n">
        <v>100</v>
      </c>
      <c r="E20" s="41" t="n">
        <v>100</v>
      </c>
      <c r="F20" s="41" t="n">
        <v>100</v>
      </c>
    </row>
    <row r="21" ht="16" customHeight="1">
      <c r="A21" s="19" t="inlineStr">
        <is>
          <t>SCTQ</t>
        </is>
      </c>
      <c r="B21" s="36" t="n">
        <v>100</v>
      </c>
      <c r="C21" s="36" t="n">
        <v>100</v>
      </c>
      <c r="D21" s="36" t="n">
        <v>99.2</v>
      </c>
      <c r="E21" s="36" t="n">
        <v>100</v>
      </c>
      <c r="F21" s="36" t="n">
        <v>50</v>
      </c>
    </row>
    <row r="22" ht="16" customHeight="1">
      <c r="A22" s="25" t="inlineStr">
        <is>
          <t>OPXS</t>
        </is>
      </c>
      <c r="B22" s="41" t="n">
        <v>23.2</v>
      </c>
      <c r="C22" s="41" t="n">
        <v>57.2</v>
      </c>
      <c r="D22" s="41" t="n">
        <v>100</v>
      </c>
      <c r="E22" s="41" t="n">
        <v>100</v>
      </c>
      <c r="F22" s="41" t="n">
        <v>88.5</v>
      </c>
    </row>
    <row r="23" ht="16" customHeight="1">
      <c r="A23" s="19" t="inlineStr">
        <is>
          <t>KVHI</t>
        </is>
      </c>
      <c r="B23" s="36" t="n">
        <v>26.8</v>
      </c>
      <c r="C23" s="36" t="n">
        <v>73.8</v>
      </c>
      <c r="D23" s="36" t="n">
        <v>100</v>
      </c>
      <c r="E23" s="36" t="n">
        <v>100</v>
      </c>
      <c r="F23" s="36" t="n">
        <v>100</v>
      </c>
    </row>
    <row r="24" ht="16" customHeight="1">
      <c r="A24" s="25" t="inlineStr">
        <is>
          <t>SSTI</t>
        </is>
      </c>
      <c r="B24" s="41" t="n">
        <v>11.8</v>
      </c>
      <c r="C24" s="41" t="n">
        <v>100</v>
      </c>
      <c r="D24" s="41" t="n">
        <v>100</v>
      </c>
      <c r="E24" s="41" t="n">
        <v>100</v>
      </c>
      <c r="F24" s="41" t="n">
        <v>84.5</v>
      </c>
    </row>
    <row r="25" ht="16" customHeight="1">
      <c r="A25" s="19" t="inlineStr">
        <is>
          <t>SPRU</t>
        </is>
      </c>
      <c r="B25" s="36" t="n">
        <v>37.6</v>
      </c>
      <c r="C25" s="36" t="n">
        <v>100</v>
      </c>
      <c r="D25" s="36" t="n">
        <v>100</v>
      </c>
      <c r="E25" s="36" t="n">
        <v>100</v>
      </c>
      <c r="F25" s="36" t="n">
        <v>70.5</v>
      </c>
    </row>
    <row r="26" ht="16" customHeight="1">
      <c r="A26" s="25" t="inlineStr">
        <is>
          <t>TAYD</t>
        </is>
      </c>
      <c r="B26" s="41" t="n">
        <v>11.6</v>
      </c>
      <c r="C26" s="41" t="n">
        <v>100</v>
      </c>
      <c r="D26" s="41" t="n">
        <v>100</v>
      </c>
      <c r="E26" s="41" t="n">
        <v>26</v>
      </c>
      <c r="F26" s="41" t="n">
        <v>95.5</v>
      </c>
    </row>
    <row r="27" ht="16" customHeight="1">
      <c r="A27" s="19" t="inlineStr">
        <is>
          <t>BYRN</t>
        </is>
      </c>
      <c r="B27" s="36" t="n">
        <v>21.8</v>
      </c>
      <c r="C27" s="36" t="n">
        <v>100</v>
      </c>
      <c r="D27" s="36" t="n">
        <v>100</v>
      </c>
      <c r="E27" s="36" t="n">
        <v>100</v>
      </c>
      <c r="F27" s="36" t="n">
        <v>4.2</v>
      </c>
    </row>
    <row r="28" ht="16" customHeight="1">
      <c r="A28" s="25" t="inlineStr">
        <is>
          <t>ULBI</t>
        </is>
      </c>
      <c r="B28" s="41" t="n">
        <v>21.2</v>
      </c>
      <c r="C28" s="41" t="n">
        <v>62.2</v>
      </c>
      <c r="D28" s="41" t="n">
        <v>100</v>
      </c>
      <c r="E28" s="41" t="n">
        <v>100</v>
      </c>
      <c r="F28" s="41" t="n">
        <v>65</v>
      </c>
    </row>
    <row r="60">
      <c r="A60" t="inlineStr">
        <is>
          <t>Ticker</t>
        </is>
      </c>
      <c r="B60" t="inlineStr">
        <is>
          <t>Gross Margin</t>
        </is>
      </c>
      <c r="C60" t="inlineStr">
        <is>
          <t>Rev Growth</t>
        </is>
      </c>
      <c r="D60" t="inlineStr">
        <is>
          <t>Mkt Cap</t>
        </is>
      </c>
    </row>
    <row r="61">
      <c r="A61" t="inlineStr">
        <is>
          <t>SODI</t>
        </is>
      </c>
      <c r="B61" t="n">
        <v>34.3</v>
      </c>
      <c r="C61" t="n">
        <v>49.1</v>
      </c>
      <c r="D61" t="n">
        <v>56.9</v>
      </c>
    </row>
    <row r="62">
      <c r="A62" t="inlineStr">
        <is>
          <t>CODA</t>
        </is>
      </c>
      <c r="B62" t="n">
        <v>65.09999999999999</v>
      </c>
      <c r="C62" t="n">
        <v>28.8</v>
      </c>
      <c r="D62" t="n">
        <v>123.5</v>
      </c>
    </row>
    <row r="63">
      <c r="A63" t="inlineStr">
        <is>
          <t>SCTQ</t>
        </is>
      </c>
      <c r="B63" t="n">
        <v>57</v>
      </c>
      <c r="C63" t="n">
        <v>501.8</v>
      </c>
      <c r="D63" t="n">
        <v>101.7</v>
      </c>
    </row>
    <row r="64">
      <c r="A64" t="inlineStr">
        <is>
          <t>OPXS</t>
        </is>
      </c>
      <c r="B64" t="n">
        <v>22.9</v>
      </c>
      <c r="C64" t="n">
        <v>11.6</v>
      </c>
      <c r="D64" t="n">
        <v>70.40000000000001</v>
      </c>
    </row>
    <row r="65">
      <c r="A65" t="inlineStr">
        <is>
          <t>KVHI</t>
        </is>
      </c>
      <c r="B65" t="n">
        <v>29.5</v>
      </c>
      <c r="C65" t="n">
        <v>13.4</v>
      </c>
      <c r="D65" t="n">
        <v>175.9</v>
      </c>
    </row>
    <row r="66">
      <c r="A66" t="inlineStr">
        <is>
          <t>SSTI</t>
        </is>
      </c>
      <c r="B66" t="n">
        <v>50.9</v>
      </c>
      <c r="C66" t="n">
        <v>5.9</v>
      </c>
      <c r="D66" t="n">
        <v>88.2</v>
      </c>
    </row>
    <row r="67">
      <c r="A67" t="inlineStr">
        <is>
          <t>SPRU</t>
        </is>
      </c>
      <c r="B67" t="n">
        <v>105</v>
      </c>
      <c r="C67" t="n">
        <v>18.8</v>
      </c>
      <c r="D67" t="n">
        <v>60.6</v>
      </c>
    </row>
    <row r="68">
      <c r="A68" t="inlineStr">
        <is>
          <t>TAYD</t>
        </is>
      </c>
      <c r="B68" t="n">
        <v>40.2</v>
      </c>
      <c r="C68" t="n">
        <v>5.8</v>
      </c>
      <c r="D68" t="n">
        <v>175.4</v>
      </c>
    </row>
    <row r="69">
      <c r="A69" t="inlineStr">
        <is>
          <t>BYRN</t>
        </is>
      </c>
      <c r="B69" t="n">
        <v>59.9</v>
      </c>
      <c r="C69" t="n">
        <v>10.9</v>
      </c>
      <c r="D69" t="n">
        <v>130.1</v>
      </c>
    </row>
    <row r="70">
      <c r="A70" t="inlineStr">
        <is>
          <t>ULBI</t>
        </is>
      </c>
      <c r="B70" t="n">
        <v>24.9</v>
      </c>
      <c r="C70" t="n">
        <v>10.6</v>
      </c>
      <c r="D70" t="n">
        <v>114.2</v>
      </c>
    </row>
  </sheetData>
  <mergeCells count="3">
    <mergeCell ref="A1:T1"/>
    <mergeCell ref="A2:T2"/>
    <mergeCell ref="A17:T17"/>
  </mergeCells>
  <conditionalFormatting sqref="K5:K14">
    <cfRule type="colorScale" priority="1">
      <colorScale>
        <cfvo type="num" val="0"/>
        <cfvo type="num" val="50"/>
        <cfvo type="num" val="100"/>
        <color rgb="00C1121F"/>
        <color rgb="00F9C74F"/>
        <color rgb="001A6B3C"/>
      </colorScale>
    </cfRule>
  </conditionalFormatting>
  <conditionalFormatting sqref="L5:L14">
    <cfRule type="colorScale" priority="2">
      <colorScale>
        <cfvo type="num" val="0"/>
        <cfvo type="num" val="50"/>
        <cfvo type="num" val="100"/>
        <color rgb="00C1121F"/>
        <color rgb="00F9C74F"/>
        <color rgb="001A6B3C"/>
      </colorScale>
    </cfRule>
  </conditionalFormatting>
  <conditionalFormatting sqref="M5:M14">
    <cfRule type="colorScale" priority="3">
      <colorScale>
        <cfvo type="num" val="0"/>
        <cfvo type="num" val="50"/>
        <cfvo type="num" val="100"/>
        <color rgb="00C1121F"/>
        <color rgb="00F9C74F"/>
        <color rgb="001A6B3C"/>
      </colorScale>
    </cfRule>
  </conditionalFormatting>
  <conditionalFormatting sqref="N5:N14">
    <cfRule type="colorScale" priority="4">
      <colorScale>
        <cfvo type="min"/>
        <cfvo type="max"/>
        <color rgb="002A9D8F"/>
        <color rgb="00E76F51"/>
      </colorScale>
    </cfRule>
  </conditionalFormatting>
  <conditionalFormatting sqref="F5:F14">
    <cfRule type="colorScale" priority="5">
      <colorScale>
        <cfvo type="min"/>
        <cfvo type="max"/>
        <color rgb="00FFFFFF"/>
        <color rgb="002A9D8F"/>
      </colorScale>
    </cfRule>
  </conditionalFormatting>
  <conditionalFormatting sqref="H5:H14">
    <cfRule type="colorScale" priority="6">
      <colorScale>
        <cfvo type="min"/>
        <cfvo type="max"/>
        <color rgb="00FFFFFF"/>
        <color rgb="002A9D8F"/>
      </colorScale>
    </cfRule>
  </conditionalFormatting>
  <conditionalFormatting sqref="I5:I14">
    <cfRule type="colorScale" priority="7">
      <colorScale>
        <cfvo type="min"/>
        <cfvo type="max"/>
        <color rgb="002A9D8F"/>
        <color rgb="00E76F51"/>
      </colorScale>
    </cfRule>
  </conditionalFormatting>
  <conditionalFormatting sqref="J5:J14">
    <cfRule type="colorScale" priority="8">
      <colorScale>
        <cfvo type="min"/>
        <cfvo type="max"/>
        <color rgb="00FFFFFF"/>
        <color rgb="002A9D8F"/>
      </colorScale>
    </cfRule>
  </conditionalFormatting>
  <conditionalFormatting sqref="P5:P14">
    <cfRule type="colorScale" priority="9">
      <colorScale>
        <cfvo type="min"/>
        <cfvo type="num" val="0"/>
        <cfvo type="max"/>
        <color rgb="00E76F51"/>
        <color rgb="00FFFFFF"/>
        <color rgb="002A9D8F"/>
      </colorScale>
    </cfRule>
  </conditionalFormatting>
  <conditionalFormatting sqref="Q5:Q14">
    <cfRule type="colorScale" priority="10">
      <colorScale>
        <cfvo type="min"/>
        <cfvo type="num" val="0"/>
        <cfvo type="max"/>
        <color rgb="00E76F51"/>
        <color rgb="00FFFFFF"/>
        <color rgb="002A9D8F"/>
      </colorScale>
    </cfRule>
  </conditionalFormatting>
  <conditionalFormatting sqref="R5:R14">
    <cfRule type="colorScale" priority="11">
      <colorScale>
        <cfvo type="min"/>
        <cfvo type="num" val="0"/>
        <cfvo type="max"/>
        <color rgb="00E76F51"/>
        <color rgb="00FFFFFF"/>
        <color rgb="002A9D8F"/>
      </colorScale>
    </cfRule>
  </conditionalFormatting>
  <conditionalFormatting sqref="S5:S14">
    <cfRule type="colorScale" priority="12">
      <colorScale>
        <cfvo type="min"/>
        <cfvo type="num" val="0"/>
        <cfvo type="max"/>
        <color rgb="00E76F51"/>
        <color rgb="00FFFFFF"/>
        <color rgb="002A9D8F"/>
      </colorScale>
    </cfRule>
  </conditionalFormatting>
  <conditionalFormatting sqref="T5:T14">
    <cfRule type="colorScale" priority="13">
      <colorScale>
        <cfvo type="min"/>
        <cfvo type="num" val="0"/>
        <cfvo type="max"/>
        <color rgb="00E76F51"/>
        <color rgb="00FFFFFF"/>
        <color rgb="002A9D8F"/>
      </colorScale>
    </cfRule>
  </conditionalFormatting>
  <conditionalFormatting sqref="B19:B28">
    <cfRule type="colorScale" priority="14">
      <colorScale>
        <cfvo type="num" val="0"/>
        <cfvo type="num" val="50"/>
        <cfvo type="num" val="100"/>
        <color rgb="00C1121F"/>
        <color rgb="00F9C74F"/>
        <color rgb="001A6B3C"/>
      </colorScale>
    </cfRule>
  </conditionalFormatting>
  <conditionalFormatting sqref="C19:C28">
    <cfRule type="colorScale" priority="15">
      <colorScale>
        <cfvo type="num" val="0"/>
        <cfvo type="num" val="50"/>
        <cfvo type="num" val="100"/>
        <color rgb="00C1121F"/>
        <color rgb="00F9C74F"/>
        <color rgb="001A6B3C"/>
      </colorScale>
    </cfRule>
  </conditionalFormatting>
  <conditionalFormatting sqref="D19:D28">
    <cfRule type="colorScale" priority="16">
      <colorScale>
        <cfvo type="num" val="0"/>
        <cfvo type="num" val="50"/>
        <cfvo type="num" val="100"/>
        <color rgb="00C1121F"/>
        <color rgb="00F9C74F"/>
        <color rgb="001A6B3C"/>
      </colorScale>
    </cfRule>
  </conditionalFormatting>
  <conditionalFormatting sqref="E19:E28">
    <cfRule type="colorScale" priority="17">
      <colorScale>
        <cfvo type="num" val="0"/>
        <cfvo type="num" val="50"/>
        <cfvo type="num" val="100"/>
        <color rgb="00C1121F"/>
        <color rgb="00F9C74F"/>
        <color rgb="001A6B3C"/>
      </colorScale>
    </cfRule>
  </conditionalFormatting>
  <conditionalFormatting sqref="F19:F28">
    <cfRule type="colorScale" priority="18">
      <colorScale>
        <cfvo type="num" val="0"/>
        <cfvo type="num" val="50"/>
        <cfvo type="num" val="100"/>
        <color rgb="00C1121F"/>
        <color rgb="00F9C74F"/>
        <color rgb="001A6B3C"/>
      </colorScale>
    </cfRule>
  </conditionalFormatting>
  <pageMargins left="0.75" right="0.75" top="1" bottom="1" header="0.5" footer="0.5"/>
  <pageSetup orientation="landscape" fitToWidth="1"/>
  <drawing xmlns:r="http://schemas.openxmlformats.org/officeDocument/2006/relationships" r:id="rId1"/>
</worksheet>
</file>

<file path=xl/worksheets/sheet3.xml><?xml version="1.0" encoding="utf-8"?>
<worksheet xmlns="http://schemas.openxmlformats.org/spreadsheetml/2006/main">
  <sheetPr>
    <tabColor rgb="002A9D8F"/>
    <outlinePr summaryBelow="1" summaryRight="1"/>
    <pageSetUpPr fitToPage="1"/>
  </sheetPr>
  <dimension ref="A1:T70"/>
  <sheetViews>
    <sheetView showGridLines="0" workbookViewId="0">
      <pane xSplit="2" ySplit="4" topLeftCell="C5" activePane="bottomRight" state="frozen"/>
      <selection pane="topRight"/>
      <selection pane="bottomLeft"/>
      <selection pane="bottomRight" activeCell="A1" sqref="A1"/>
    </sheetView>
  </sheetViews>
  <sheetFormatPr baseColWidth="8" defaultRowHeight="15"/>
  <cols>
    <col width="6" customWidth="1" min="1" max="1"/>
    <col width="9" customWidth="1" min="2" max="2"/>
    <col width="28" customWidth="1" min="3" max="3"/>
    <col width="14" customWidth="1" min="4" max="4"/>
    <col width="12" customWidth="1" min="5" max="5"/>
    <col width="14" customWidth="1" min="6" max="6"/>
    <col width="14" customWidth="1" min="7" max="7"/>
    <col width="14" customWidth="1" min="8" max="8"/>
    <col width="14" customWidth="1" min="9" max="9"/>
    <col width="12" customWidth="1" min="10" max="10"/>
    <col width="12" customWidth="1" min="11" max="11"/>
    <col width="12" customWidth="1" min="12" max="12"/>
    <col width="12" customWidth="1" min="13" max="13"/>
    <col width="14" customWidth="1" min="14" max="14"/>
    <col width="12" customWidth="1" min="15" max="15"/>
    <col width="10" customWidth="1" min="16" max="16"/>
    <col width="10" customWidth="1" min="17" max="17"/>
    <col width="10" customWidth="1" min="18" max="18"/>
    <col width="10" customWidth="1" min="19" max="19"/>
    <col width="10" customWidth="1" min="20" max="20"/>
  </cols>
  <sheetData>
    <row r="1" ht="28" customHeight="1">
      <c r="A1" s="31" t="inlineStr">
        <is>
          <t>Small Cap ($300M–$2B) — Screener Results</t>
        </is>
      </c>
      <c r="B1" s="11" t="n"/>
      <c r="C1" s="11" t="n"/>
      <c r="D1" s="11" t="n"/>
      <c r="E1" s="11" t="n"/>
      <c r="F1" s="11" t="n"/>
      <c r="G1" s="11" t="n"/>
      <c r="H1" s="11" t="n"/>
      <c r="I1" s="11" t="n"/>
      <c r="J1" s="11" t="n"/>
      <c r="K1" s="11" t="n"/>
      <c r="L1" s="11" t="n"/>
      <c r="M1" s="11" t="n"/>
      <c r="N1" s="11" t="n"/>
      <c r="O1" s="11" t="n"/>
      <c r="P1" s="11" t="n"/>
      <c r="Q1" s="11" t="n"/>
      <c r="R1" s="11" t="n"/>
      <c r="S1" s="11" t="n"/>
      <c r="T1" s="11" t="n"/>
    </row>
    <row r="2" ht="22" customHeight="1">
      <c r="A2" s="32" t="inlineStr">
        <is>
          <t>Top 10 by combined score  |  April 29, 2026</t>
        </is>
      </c>
      <c r="B2" s="12" t="n"/>
      <c r="C2" s="12" t="n"/>
      <c r="D2" s="12" t="n"/>
      <c r="E2" s="12" t="n"/>
      <c r="F2" s="12" t="n"/>
      <c r="G2" s="12" t="n"/>
      <c r="H2" s="12" t="n"/>
      <c r="I2" s="12" t="n"/>
      <c r="J2" s="12" t="n"/>
      <c r="K2" s="12" t="n"/>
      <c r="L2" s="12" t="n"/>
      <c r="M2" s="12" t="n"/>
      <c r="N2" s="12" t="n"/>
      <c r="O2" s="12" t="n"/>
      <c r="P2" s="12" t="n"/>
      <c r="Q2" s="12" t="n"/>
      <c r="R2" s="12" t="n"/>
      <c r="S2" s="12" t="n"/>
      <c r="T2" s="12" t="n"/>
    </row>
    <row r="3" ht="8" customHeight="1"/>
    <row r="4" ht="18" customHeight="1">
      <c r="A4" s="18" t="inlineStr">
        <is>
          <t>Rank</t>
        </is>
      </c>
      <c r="B4" s="18" t="inlineStr">
        <is>
          <t>Ticker</t>
        </is>
      </c>
      <c r="C4" s="18" t="inlineStr">
        <is>
          <t>Company Name</t>
        </is>
      </c>
      <c r="D4" s="18" t="inlineStr">
        <is>
          <t>Mkt Cap ($M)</t>
        </is>
      </c>
      <c r="E4" s="18" t="inlineStr">
        <is>
          <t>Price</t>
        </is>
      </c>
      <c r="F4" s="18" t="inlineStr">
        <is>
          <t>Rev Growth YoY</t>
        </is>
      </c>
      <c r="G4" s="18" t="inlineStr">
        <is>
          <t>Rev Accel</t>
        </is>
      </c>
      <c r="H4" s="18" t="inlineStr">
        <is>
          <t>Gross Margin</t>
        </is>
      </c>
      <c r="I4" s="18" t="inlineStr">
        <is>
          <t>Dilution 3yr</t>
        </is>
      </c>
      <c r="J4" s="18" t="inlineStr">
        <is>
          <t>Insider %</t>
        </is>
      </c>
      <c r="K4" s="18" t="inlineStr">
        <is>
          <t>Composite</t>
        </is>
      </c>
      <c r="L4" s="18" t="inlineStr">
        <is>
          <t>Fingerprint</t>
        </is>
      </c>
      <c r="M4" s="18" t="inlineStr">
        <is>
          <t>Combined</t>
        </is>
      </c>
      <c r="N4" s="18" t="inlineStr">
        <is>
          <t>Run Maturity</t>
        </is>
      </c>
      <c r="O4" s="18" t="inlineStr">
        <is>
          <t>Conviction</t>
        </is>
      </c>
      <c r="P4" s="18" t="inlineStr">
        <is>
          <t>1M</t>
        </is>
      </c>
      <c r="Q4" s="18" t="inlineStr">
        <is>
          <t>3M</t>
        </is>
      </c>
      <c r="R4" s="18" t="inlineStr">
        <is>
          <t>6M</t>
        </is>
      </c>
      <c r="S4" s="18" t="inlineStr">
        <is>
          <t>YTD</t>
        </is>
      </c>
      <c r="T4" s="18" t="inlineStr">
        <is>
          <t>1Y</t>
        </is>
      </c>
    </row>
    <row r="5" ht="16" customHeight="1">
      <c r="A5" s="33" t="n">
        <v>1</v>
      </c>
      <c r="B5" s="19" t="inlineStr">
        <is>
          <t>GOGO</t>
        </is>
      </c>
      <c r="C5" s="20" t="inlineStr">
        <is>
          <t>Gogo Inc.</t>
        </is>
      </c>
      <c r="D5" s="21" t="n">
        <v>534.2</v>
      </c>
      <c r="E5" s="34" t="n">
        <v>3.955</v>
      </c>
      <c r="F5" s="35" t="n">
        <v>0.6729999999999999</v>
      </c>
      <c r="G5" s="35" t="n">
        <v>0.352</v>
      </c>
      <c r="H5" s="35" t="n">
        <v>0.705</v>
      </c>
      <c r="I5" s="35" t="n">
        <v>0.044</v>
      </c>
      <c r="J5" s="35" t="n">
        <v>0.429</v>
      </c>
      <c r="K5" s="36" t="n">
        <v>100</v>
      </c>
      <c r="L5" s="36" t="n">
        <v>73.3</v>
      </c>
      <c r="M5" s="37" t="n">
        <v>89.3</v>
      </c>
      <c r="N5" s="43" t="n">
        <v>0.5</v>
      </c>
      <c r="O5" s="23" t="inlineStr">
        <is>
          <t>High</t>
        </is>
      </c>
      <c r="P5" s="35" t="n">
        <v>-0.08236660000000001</v>
      </c>
      <c r="Q5" s="35" t="n">
        <v>-0.1288546</v>
      </c>
      <c r="R5" s="35" t="n">
        <v>-0.5459242</v>
      </c>
      <c r="S5" s="35" t="n">
        <v>-0.1512876</v>
      </c>
      <c r="T5" s="35" t="n">
        <v>-0.490991</v>
      </c>
    </row>
    <row r="6" ht="16" customHeight="1">
      <c r="A6" s="33" t="n">
        <v>2</v>
      </c>
      <c r="B6" s="25" t="inlineStr">
        <is>
          <t>CLFD</t>
        </is>
      </c>
      <c r="C6" s="26" t="inlineStr">
        <is>
          <t>Clearfield, Inc.</t>
        </is>
      </c>
      <c r="D6" s="27" t="n">
        <v>388</v>
      </c>
      <c r="E6" s="39" t="n">
        <v>28.005</v>
      </c>
      <c r="F6" s="40" t="n">
        <v>0.156</v>
      </c>
      <c r="G6" s="40" t="n">
        <v>0.351</v>
      </c>
      <c r="H6" s="40" t="n">
        <v>0.332</v>
      </c>
      <c r="I6" s="40" t="n">
        <v>-0.09</v>
      </c>
      <c r="J6" s="40" t="n">
        <v>0.19</v>
      </c>
      <c r="K6" s="41" t="n">
        <v>76</v>
      </c>
      <c r="L6" s="41" t="n">
        <v>100</v>
      </c>
      <c r="M6" s="42" t="n">
        <v>85.59999999999999</v>
      </c>
      <c r="N6" s="43" t="n">
        <v>8.199999999999999</v>
      </c>
      <c r="O6" s="23" t="inlineStr">
        <is>
          <t>High</t>
        </is>
      </c>
      <c r="P6" s="40" t="n">
        <v>0.0124729</v>
      </c>
      <c r="Q6" s="40" t="n">
        <v>-0.0655656</v>
      </c>
      <c r="R6" s="40" t="n">
        <v>-0.2244531</v>
      </c>
      <c r="S6" s="40" t="n">
        <v>-0.0392796</v>
      </c>
      <c r="T6" s="40" t="n">
        <v>-0.0425641</v>
      </c>
    </row>
    <row r="7" ht="16" customHeight="1">
      <c r="A7" s="33" t="n">
        <v>3</v>
      </c>
      <c r="B7" s="19" t="inlineStr">
        <is>
          <t>CTLP</t>
        </is>
      </c>
      <c r="C7" s="20" t="inlineStr">
        <is>
          <t>Cantaloupe, Inc.</t>
        </is>
      </c>
      <c r="D7" s="21" t="n">
        <v>798.8</v>
      </c>
      <c r="E7" s="34" t="n">
        <v>10.835</v>
      </c>
      <c r="F7" s="35" t="n">
        <v>0.068</v>
      </c>
      <c r="G7" s="35" t="n">
        <v>-0.018</v>
      </c>
      <c r="H7" s="35" t="n">
        <v>0.33</v>
      </c>
      <c r="I7" s="35" t="n">
        <v>0.019</v>
      </c>
      <c r="J7" s="35" t="n">
        <v>0.246</v>
      </c>
      <c r="K7" s="36" t="n">
        <v>62.4</v>
      </c>
      <c r="L7" s="36" t="n">
        <v>98.7</v>
      </c>
      <c r="M7" s="37" t="n">
        <v>76.90000000000001</v>
      </c>
      <c r="N7" s="38" t="n">
        <v>40</v>
      </c>
      <c r="O7" s="24" t="inlineStr">
        <is>
          <t>Medium-High</t>
        </is>
      </c>
      <c r="P7" s="35" t="n">
        <v>0.0221698</v>
      </c>
      <c r="Q7" s="35" t="n">
        <v>0.0079069767</v>
      </c>
      <c r="R7" s="35" t="n">
        <v>0.0241021</v>
      </c>
      <c r="S7" s="35" t="n">
        <v>0.0202448</v>
      </c>
      <c r="T7" s="35" t="n">
        <v>0.3393078</v>
      </c>
    </row>
    <row r="8" ht="16" customHeight="1">
      <c r="A8" s="33" t="n">
        <v>4</v>
      </c>
      <c r="B8" s="25" t="inlineStr">
        <is>
          <t>CMCO</t>
        </is>
      </c>
      <c r="C8" s="26" t="inlineStr">
        <is>
          <t>Columbus McKinnon Corporation</t>
        </is>
      </c>
      <c r="D8" s="27" t="n">
        <v>424</v>
      </c>
      <c r="E8" s="39" t="n">
        <v>14.775</v>
      </c>
      <c r="F8" s="40" t="n">
        <v>0.105</v>
      </c>
      <c r="G8" s="40" t="n">
        <v>0.223</v>
      </c>
      <c r="H8" s="40" t="n">
        <v>0.319</v>
      </c>
      <c r="I8" s="40" t="n">
        <v>0.004</v>
      </c>
      <c r="J8" s="40" t="n">
        <v>0.034</v>
      </c>
      <c r="K8" s="41" t="n">
        <v>62.4</v>
      </c>
      <c r="L8" s="41" t="n">
        <v>98.40000000000001</v>
      </c>
      <c r="M8" s="42" t="n">
        <v>76.8</v>
      </c>
      <c r="N8" s="43" t="n">
        <v>5.5</v>
      </c>
      <c r="O8" s="24" t="inlineStr">
        <is>
          <t>Medium-High</t>
        </is>
      </c>
      <c r="P8" s="40" t="n">
        <v>0.05010659999999999</v>
      </c>
      <c r="Q8" s="40" t="n">
        <v>-0.3004261</v>
      </c>
      <c r="R8" s="40" t="n">
        <v>-0.0182724</v>
      </c>
      <c r="S8" s="40" t="n">
        <v>-0.1434783</v>
      </c>
      <c r="T8" s="40" t="n">
        <v>-0.0215232</v>
      </c>
    </row>
    <row r="9" ht="16" customHeight="1">
      <c r="A9" s="33" t="n">
        <v>5</v>
      </c>
      <c r="B9" s="19" t="inlineStr">
        <is>
          <t>CRNC</t>
        </is>
      </c>
      <c r="C9" s="20" t="inlineStr">
        <is>
          <t>Cerence Inc.</t>
        </is>
      </c>
      <c r="D9" s="21" t="n">
        <v>385.3</v>
      </c>
      <c r="E9" s="34" t="n">
        <v>8.565</v>
      </c>
      <c r="F9" s="35" t="n">
        <v>1.261</v>
      </c>
      <c r="G9" s="35" t="n">
        <v>1.511</v>
      </c>
      <c r="H9" s="35" t="n">
        <v>0.863</v>
      </c>
      <c r="I9" s="35" t="n">
        <v>0.12</v>
      </c>
      <c r="J9" s="35" t="n">
        <v>0.031</v>
      </c>
      <c r="K9" s="36" t="n">
        <v>84.09999999999999</v>
      </c>
      <c r="L9" s="36" t="n">
        <v>65.40000000000001</v>
      </c>
      <c r="M9" s="37" t="n">
        <v>76.59999999999999</v>
      </c>
      <c r="N9" s="43" t="n">
        <v>15.7</v>
      </c>
      <c r="O9" s="24" t="inlineStr">
        <is>
          <t>Medium-High</t>
        </is>
      </c>
      <c r="P9" s="35" t="n">
        <v>0.4133663</v>
      </c>
      <c r="Q9" s="35" t="n">
        <v>-0.2716837</v>
      </c>
      <c r="R9" s="35" t="n">
        <v>-0.2345845</v>
      </c>
      <c r="S9" s="35" t="n">
        <v>-0.1987839</v>
      </c>
      <c r="T9" s="35" t="n">
        <v>-0.0819936</v>
      </c>
    </row>
    <row r="10" ht="16" customHeight="1">
      <c r="A10" s="33" t="n">
        <v>6</v>
      </c>
      <c r="B10" s="25" t="inlineStr">
        <is>
          <t>SHLS</t>
        </is>
      </c>
      <c r="C10" s="26" t="inlineStr">
        <is>
          <t>Shoals Technologies Group, Inc.</t>
        </is>
      </c>
      <c r="D10" s="27" t="n">
        <v>1217.7</v>
      </c>
      <c r="E10" s="39" t="n">
        <v>7.2688</v>
      </c>
      <c r="F10" s="40" t="n">
        <v>0.386</v>
      </c>
      <c r="G10" s="40" t="n">
        <v>0.208</v>
      </c>
      <c r="H10" s="40" t="n">
        <v>0.316</v>
      </c>
      <c r="I10" s="40" t="n">
        <v>0.143</v>
      </c>
      <c r="J10" s="40" t="n">
        <v>0.008</v>
      </c>
      <c r="K10" s="41" t="n">
        <v>67.7</v>
      </c>
      <c r="L10" s="41" t="n">
        <v>88.90000000000001</v>
      </c>
      <c r="M10" s="42" t="n">
        <v>75.8</v>
      </c>
      <c r="N10" s="38" t="n">
        <v>41</v>
      </c>
      <c r="O10" s="24" t="inlineStr">
        <is>
          <t>Medium-High</t>
        </is>
      </c>
      <c r="P10" s="40" t="n">
        <v>0.098006</v>
      </c>
      <c r="Q10" s="40" t="n">
        <v>-0.2745709</v>
      </c>
      <c r="R10" s="40" t="n">
        <v>-0.3155556</v>
      </c>
      <c r="S10" s="40" t="n">
        <v>-0.1448471</v>
      </c>
      <c r="T10" s="40" t="n">
        <v>0.9178892000000001</v>
      </c>
    </row>
    <row r="11" ht="16" customHeight="1">
      <c r="A11" s="33" t="n">
        <v>7</v>
      </c>
      <c r="B11" s="19" t="inlineStr">
        <is>
          <t>ADTN</t>
        </is>
      </c>
      <c r="C11" s="20" t="inlineStr">
        <is>
          <t>ADTRAN Holdings, Inc.</t>
        </is>
      </c>
      <c r="D11" s="21" t="n">
        <v>1367</v>
      </c>
      <c r="E11" s="34" t="n">
        <v>16.9638</v>
      </c>
      <c r="F11" s="35" t="n">
        <v>0.201</v>
      </c>
      <c r="G11" s="35" t="n">
        <v>0.127</v>
      </c>
      <c r="H11" s="35" t="n">
        <v>0.39</v>
      </c>
      <c r="I11" s="35" t="n">
        <v>0.019</v>
      </c>
      <c r="J11" s="35" t="n">
        <v>0.083</v>
      </c>
      <c r="K11" s="36" t="n">
        <v>76.3</v>
      </c>
      <c r="L11" s="36" t="n">
        <v>96.8</v>
      </c>
      <c r="M11" s="37" t="n">
        <v>74.40000000000001</v>
      </c>
      <c r="N11" s="38" t="n">
        <v>63.9</v>
      </c>
      <c r="O11" s="29" t="inlineStr">
        <is>
          <t>Medium</t>
        </is>
      </c>
      <c r="P11" s="35" t="n">
        <v>0.3119722</v>
      </c>
      <c r="Q11" s="35" t="n">
        <v>0.8104376000000001</v>
      </c>
      <c r="R11" s="35" t="n">
        <v>0.6713102999999999</v>
      </c>
      <c r="S11" s="35" t="n">
        <v>0.9521058999999999</v>
      </c>
      <c r="T11" s="35" t="n">
        <v>1.1888774</v>
      </c>
    </row>
    <row r="12" ht="16" customHeight="1">
      <c r="A12" s="33" t="n">
        <v>8</v>
      </c>
      <c r="B12" s="25" t="inlineStr">
        <is>
          <t>EVLV</t>
        </is>
      </c>
      <c r="C12" s="26" t="inlineStr">
        <is>
          <t>Evolv Technologies Holdings, Inc.</t>
        </is>
      </c>
      <c r="D12" s="27" t="n">
        <v>1248.1</v>
      </c>
      <c r="E12" s="39" t="n">
        <v>6.955</v>
      </c>
      <c r="F12" s="40" t="n">
        <v>0.323</v>
      </c>
      <c r="G12" s="40" t="n">
        <v>0.011</v>
      </c>
      <c r="H12" s="40" t="n">
        <v>0.484</v>
      </c>
      <c r="I12" s="40" t="n">
        <v>0.193</v>
      </c>
      <c r="J12" s="40" t="n">
        <v>0.05</v>
      </c>
      <c r="K12" s="41" t="n">
        <v>63.4</v>
      </c>
      <c r="L12" s="41" t="n">
        <v>87.59999999999999</v>
      </c>
      <c r="M12" s="42" t="n">
        <v>73.09999999999999</v>
      </c>
      <c r="N12" s="43" t="n">
        <v>39.1</v>
      </c>
      <c r="O12" s="29" t="inlineStr">
        <is>
          <t>Medium</t>
        </is>
      </c>
      <c r="P12" s="40" t="n">
        <v>0.2095652</v>
      </c>
      <c r="Q12" s="40" t="n">
        <v>0.0935535</v>
      </c>
      <c r="R12" s="40" t="n">
        <v>-0.0920366</v>
      </c>
      <c r="S12" s="40" t="n">
        <v>-0.0286313</v>
      </c>
      <c r="T12" s="40" t="n">
        <v>0.6963415000000001</v>
      </c>
    </row>
    <row r="13" ht="16" customHeight="1">
      <c r="A13" s="33" t="n">
        <v>9</v>
      </c>
      <c r="B13" s="19" t="inlineStr">
        <is>
          <t>NVEC</t>
        </is>
      </c>
      <c r="C13" s="20" t="inlineStr">
        <is>
          <t>NVE Corporation</t>
        </is>
      </c>
      <c r="D13" s="21" t="n">
        <v>371.8</v>
      </c>
      <c r="E13" s="34" t="n">
        <v>76.75</v>
      </c>
      <c r="F13" s="35" t="n">
        <v>0.229</v>
      </c>
      <c r="G13" s="35" t="n">
        <v>0.514</v>
      </c>
      <c r="H13" s="35" t="n">
        <v>0.7859999999999999</v>
      </c>
      <c r="I13" s="35" t="n">
        <v>0.001</v>
      </c>
      <c r="J13" s="35" t="n">
        <v>0.013</v>
      </c>
      <c r="K13" s="36" t="n">
        <v>70.7</v>
      </c>
      <c r="L13" s="36" t="n">
        <v>77</v>
      </c>
      <c r="M13" s="37" t="n">
        <v>72.59999999999999</v>
      </c>
      <c r="N13" s="38" t="n">
        <v>41.7</v>
      </c>
      <c r="O13" s="29" t="inlineStr">
        <is>
          <t>Medium</t>
        </is>
      </c>
      <c r="P13" s="35" t="n">
        <v>0.1724717</v>
      </c>
      <c r="Q13" s="35" t="n">
        <v>0.0652325</v>
      </c>
      <c r="R13" s="35" t="n">
        <v>0.06597219999999999</v>
      </c>
      <c r="S13" s="35" t="n">
        <v>0.293612</v>
      </c>
      <c r="T13" s="35" t="n">
        <v>0.3157895</v>
      </c>
    </row>
    <row r="14" ht="16" customHeight="1">
      <c r="A14" s="33" t="n">
        <v>10</v>
      </c>
      <c r="B14" s="25" t="inlineStr">
        <is>
          <t>SWBI</t>
        </is>
      </c>
      <c r="C14" s="26" t="inlineStr">
        <is>
          <t>Smith &amp; Wesson Brands, Inc.</t>
        </is>
      </c>
      <c r="D14" s="27" t="n">
        <v>687.7</v>
      </c>
      <c r="E14" s="39" t="n">
        <v>15.495</v>
      </c>
      <c r="F14" s="40" t="n">
        <v>0.171</v>
      </c>
      <c r="G14" s="40" t="n">
        <v>0.4429999999999999</v>
      </c>
      <c r="H14" s="40" t="n">
        <v>0.262</v>
      </c>
      <c r="I14" s="40" t="n">
        <v>-0.033</v>
      </c>
      <c r="J14" s="40" t="n">
        <v>0.027</v>
      </c>
      <c r="K14" s="41" t="n">
        <v>62.4</v>
      </c>
      <c r="L14" s="41" t="n">
        <v>98.2</v>
      </c>
      <c r="M14" s="42" t="n">
        <v>71.90000000000001</v>
      </c>
      <c r="N14" s="38" t="n">
        <v>52.5</v>
      </c>
      <c r="O14" s="29" t="inlineStr">
        <is>
          <t>Medium</t>
        </is>
      </c>
      <c r="P14" s="40" t="n">
        <v>0.05695770000000001</v>
      </c>
      <c r="Q14" s="40" t="n">
        <v>0.416362</v>
      </c>
      <c r="R14" s="40" t="n">
        <v>0.5557229</v>
      </c>
      <c r="S14" s="40" t="n">
        <v>0.5699088</v>
      </c>
      <c r="T14" s="40" t="n">
        <v>0.6140625</v>
      </c>
    </row>
    <row r="17" ht="22" customHeight="1">
      <c r="A17" s="16" t="inlineStr">
        <is>
          <t>SCORE COMPONENT BREAKDOWN</t>
        </is>
      </c>
      <c r="B17" s="17" t="n"/>
      <c r="C17" s="17" t="n"/>
      <c r="D17" s="17" t="n"/>
      <c r="E17" s="17" t="n"/>
      <c r="F17" s="17" t="n"/>
      <c r="G17" s="17" t="n"/>
      <c r="H17" s="17" t="n"/>
      <c r="I17" s="17" t="n"/>
      <c r="J17" s="17" t="n"/>
      <c r="K17" s="17" t="n"/>
      <c r="L17" s="17" t="n"/>
      <c r="M17" s="17" t="n"/>
      <c r="N17" s="17" t="n"/>
      <c r="O17" s="17" t="n"/>
      <c r="P17" s="17" t="n"/>
      <c r="Q17" s="17" t="n"/>
      <c r="R17" s="17" t="n"/>
      <c r="S17" s="17" t="n"/>
      <c r="T17" s="17" t="n"/>
    </row>
    <row r="18" ht="18" customHeight="1">
      <c r="A18" s="18" t="inlineStr">
        <is>
          <t>Ticker</t>
        </is>
      </c>
      <c r="B18" s="18" t="inlineStr">
        <is>
          <t>Rev Growth</t>
        </is>
      </c>
      <c r="C18" s="18" t="inlineStr">
        <is>
          <t>Gross Margin</t>
        </is>
      </c>
      <c r="D18" s="18" t="inlineStr">
        <is>
          <t>Dilution</t>
        </is>
      </c>
      <c r="E18" s="18" t="inlineStr">
        <is>
          <t>Insider Own</t>
        </is>
      </c>
      <c r="F18" s="18" t="inlineStr">
        <is>
          <t>Acceleration</t>
        </is>
      </c>
    </row>
    <row r="19" ht="16" customHeight="1">
      <c r="A19" s="19" t="inlineStr">
        <is>
          <t>GOGO</t>
        </is>
      </c>
      <c r="B19" s="36" t="n">
        <v>100</v>
      </c>
      <c r="C19" s="36" t="n">
        <v>100</v>
      </c>
      <c r="D19" s="36" t="n">
        <v>100</v>
      </c>
      <c r="E19" s="36" t="n">
        <v>100</v>
      </c>
      <c r="F19" s="36" t="n">
        <v>100</v>
      </c>
    </row>
    <row r="20" ht="16" customHeight="1">
      <c r="A20" s="25" t="inlineStr">
        <is>
          <t>CLFD</t>
        </is>
      </c>
      <c r="B20" s="41" t="n">
        <v>31.2</v>
      </c>
      <c r="C20" s="41" t="n">
        <v>83</v>
      </c>
      <c r="D20" s="41" t="n">
        <v>100</v>
      </c>
      <c r="E20" s="41" t="n">
        <v>100</v>
      </c>
      <c r="F20" s="41" t="n">
        <v>100</v>
      </c>
    </row>
    <row r="21" ht="16" customHeight="1">
      <c r="A21" s="19" t="inlineStr">
        <is>
          <t>CTLP</t>
        </is>
      </c>
      <c r="B21" s="36" t="n">
        <v>13.6</v>
      </c>
      <c r="C21" s="36" t="n">
        <v>82.5</v>
      </c>
      <c r="D21" s="36" t="n">
        <v>100</v>
      </c>
      <c r="E21" s="36" t="n">
        <v>100</v>
      </c>
      <c r="F21" s="36" t="n">
        <v>45.5</v>
      </c>
    </row>
    <row r="22" ht="16" customHeight="1">
      <c r="A22" s="25" t="inlineStr">
        <is>
          <t>CMCO</t>
        </is>
      </c>
      <c r="B22" s="41" t="n">
        <v>21</v>
      </c>
      <c r="C22" s="41" t="n">
        <v>79.8</v>
      </c>
      <c r="D22" s="41" t="n">
        <v>100</v>
      </c>
      <c r="E22" s="41" t="n">
        <v>34</v>
      </c>
      <c r="F22" s="41" t="n">
        <v>100</v>
      </c>
    </row>
    <row r="23" ht="16" customHeight="1">
      <c r="A23" s="19" t="inlineStr">
        <is>
          <t>CRNC</t>
        </is>
      </c>
      <c r="B23" s="36" t="n">
        <v>100</v>
      </c>
      <c r="C23" s="36" t="n">
        <v>100</v>
      </c>
      <c r="D23" s="36" t="n">
        <v>72</v>
      </c>
      <c r="E23" s="36" t="n">
        <v>31</v>
      </c>
      <c r="F23" s="36" t="n">
        <v>100</v>
      </c>
    </row>
    <row r="24" ht="16" customHeight="1">
      <c r="A24" s="25" t="inlineStr">
        <is>
          <t>SHLS</t>
        </is>
      </c>
      <c r="B24" s="41" t="n">
        <v>77.2</v>
      </c>
      <c r="C24" s="41" t="n">
        <v>79</v>
      </c>
      <c r="D24" s="41" t="n">
        <v>62.8</v>
      </c>
      <c r="E24" s="41" t="n">
        <v>8</v>
      </c>
      <c r="F24" s="41" t="n">
        <v>100</v>
      </c>
    </row>
    <row r="25" ht="16" customHeight="1">
      <c r="A25" s="19" t="inlineStr">
        <is>
          <t>ADTN</t>
        </is>
      </c>
      <c r="B25" s="36" t="n">
        <v>40.2</v>
      </c>
      <c r="C25" s="36" t="n">
        <v>97.5</v>
      </c>
      <c r="D25" s="36" t="n">
        <v>100</v>
      </c>
      <c r="E25" s="36" t="n">
        <v>83</v>
      </c>
      <c r="F25" s="36" t="n">
        <v>81.8</v>
      </c>
    </row>
    <row r="26" ht="16" customHeight="1">
      <c r="A26" s="25" t="inlineStr">
        <is>
          <t>EVLV</t>
        </is>
      </c>
      <c r="B26" s="41" t="n">
        <v>64.59999999999999</v>
      </c>
      <c r="C26" s="41" t="n">
        <v>100</v>
      </c>
      <c r="D26" s="41" t="n">
        <v>42.8</v>
      </c>
      <c r="E26" s="41" t="n">
        <v>50</v>
      </c>
      <c r="F26" s="41" t="n">
        <v>52.8</v>
      </c>
    </row>
    <row r="27" ht="16" customHeight="1">
      <c r="A27" s="19" t="inlineStr">
        <is>
          <t>NVEC</t>
        </is>
      </c>
      <c r="B27" s="36" t="n">
        <v>45.8</v>
      </c>
      <c r="C27" s="36" t="n">
        <v>100</v>
      </c>
      <c r="D27" s="36" t="n">
        <v>100</v>
      </c>
      <c r="E27" s="36" t="n">
        <v>13</v>
      </c>
      <c r="F27" s="36" t="n">
        <v>100</v>
      </c>
    </row>
    <row r="28" ht="16" customHeight="1">
      <c r="A28" s="25" t="inlineStr">
        <is>
          <t>SWBI</t>
        </is>
      </c>
      <c r="B28" s="41" t="n">
        <v>34.2</v>
      </c>
      <c r="C28" s="41" t="n">
        <v>65.5</v>
      </c>
      <c r="D28" s="41" t="n">
        <v>100</v>
      </c>
      <c r="E28" s="41" t="n">
        <v>27</v>
      </c>
      <c r="F28" s="41" t="n">
        <v>100</v>
      </c>
    </row>
    <row r="60">
      <c r="A60" t="inlineStr">
        <is>
          <t>Ticker</t>
        </is>
      </c>
      <c r="B60" t="inlineStr">
        <is>
          <t>Gross Margin</t>
        </is>
      </c>
      <c r="C60" t="inlineStr">
        <is>
          <t>Rev Growth</t>
        </is>
      </c>
      <c r="D60" t="inlineStr">
        <is>
          <t>Mkt Cap</t>
        </is>
      </c>
    </row>
    <row r="61">
      <c r="A61" t="inlineStr">
        <is>
          <t>GOGO</t>
        </is>
      </c>
      <c r="B61" t="n">
        <v>70.5</v>
      </c>
      <c r="C61" t="n">
        <v>67.3</v>
      </c>
      <c r="D61" t="n">
        <v>534.2</v>
      </c>
    </row>
    <row r="62">
      <c r="A62" t="inlineStr">
        <is>
          <t>CLFD</t>
        </is>
      </c>
      <c r="B62" t="n">
        <v>33.2</v>
      </c>
      <c r="C62" t="n">
        <v>15.6</v>
      </c>
      <c r="D62" t="n">
        <v>388</v>
      </c>
    </row>
    <row r="63">
      <c r="A63" t="inlineStr">
        <is>
          <t>CTLP</t>
        </is>
      </c>
      <c r="B63" t="n">
        <v>33</v>
      </c>
      <c r="C63" t="n">
        <v>6.8</v>
      </c>
      <c r="D63" t="n">
        <v>798.8</v>
      </c>
    </row>
    <row r="64">
      <c r="A64" t="inlineStr">
        <is>
          <t>CMCO</t>
        </is>
      </c>
      <c r="B64" t="n">
        <v>31.9</v>
      </c>
      <c r="C64" t="n">
        <v>10.5</v>
      </c>
      <c r="D64" t="n">
        <v>424</v>
      </c>
    </row>
    <row r="65">
      <c r="A65" t="inlineStr">
        <is>
          <t>CRNC</t>
        </is>
      </c>
      <c r="B65" t="n">
        <v>86.3</v>
      </c>
      <c r="C65" t="n">
        <v>126.1</v>
      </c>
      <c r="D65" t="n">
        <v>385.3</v>
      </c>
    </row>
    <row r="66">
      <c r="A66" t="inlineStr">
        <is>
          <t>SHLS</t>
        </is>
      </c>
      <c r="B66" t="n">
        <v>31.6</v>
      </c>
      <c r="C66" t="n">
        <v>38.6</v>
      </c>
      <c r="D66" t="n">
        <v>1217.7</v>
      </c>
    </row>
    <row r="67">
      <c r="A67" t="inlineStr">
        <is>
          <t>ADTN</t>
        </is>
      </c>
      <c r="B67" t="n">
        <v>39</v>
      </c>
      <c r="C67" t="n">
        <v>20.1</v>
      </c>
      <c r="D67" t="n">
        <v>1367</v>
      </c>
    </row>
    <row r="68">
      <c r="A68" t="inlineStr">
        <is>
          <t>EVLV</t>
        </is>
      </c>
      <c r="B68" t="n">
        <v>48.4</v>
      </c>
      <c r="C68" t="n">
        <v>32.3</v>
      </c>
      <c r="D68" t="n">
        <v>1248.1</v>
      </c>
    </row>
    <row r="69">
      <c r="A69" t="inlineStr">
        <is>
          <t>NVEC</t>
        </is>
      </c>
      <c r="B69" t="n">
        <v>78.59999999999999</v>
      </c>
      <c r="C69" t="n">
        <v>22.9</v>
      </c>
      <c r="D69" t="n">
        <v>371.8</v>
      </c>
    </row>
    <row r="70">
      <c r="A70" t="inlineStr">
        <is>
          <t>SWBI</t>
        </is>
      </c>
      <c r="B70" t="n">
        <v>26.2</v>
      </c>
      <c r="C70" t="n">
        <v>17.1</v>
      </c>
      <c r="D70" t="n">
        <v>687.7</v>
      </c>
    </row>
  </sheetData>
  <mergeCells count="3">
    <mergeCell ref="A1:T1"/>
    <mergeCell ref="A2:T2"/>
    <mergeCell ref="A17:T17"/>
  </mergeCells>
  <conditionalFormatting sqref="K5:K14">
    <cfRule type="colorScale" priority="1">
      <colorScale>
        <cfvo type="num" val="0"/>
        <cfvo type="num" val="50"/>
        <cfvo type="num" val="100"/>
        <color rgb="00C1121F"/>
        <color rgb="00F9C74F"/>
        <color rgb="001A6B3C"/>
      </colorScale>
    </cfRule>
  </conditionalFormatting>
  <conditionalFormatting sqref="L5:L14">
    <cfRule type="colorScale" priority="2">
      <colorScale>
        <cfvo type="num" val="0"/>
        <cfvo type="num" val="50"/>
        <cfvo type="num" val="100"/>
        <color rgb="00C1121F"/>
        <color rgb="00F9C74F"/>
        <color rgb="001A6B3C"/>
      </colorScale>
    </cfRule>
  </conditionalFormatting>
  <conditionalFormatting sqref="M5:M14">
    <cfRule type="colorScale" priority="3">
      <colorScale>
        <cfvo type="num" val="0"/>
        <cfvo type="num" val="50"/>
        <cfvo type="num" val="100"/>
        <color rgb="00C1121F"/>
        <color rgb="00F9C74F"/>
        <color rgb="001A6B3C"/>
      </colorScale>
    </cfRule>
  </conditionalFormatting>
  <conditionalFormatting sqref="N5:N14">
    <cfRule type="colorScale" priority="4">
      <colorScale>
        <cfvo type="min"/>
        <cfvo type="max"/>
        <color rgb="002A9D8F"/>
        <color rgb="00E76F51"/>
      </colorScale>
    </cfRule>
  </conditionalFormatting>
  <conditionalFormatting sqref="F5:F14">
    <cfRule type="colorScale" priority="5">
      <colorScale>
        <cfvo type="min"/>
        <cfvo type="max"/>
        <color rgb="00FFFFFF"/>
        <color rgb="002A9D8F"/>
      </colorScale>
    </cfRule>
  </conditionalFormatting>
  <conditionalFormatting sqref="H5:H14">
    <cfRule type="colorScale" priority="6">
      <colorScale>
        <cfvo type="min"/>
        <cfvo type="max"/>
        <color rgb="00FFFFFF"/>
        <color rgb="002A9D8F"/>
      </colorScale>
    </cfRule>
  </conditionalFormatting>
  <conditionalFormatting sqref="I5:I14">
    <cfRule type="colorScale" priority="7">
      <colorScale>
        <cfvo type="min"/>
        <cfvo type="max"/>
        <color rgb="002A9D8F"/>
        <color rgb="00E76F51"/>
      </colorScale>
    </cfRule>
  </conditionalFormatting>
  <conditionalFormatting sqref="J5:J14">
    <cfRule type="colorScale" priority="8">
      <colorScale>
        <cfvo type="min"/>
        <cfvo type="max"/>
        <color rgb="00FFFFFF"/>
        <color rgb="002A9D8F"/>
      </colorScale>
    </cfRule>
  </conditionalFormatting>
  <conditionalFormatting sqref="P5:P14">
    <cfRule type="colorScale" priority="9">
      <colorScale>
        <cfvo type="min"/>
        <cfvo type="num" val="0"/>
        <cfvo type="max"/>
        <color rgb="00E76F51"/>
        <color rgb="00FFFFFF"/>
        <color rgb="002A9D8F"/>
      </colorScale>
    </cfRule>
  </conditionalFormatting>
  <conditionalFormatting sqref="Q5:Q14">
    <cfRule type="colorScale" priority="10">
      <colorScale>
        <cfvo type="min"/>
        <cfvo type="num" val="0"/>
        <cfvo type="max"/>
        <color rgb="00E76F51"/>
        <color rgb="00FFFFFF"/>
        <color rgb="002A9D8F"/>
      </colorScale>
    </cfRule>
  </conditionalFormatting>
  <conditionalFormatting sqref="R5:R14">
    <cfRule type="colorScale" priority="11">
      <colorScale>
        <cfvo type="min"/>
        <cfvo type="num" val="0"/>
        <cfvo type="max"/>
        <color rgb="00E76F51"/>
        <color rgb="00FFFFFF"/>
        <color rgb="002A9D8F"/>
      </colorScale>
    </cfRule>
  </conditionalFormatting>
  <conditionalFormatting sqref="S5:S14">
    <cfRule type="colorScale" priority="12">
      <colorScale>
        <cfvo type="min"/>
        <cfvo type="num" val="0"/>
        <cfvo type="max"/>
        <color rgb="00E76F51"/>
        <color rgb="00FFFFFF"/>
        <color rgb="002A9D8F"/>
      </colorScale>
    </cfRule>
  </conditionalFormatting>
  <conditionalFormatting sqref="T5:T14">
    <cfRule type="colorScale" priority="13">
      <colorScale>
        <cfvo type="min"/>
        <cfvo type="num" val="0"/>
        <cfvo type="max"/>
        <color rgb="00E76F51"/>
        <color rgb="00FFFFFF"/>
        <color rgb="002A9D8F"/>
      </colorScale>
    </cfRule>
  </conditionalFormatting>
  <conditionalFormatting sqref="B19:B28">
    <cfRule type="colorScale" priority="14">
      <colorScale>
        <cfvo type="num" val="0"/>
        <cfvo type="num" val="50"/>
        <cfvo type="num" val="100"/>
        <color rgb="00C1121F"/>
        <color rgb="00F9C74F"/>
        <color rgb="001A6B3C"/>
      </colorScale>
    </cfRule>
  </conditionalFormatting>
  <conditionalFormatting sqref="C19:C28">
    <cfRule type="colorScale" priority="15">
      <colorScale>
        <cfvo type="num" val="0"/>
        <cfvo type="num" val="50"/>
        <cfvo type="num" val="100"/>
        <color rgb="00C1121F"/>
        <color rgb="00F9C74F"/>
        <color rgb="001A6B3C"/>
      </colorScale>
    </cfRule>
  </conditionalFormatting>
  <conditionalFormatting sqref="D19:D28">
    <cfRule type="colorScale" priority="16">
      <colorScale>
        <cfvo type="num" val="0"/>
        <cfvo type="num" val="50"/>
        <cfvo type="num" val="100"/>
        <color rgb="00C1121F"/>
        <color rgb="00F9C74F"/>
        <color rgb="001A6B3C"/>
      </colorScale>
    </cfRule>
  </conditionalFormatting>
  <conditionalFormatting sqref="E19:E28">
    <cfRule type="colorScale" priority="17">
      <colorScale>
        <cfvo type="num" val="0"/>
        <cfvo type="num" val="50"/>
        <cfvo type="num" val="100"/>
        <color rgb="00C1121F"/>
        <color rgb="00F9C74F"/>
        <color rgb="001A6B3C"/>
      </colorScale>
    </cfRule>
  </conditionalFormatting>
  <conditionalFormatting sqref="F19:F28">
    <cfRule type="colorScale" priority="18">
      <colorScale>
        <cfvo type="num" val="0"/>
        <cfvo type="num" val="50"/>
        <cfvo type="num" val="100"/>
        <color rgb="00C1121F"/>
        <color rgb="00F9C74F"/>
        <color rgb="001A6B3C"/>
      </colorScale>
    </cfRule>
  </conditionalFormatting>
  <pageMargins left="0.75" right="0.75" top="1" bottom="1" header="0.5" footer="0.5"/>
  <pageSetup orientation="landscape" fitToWidth="1"/>
  <drawing xmlns:r="http://schemas.openxmlformats.org/officeDocument/2006/relationships" r:id="rId1"/>
</worksheet>
</file>

<file path=xl/worksheets/sheet4.xml><?xml version="1.0" encoding="utf-8"?>
<worksheet xmlns="http://schemas.openxmlformats.org/spreadsheetml/2006/main">
  <sheetPr>
    <tabColor rgb="000D1B2A"/>
    <outlinePr summaryBelow="1" summaryRight="1"/>
    <pageSetUpPr fitToPage="1"/>
  </sheetPr>
  <dimension ref="A1:T70"/>
  <sheetViews>
    <sheetView showGridLines="0" workbookViewId="0">
      <pane xSplit="2" ySplit="4" topLeftCell="C5" activePane="bottomRight" state="frozen"/>
      <selection pane="topRight"/>
      <selection pane="bottomLeft"/>
      <selection pane="bottomRight" activeCell="A1" sqref="A1"/>
    </sheetView>
  </sheetViews>
  <sheetFormatPr baseColWidth="8" defaultRowHeight="15"/>
  <cols>
    <col width="6" customWidth="1" min="1" max="1"/>
    <col width="9" customWidth="1" min="2" max="2"/>
    <col width="28" customWidth="1" min="3" max="3"/>
    <col width="14" customWidth="1" min="4" max="4"/>
    <col width="12" customWidth="1" min="5" max="5"/>
    <col width="14" customWidth="1" min="6" max="6"/>
    <col width="14" customWidth="1" min="7" max="7"/>
    <col width="14" customWidth="1" min="8" max="8"/>
    <col width="14" customWidth="1" min="9" max="9"/>
    <col width="12" customWidth="1" min="10" max="10"/>
    <col width="12" customWidth="1" min="11" max="11"/>
    <col width="12" customWidth="1" min="12" max="12"/>
    <col width="12" customWidth="1" min="13" max="13"/>
    <col width="14" customWidth="1" min="14" max="14"/>
    <col width="12" customWidth="1" min="15" max="15"/>
    <col width="10" customWidth="1" min="16" max="16"/>
    <col width="10" customWidth="1" min="17" max="17"/>
    <col width="10" customWidth="1" min="18" max="18"/>
    <col width="10" customWidth="1" min="19" max="19"/>
    <col width="10" customWidth="1" min="20" max="20"/>
  </cols>
  <sheetData>
    <row r="1" ht="28" customHeight="1">
      <c r="A1" s="31" t="inlineStr">
        <is>
          <t>Breakout ($2B–$15B) — Screener Results</t>
        </is>
      </c>
      <c r="B1" s="11" t="n"/>
      <c r="C1" s="11" t="n"/>
      <c r="D1" s="11" t="n"/>
      <c r="E1" s="11" t="n"/>
      <c r="F1" s="11" t="n"/>
      <c r="G1" s="11" t="n"/>
      <c r="H1" s="11" t="n"/>
      <c r="I1" s="11" t="n"/>
      <c r="J1" s="11" t="n"/>
      <c r="K1" s="11" t="n"/>
      <c r="L1" s="11" t="n"/>
      <c r="M1" s="11" t="n"/>
      <c r="N1" s="11" t="n"/>
      <c r="O1" s="11" t="n"/>
      <c r="P1" s="11" t="n"/>
      <c r="Q1" s="11" t="n"/>
      <c r="R1" s="11" t="n"/>
      <c r="S1" s="11" t="n"/>
      <c r="T1" s="11" t="n"/>
    </row>
    <row r="2" ht="22" customHeight="1">
      <c r="A2" s="32" t="inlineStr">
        <is>
          <t>Top 10 by combined score  |  April 29, 2026</t>
        </is>
      </c>
      <c r="B2" s="12" t="n"/>
      <c r="C2" s="12" t="n"/>
      <c r="D2" s="12" t="n"/>
      <c r="E2" s="12" t="n"/>
      <c r="F2" s="12" t="n"/>
      <c r="G2" s="12" t="n"/>
      <c r="H2" s="12" t="n"/>
      <c r="I2" s="12" t="n"/>
      <c r="J2" s="12" t="n"/>
      <c r="K2" s="12" t="n"/>
      <c r="L2" s="12" t="n"/>
      <c r="M2" s="12" t="n"/>
      <c r="N2" s="12" t="n"/>
      <c r="O2" s="12" t="n"/>
      <c r="P2" s="12" t="n"/>
      <c r="Q2" s="12" t="n"/>
      <c r="R2" s="12" t="n"/>
      <c r="S2" s="12" t="n"/>
      <c r="T2" s="12" t="n"/>
    </row>
    <row r="3" ht="8" customHeight="1"/>
    <row r="4" ht="18" customHeight="1">
      <c r="A4" s="18" t="inlineStr">
        <is>
          <t>Rank</t>
        </is>
      </c>
      <c r="B4" s="18" t="inlineStr">
        <is>
          <t>Ticker</t>
        </is>
      </c>
      <c r="C4" s="18" t="inlineStr">
        <is>
          <t>Company Name</t>
        </is>
      </c>
      <c r="D4" s="18" t="inlineStr">
        <is>
          <t>Mkt Cap ($M)</t>
        </is>
      </c>
      <c r="E4" s="18" t="inlineStr">
        <is>
          <t>Price</t>
        </is>
      </c>
      <c r="F4" s="18" t="inlineStr">
        <is>
          <t>Rev Growth YoY</t>
        </is>
      </c>
      <c r="G4" s="18" t="inlineStr">
        <is>
          <t>Rev Accel</t>
        </is>
      </c>
      <c r="H4" s="18" t="inlineStr">
        <is>
          <t>Gross Margin</t>
        </is>
      </c>
      <c r="I4" s="18" t="inlineStr">
        <is>
          <t>Dilution 3yr</t>
        </is>
      </c>
      <c r="J4" s="18" t="inlineStr">
        <is>
          <t>Insider %</t>
        </is>
      </c>
      <c r="K4" s="18" t="inlineStr">
        <is>
          <t>Composite</t>
        </is>
      </c>
      <c r="L4" s="18" t="inlineStr">
        <is>
          <t>Fingerprint</t>
        </is>
      </c>
      <c r="M4" s="18" t="inlineStr">
        <is>
          <t>Combined</t>
        </is>
      </c>
      <c r="N4" s="18" t="inlineStr">
        <is>
          <t>Run Maturity</t>
        </is>
      </c>
      <c r="O4" s="18" t="inlineStr">
        <is>
          <t>Conviction</t>
        </is>
      </c>
      <c r="P4" s="18" t="inlineStr">
        <is>
          <t>1M</t>
        </is>
      </c>
      <c r="Q4" s="18" t="inlineStr">
        <is>
          <t>3M</t>
        </is>
      </c>
      <c r="R4" s="18" t="inlineStr">
        <is>
          <t>6M</t>
        </is>
      </c>
      <c r="S4" s="18" t="inlineStr">
        <is>
          <t>YTD</t>
        </is>
      </c>
      <c r="T4" s="18" t="inlineStr">
        <is>
          <t>1Y</t>
        </is>
      </c>
    </row>
    <row r="5" ht="16" customHeight="1">
      <c r="A5" s="33" t="n">
        <v>1</v>
      </c>
      <c r="B5" s="19" t="inlineStr">
        <is>
          <t>XMTR</t>
        </is>
      </c>
      <c r="C5" s="20" t="inlineStr">
        <is>
          <t>Xometry, Inc.</t>
        </is>
      </c>
      <c r="D5" s="21" t="n">
        <v>2278</v>
      </c>
      <c r="E5" s="34" t="n">
        <v>45.35</v>
      </c>
      <c r="F5" s="35" t="n">
        <v>0.295</v>
      </c>
      <c r="G5" s="35" t="n">
        <v>0.08400000000000001</v>
      </c>
      <c r="H5" s="35" t="n">
        <v>0.391</v>
      </c>
      <c r="I5" s="35" t="n">
        <v>0.065</v>
      </c>
      <c r="J5" s="35" t="n">
        <v>0.117</v>
      </c>
      <c r="K5" s="36" t="n">
        <v>81.7</v>
      </c>
      <c r="L5" s="36" t="n">
        <v>78.8</v>
      </c>
      <c r="M5" s="37" t="n">
        <v>80.5</v>
      </c>
      <c r="N5" s="43" t="n">
        <v>39.3</v>
      </c>
      <c r="O5" s="24" t="inlineStr">
        <is>
          <t>Medium-High</t>
        </is>
      </c>
      <c r="P5" s="35" t="n">
        <v>0.2048353</v>
      </c>
      <c r="Q5" s="35" t="n">
        <v>-0.2578956</v>
      </c>
      <c r="R5" s="35" t="n">
        <v>-0.1023357</v>
      </c>
      <c r="S5" s="35" t="n">
        <v>-0.2374306</v>
      </c>
      <c r="T5" s="35" t="n">
        <v>0.7482652000000001</v>
      </c>
    </row>
    <row r="6" ht="16" customHeight="1">
      <c r="A6" s="33" t="n">
        <v>2</v>
      </c>
      <c r="B6" s="25" t="inlineStr">
        <is>
          <t>RUN</t>
        </is>
      </c>
      <c r="C6" s="26" t="inlineStr">
        <is>
          <t>Sunrun Inc.</t>
        </is>
      </c>
      <c r="D6" s="27" t="n">
        <v>2772.9</v>
      </c>
      <c r="E6" s="39" t="n">
        <v>11.805</v>
      </c>
      <c r="F6" s="40" t="n">
        <v>1.235</v>
      </c>
      <c r="G6" s="40" t="n">
        <v>1.103</v>
      </c>
      <c r="H6" s="40" t="n">
        <v>0.353</v>
      </c>
      <c r="I6" s="40" t="n">
        <v>0.08400000000000001</v>
      </c>
      <c r="J6" s="40" t="n">
        <v>0.03700000000000001</v>
      </c>
      <c r="K6" s="41" t="n">
        <v>85.5</v>
      </c>
      <c r="L6" s="41" t="n">
        <v>69.40000000000001</v>
      </c>
      <c r="M6" s="42" t="n">
        <v>79.09999999999999</v>
      </c>
      <c r="N6" s="43" t="n">
        <v>33.7</v>
      </c>
      <c r="O6" s="24" t="inlineStr">
        <is>
          <t>Medium-High</t>
        </is>
      </c>
      <c r="P6" s="40" t="n">
        <v>-0.0630952</v>
      </c>
      <c r="Q6" s="40" t="n">
        <v>-0.402581</v>
      </c>
      <c r="R6" s="40" t="n">
        <v>-0.4132704</v>
      </c>
      <c r="S6" s="40" t="n">
        <v>-0.3584239</v>
      </c>
      <c r="T6" s="40" t="n">
        <v>0.5909704</v>
      </c>
    </row>
    <row r="7" ht="16" customHeight="1">
      <c r="A7" s="33" t="n">
        <v>3</v>
      </c>
      <c r="B7" s="19" t="inlineStr">
        <is>
          <t>FELE</t>
        </is>
      </c>
      <c r="C7" s="20" t="inlineStr">
        <is>
          <t>Franklin Electric Co., Inc.</t>
        </is>
      </c>
      <c r="D7" s="21" t="n">
        <v>4514.6</v>
      </c>
      <c r="E7" s="34" t="n">
        <v>102.2248</v>
      </c>
      <c r="F7" s="35" t="n">
        <v>0.099</v>
      </c>
      <c r="G7" s="35" t="n">
        <v>0.261</v>
      </c>
      <c r="H7" s="35" t="n">
        <v>0.35</v>
      </c>
      <c r="I7" s="35" t="n">
        <v>-0.021</v>
      </c>
      <c r="J7" s="35" t="n">
        <v>0.134</v>
      </c>
      <c r="K7" s="36" t="n">
        <v>73.40000000000001</v>
      </c>
      <c r="L7" s="36" t="n">
        <v>79.5</v>
      </c>
      <c r="M7" s="37" t="n">
        <v>75.8</v>
      </c>
      <c r="N7" s="43" t="n">
        <v>36.3</v>
      </c>
      <c r="O7" s="24" t="inlineStr">
        <is>
          <t>Medium-High</t>
        </is>
      </c>
      <c r="P7" s="35" t="n">
        <v>0.1301802</v>
      </c>
      <c r="Q7" s="35" t="n">
        <v>0.0364473</v>
      </c>
      <c r="R7" s="35" t="n">
        <v>0.0728883</v>
      </c>
      <c r="S7" s="35" t="n">
        <v>0.07008060000000001</v>
      </c>
      <c r="T7" s="35" t="n">
        <v>0.2057655</v>
      </c>
    </row>
    <row r="8" ht="16" customHeight="1">
      <c r="A8" s="33" t="n">
        <v>4</v>
      </c>
      <c r="B8" s="25" t="inlineStr">
        <is>
          <t>QRVO</t>
        </is>
      </c>
      <c r="C8" s="26" t="inlineStr">
        <is>
          <t>Qorvo, Inc.</t>
        </is>
      </c>
      <c r="D8" s="27" t="n">
        <v>8062.6</v>
      </c>
      <c r="E8" s="39" t="n">
        <v>87.13</v>
      </c>
      <c r="F8" s="40" t="n">
        <v>0.08400000000000001</v>
      </c>
      <c r="G8" s="40" t="n">
        <v>0.11</v>
      </c>
      <c r="H8" s="40" t="n">
        <v>0.467</v>
      </c>
      <c r="I8" s="40" t="n">
        <v>-0.064</v>
      </c>
      <c r="J8" s="40" t="n">
        <v>0.09</v>
      </c>
      <c r="K8" s="41" t="n">
        <v>70.2</v>
      </c>
      <c r="L8" s="41" t="n">
        <v>79.09999999999999</v>
      </c>
      <c r="M8" s="42" t="n">
        <v>73.8</v>
      </c>
      <c r="N8" s="43" t="n">
        <v>36</v>
      </c>
      <c r="O8" s="29" t="inlineStr">
        <is>
          <t>Medium</t>
        </is>
      </c>
      <c r="P8" s="40" t="n">
        <v>0.1264383</v>
      </c>
      <c r="Q8" s="40" t="n">
        <v>0.1154782</v>
      </c>
      <c r="R8" s="40" t="n">
        <v>-0.0874529</v>
      </c>
      <c r="S8" s="40" t="n">
        <v>0.0310022</v>
      </c>
      <c r="T8" s="40" t="n">
        <v>0.3907422</v>
      </c>
    </row>
    <row r="9" ht="16" customHeight="1">
      <c r="A9" s="33" t="n">
        <v>5</v>
      </c>
      <c r="B9" s="19" t="inlineStr">
        <is>
          <t>ESI</t>
        </is>
      </c>
      <c r="C9" s="20" t="inlineStr">
        <is>
          <t>Element Solutions Inc</t>
        </is>
      </c>
      <c r="D9" s="21" t="n">
        <v>10372.3</v>
      </c>
      <c r="E9" s="34" t="n">
        <v>42.65</v>
      </c>
      <c r="F9" s="35" t="n">
        <v>0.415</v>
      </c>
      <c r="G9" s="35" t="n">
        <v>0.446</v>
      </c>
      <c r="H9" s="35" t="n">
        <v>0.384</v>
      </c>
      <c r="I9" s="35" t="n">
        <v>0.006999999999999999</v>
      </c>
      <c r="J9" s="35" t="n">
        <v>0.066</v>
      </c>
      <c r="K9" s="36" t="n">
        <v>89</v>
      </c>
      <c r="L9" s="36" t="n">
        <v>80</v>
      </c>
      <c r="M9" s="37" t="n">
        <v>73.8</v>
      </c>
      <c r="N9" s="38" t="n">
        <v>67.2</v>
      </c>
      <c r="O9" s="29" t="inlineStr">
        <is>
          <t>Medium</t>
        </is>
      </c>
      <c r="P9" s="35" t="n">
        <v>0.278777</v>
      </c>
      <c r="Q9" s="35" t="n">
        <v>0.4310634</v>
      </c>
      <c r="R9" s="35" t="n">
        <v>0.6140749</v>
      </c>
      <c r="S9" s="35" t="n">
        <v>0.7070828</v>
      </c>
      <c r="T9" s="35" t="n">
        <v>1.1077075</v>
      </c>
    </row>
    <row r="10" ht="16" customHeight="1">
      <c r="A10" s="33" t="n">
        <v>6</v>
      </c>
      <c r="B10" s="25" t="inlineStr">
        <is>
          <t>BETA</t>
        </is>
      </c>
      <c r="C10" s="26" t="inlineStr">
        <is>
          <t>BETA Technologies, Inc.</t>
        </is>
      </c>
      <c r="D10" s="27" t="n">
        <v>3230.2</v>
      </c>
      <c r="E10" s="39" t="n">
        <v>14.595</v>
      </c>
      <c r="F10" s="40" t="n">
        <v>1.509</v>
      </c>
      <c r="G10" s="40" t="n">
        <v>0</v>
      </c>
      <c r="H10" s="40" t="n">
        <v>0.363</v>
      </c>
      <c r="I10" s="40" t="n">
        <v>0.024</v>
      </c>
      <c r="J10" s="40" t="n">
        <v>0.488</v>
      </c>
      <c r="K10" s="41" t="n">
        <v>83.2</v>
      </c>
      <c r="L10" s="41" t="n">
        <v>51.5</v>
      </c>
      <c r="M10" s="42" t="n">
        <v>70.5</v>
      </c>
      <c r="N10" s="43" t="n">
        <v>2.3</v>
      </c>
      <c r="O10" s="29" t="inlineStr">
        <is>
          <t>Medium</t>
        </is>
      </c>
      <c r="P10" s="40" t="n">
        <v>0.0351064</v>
      </c>
      <c r="Q10" s="40" t="n">
        <v>-0.3654348</v>
      </c>
      <c r="R10" s="40" t="n">
        <v>-0.5945832999999999</v>
      </c>
      <c r="S10" s="40" t="n">
        <v>-0.4826303</v>
      </c>
      <c r="T10" s="40" t="n">
        <v>-0.5945832999999999</v>
      </c>
    </row>
    <row r="11" ht="16" customHeight="1">
      <c r="A11" s="33" t="n">
        <v>7</v>
      </c>
      <c r="B11" s="19" t="inlineStr">
        <is>
          <t>ESAB</t>
        </is>
      </c>
      <c r="C11" s="20" t="inlineStr">
        <is>
          <t>ESAB Corporation</t>
        </is>
      </c>
      <c r="D11" s="21" t="n">
        <v>5828.5</v>
      </c>
      <c r="E11" s="34" t="n">
        <v>95.8</v>
      </c>
      <c r="F11" s="35" t="n">
        <v>0.075</v>
      </c>
      <c r="G11" s="35" t="n">
        <v>0.103</v>
      </c>
      <c r="H11" s="35" t="n">
        <v>0.305</v>
      </c>
      <c r="I11" s="35" t="n">
        <v>0.013</v>
      </c>
      <c r="J11" s="35" t="n">
        <v>0.068</v>
      </c>
      <c r="K11" s="36" t="n">
        <v>61.3</v>
      </c>
      <c r="L11" s="36" t="n">
        <v>78.90000000000001</v>
      </c>
      <c r="M11" s="37" t="n">
        <v>68.3</v>
      </c>
      <c r="N11" s="43" t="n">
        <v>7.4</v>
      </c>
      <c r="O11" s="29" t="inlineStr">
        <is>
          <t>Medium</t>
        </is>
      </c>
      <c r="P11" s="35" t="n">
        <v>0.0460799</v>
      </c>
      <c r="Q11" s="35" t="n">
        <v>-0.2002004</v>
      </c>
      <c r="R11" s="35" t="n">
        <v>-0.162148</v>
      </c>
      <c r="S11" s="35" t="n">
        <v>-0.1424991</v>
      </c>
      <c r="T11" s="35" t="n">
        <v>-0.1915612</v>
      </c>
    </row>
    <row r="12" ht="16" customHeight="1">
      <c r="A12" s="33" t="n">
        <v>8</v>
      </c>
      <c r="B12" s="25" t="inlineStr">
        <is>
          <t>EXLS</t>
        </is>
      </c>
      <c r="C12" s="26" t="inlineStr">
        <is>
          <t>ExlService Holdings, Inc.</t>
        </is>
      </c>
      <c r="D12" s="27" t="n">
        <v>4840.1</v>
      </c>
      <c r="E12" s="39" t="n">
        <v>31</v>
      </c>
      <c r="F12" s="40" t="n">
        <v>0.138</v>
      </c>
      <c r="G12" s="40" t="n">
        <v>0.021</v>
      </c>
      <c r="H12" s="40" t="n">
        <v>0.389</v>
      </c>
      <c r="I12" s="40" t="n">
        <v>-0.064</v>
      </c>
      <c r="J12" s="40" t="n">
        <v>0.034</v>
      </c>
      <c r="K12" s="41" t="n">
        <v>61.1</v>
      </c>
      <c r="L12" s="41" t="n">
        <v>78.7</v>
      </c>
      <c r="M12" s="42" t="n">
        <v>68.09999999999999</v>
      </c>
      <c r="N12" s="43" t="n">
        <v>8</v>
      </c>
      <c r="O12" s="29" t="inlineStr">
        <is>
          <t>Medium</t>
        </is>
      </c>
      <c r="P12" s="40" t="n">
        <v>0.038874</v>
      </c>
      <c r="Q12" s="40" t="n">
        <v>-0.1968912</v>
      </c>
      <c r="R12" s="40" t="n">
        <v>-0.1956409</v>
      </c>
      <c r="S12" s="40" t="n">
        <v>-0.269557</v>
      </c>
      <c r="T12" s="40" t="n">
        <v>-0.3108048</v>
      </c>
    </row>
    <row r="13" ht="16" customHeight="1">
      <c r="A13" s="33" t="n">
        <v>9</v>
      </c>
      <c r="B13" s="19" t="inlineStr">
        <is>
          <t>RVTY</t>
        </is>
      </c>
      <c r="C13" s="20" t="inlineStr">
        <is>
          <t>Revvity, Inc.</t>
        </is>
      </c>
      <c r="D13" s="21" t="n">
        <v>9161.200000000001</v>
      </c>
      <c r="E13" s="34" t="n">
        <v>81.955</v>
      </c>
      <c r="F13" s="35" t="n">
        <v>0.059</v>
      </c>
      <c r="G13" s="35" t="n">
        <v>-0.063</v>
      </c>
      <c r="H13" s="35" t="n">
        <v>0.4379999999999999</v>
      </c>
      <c r="I13" s="35" t="n">
        <v>-0.104</v>
      </c>
      <c r="J13" s="35" t="n">
        <v>0.08199999999999999</v>
      </c>
      <c r="K13" s="36" t="n">
        <v>61</v>
      </c>
      <c r="L13" s="36" t="n">
        <v>78.5</v>
      </c>
      <c r="M13" s="37" t="n">
        <v>68</v>
      </c>
      <c r="N13" s="43" t="n">
        <v>1.1</v>
      </c>
      <c r="O13" s="29" t="inlineStr">
        <is>
          <t>Medium</t>
        </is>
      </c>
      <c r="P13" s="35" t="n">
        <v>-0.0231824</v>
      </c>
      <c r="Q13" s="35" t="n">
        <v>-0.2445848</v>
      </c>
      <c r="R13" s="35" t="n">
        <v>-0.1400315</v>
      </c>
      <c r="S13" s="35" t="n">
        <v>-0.1529199</v>
      </c>
      <c r="T13" s="35" t="n">
        <v>-0.1342172</v>
      </c>
    </row>
    <row r="14" ht="16" customHeight="1">
      <c r="A14" s="33" t="n">
        <v>10</v>
      </c>
      <c r="B14" s="25" t="inlineStr">
        <is>
          <t>NWSA</t>
        </is>
      </c>
      <c r="C14" s="26" t="inlineStr">
        <is>
          <t>News Corporation</t>
        </is>
      </c>
      <c r="D14" s="27" t="n">
        <v>14792.1</v>
      </c>
      <c r="E14" s="39" t="n">
        <v>26.19</v>
      </c>
      <c r="F14" s="40" t="n">
        <v>0.157</v>
      </c>
      <c r="G14" s="40" t="n">
        <v>0.035</v>
      </c>
      <c r="H14" s="40" t="n">
        <v>0.506</v>
      </c>
      <c r="I14" s="40" t="n">
        <v>0.001</v>
      </c>
      <c r="J14" s="40" t="n">
        <v>0.02</v>
      </c>
      <c r="K14" s="41" t="n">
        <v>61.2</v>
      </c>
      <c r="L14" s="41" t="n">
        <v>77.09999999999999</v>
      </c>
      <c r="M14" s="42" t="n">
        <v>67.59999999999999</v>
      </c>
      <c r="N14" s="43" t="n">
        <v>16.2</v>
      </c>
      <c r="O14" s="29" t="inlineStr">
        <is>
          <t>Medium</t>
        </is>
      </c>
      <c r="P14" s="40" t="n">
        <v>0.08044549999999999</v>
      </c>
      <c r="Q14" s="40" t="n">
        <v>-0.021666</v>
      </c>
      <c r="R14" s="40" t="n">
        <v>0.0053742802</v>
      </c>
      <c r="S14" s="40" t="n">
        <v>0.0026799387</v>
      </c>
      <c r="T14" s="40" t="n">
        <v>-0.034292</v>
      </c>
    </row>
    <row r="17" ht="22" customHeight="1">
      <c r="A17" s="16" t="inlineStr">
        <is>
          <t>SCORE COMPONENT BREAKDOWN</t>
        </is>
      </c>
      <c r="B17" s="17" t="n"/>
      <c r="C17" s="17" t="n"/>
      <c r="D17" s="17" t="n"/>
      <c r="E17" s="17" t="n"/>
      <c r="F17" s="17" t="n"/>
      <c r="G17" s="17" t="n"/>
      <c r="H17" s="17" t="n"/>
      <c r="I17" s="17" t="n"/>
      <c r="J17" s="17" t="n"/>
      <c r="K17" s="17" t="n"/>
      <c r="L17" s="17" t="n"/>
      <c r="M17" s="17" t="n"/>
      <c r="N17" s="17" t="n"/>
      <c r="O17" s="17" t="n"/>
      <c r="P17" s="17" t="n"/>
      <c r="Q17" s="17" t="n"/>
      <c r="R17" s="17" t="n"/>
      <c r="S17" s="17" t="n"/>
      <c r="T17" s="17" t="n"/>
    </row>
    <row r="18" ht="18" customHeight="1">
      <c r="A18" s="18" t="inlineStr">
        <is>
          <t>Ticker</t>
        </is>
      </c>
      <c r="B18" s="18" t="inlineStr">
        <is>
          <t>Rev Growth</t>
        </is>
      </c>
      <c r="C18" s="18" t="inlineStr">
        <is>
          <t>Gross Margin</t>
        </is>
      </c>
      <c r="D18" s="18" t="inlineStr">
        <is>
          <t>Dilution</t>
        </is>
      </c>
      <c r="E18" s="18" t="inlineStr">
        <is>
          <t>Insider Own</t>
        </is>
      </c>
      <c r="F18" s="18" t="inlineStr">
        <is>
          <t>Acceleration</t>
        </is>
      </c>
    </row>
    <row r="19" ht="16" customHeight="1">
      <c r="A19" s="19" t="inlineStr">
        <is>
          <t>XMTR</t>
        </is>
      </c>
      <c r="B19" s="36" t="n">
        <v>59</v>
      </c>
      <c r="C19" s="36" t="n">
        <v>97.8</v>
      </c>
      <c r="D19" s="36" t="n">
        <v>94</v>
      </c>
      <c r="E19" s="36" t="n">
        <v>100</v>
      </c>
      <c r="F19" s="36" t="n">
        <v>71</v>
      </c>
    </row>
    <row r="20" ht="16" customHeight="1">
      <c r="A20" s="25" t="inlineStr">
        <is>
          <t>RUN</t>
        </is>
      </c>
      <c r="B20" s="41" t="n">
        <v>100</v>
      </c>
      <c r="C20" s="41" t="n">
        <v>88.2</v>
      </c>
      <c r="D20" s="41" t="n">
        <v>86.40000000000001</v>
      </c>
      <c r="E20" s="41" t="n">
        <v>37</v>
      </c>
      <c r="F20" s="41" t="n">
        <v>100</v>
      </c>
    </row>
    <row r="21" ht="16" customHeight="1">
      <c r="A21" s="19" t="inlineStr">
        <is>
          <t>FELE</t>
        </is>
      </c>
      <c r="B21" s="36" t="n">
        <v>19.8</v>
      </c>
      <c r="C21" s="36" t="n">
        <v>87.5</v>
      </c>
      <c r="D21" s="36" t="n">
        <v>100</v>
      </c>
      <c r="E21" s="36" t="n">
        <v>100</v>
      </c>
      <c r="F21" s="36" t="n">
        <v>100</v>
      </c>
    </row>
    <row r="22" ht="16" customHeight="1">
      <c r="A22" s="25" t="inlineStr">
        <is>
          <t>QRVO</t>
        </is>
      </c>
      <c r="B22" s="41" t="n">
        <v>16.8</v>
      </c>
      <c r="C22" s="41" t="n">
        <v>100</v>
      </c>
      <c r="D22" s="41" t="n">
        <v>100</v>
      </c>
      <c r="E22" s="41" t="n">
        <v>90</v>
      </c>
      <c r="F22" s="41" t="n">
        <v>77.5</v>
      </c>
    </row>
    <row r="23" ht="16" customHeight="1">
      <c r="A23" s="19" t="inlineStr">
        <is>
          <t>ESI</t>
        </is>
      </c>
      <c r="B23" s="36" t="n">
        <v>83</v>
      </c>
      <c r="C23" s="36" t="n">
        <v>96</v>
      </c>
      <c r="D23" s="36" t="n">
        <v>100</v>
      </c>
      <c r="E23" s="36" t="n">
        <v>66</v>
      </c>
      <c r="F23" s="36" t="n">
        <v>100</v>
      </c>
    </row>
    <row r="24" ht="16" customHeight="1">
      <c r="A24" s="25" t="inlineStr">
        <is>
          <t>BETA</t>
        </is>
      </c>
      <c r="B24" s="41" t="n">
        <v>100</v>
      </c>
      <c r="C24" s="41" t="n">
        <v>90.8</v>
      </c>
      <c r="D24" s="41" t="n">
        <v>100</v>
      </c>
      <c r="E24" s="41" t="n">
        <v>100</v>
      </c>
      <c r="F24" s="41" t="n">
        <v>50</v>
      </c>
    </row>
    <row r="25" ht="16" customHeight="1">
      <c r="A25" s="19" t="inlineStr">
        <is>
          <t>ESAB</t>
        </is>
      </c>
      <c r="B25" s="36" t="n">
        <v>15</v>
      </c>
      <c r="C25" s="36" t="n">
        <v>76.2</v>
      </c>
      <c r="D25" s="36" t="n">
        <v>100</v>
      </c>
      <c r="E25" s="36" t="n">
        <v>68</v>
      </c>
      <c r="F25" s="36" t="n">
        <v>75.8</v>
      </c>
    </row>
    <row r="26" ht="16" customHeight="1">
      <c r="A26" s="25" t="inlineStr">
        <is>
          <t>EXLS</t>
        </is>
      </c>
      <c r="B26" s="41" t="n">
        <v>27.6</v>
      </c>
      <c r="C26" s="41" t="n">
        <v>97.2</v>
      </c>
      <c r="D26" s="41" t="n">
        <v>100</v>
      </c>
      <c r="E26" s="41" t="n">
        <v>34</v>
      </c>
      <c r="F26" s="41" t="n">
        <v>55.2</v>
      </c>
    </row>
    <row r="27" ht="16" customHeight="1">
      <c r="A27" s="19" t="inlineStr">
        <is>
          <t>RVTY</t>
        </is>
      </c>
      <c r="B27" s="36" t="n">
        <v>11.8</v>
      </c>
      <c r="C27" s="36" t="n">
        <v>100</v>
      </c>
      <c r="D27" s="36" t="n">
        <v>100</v>
      </c>
      <c r="E27" s="36" t="n">
        <v>82</v>
      </c>
      <c r="F27" s="36" t="n">
        <v>34.2</v>
      </c>
    </row>
    <row r="28" ht="16" customHeight="1">
      <c r="A28" s="25" t="inlineStr">
        <is>
          <t>NWSA</t>
        </is>
      </c>
      <c r="B28" s="41" t="n">
        <v>31.4</v>
      </c>
      <c r="C28" s="41" t="n">
        <v>100</v>
      </c>
      <c r="D28" s="41" t="n">
        <v>100</v>
      </c>
      <c r="E28" s="41" t="n">
        <v>20</v>
      </c>
      <c r="F28" s="41" t="n">
        <v>58.8</v>
      </c>
    </row>
    <row r="60">
      <c r="A60" t="inlineStr">
        <is>
          <t>Ticker</t>
        </is>
      </c>
      <c r="B60" t="inlineStr">
        <is>
          <t>Gross Margin</t>
        </is>
      </c>
      <c r="C60" t="inlineStr">
        <is>
          <t>Rev Growth</t>
        </is>
      </c>
      <c r="D60" t="inlineStr">
        <is>
          <t>Mkt Cap</t>
        </is>
      </c>
    </row>
    <row r="61">
      <c r="A61" t="inlineStr">
        <is>
          <t>XMTR</t>
        </is>
      </c>
      <c r="B61" t="n">
        <v>39.1</v>
      </c>
      <c r="C61" t="n">
        <v>29.5</v>
      </c>
      <c r="D61" t="n">
        <v>2278</v>
      </c>
    </row>
    <row r="62">
      <c r="A62" t="inlineStr">
        <is>
          <t>RUN</t>
        </is>
      </c>
      <c r="B62" t="n">
        <v>35.3</v>
      </c>
      <c r="C62" t="n">
        <v>123.5</v>
      </c>
      <c r="D62" t="n">
        <v>2772.9</v>
      </c>
    </row>
    <row r="63">
      <c r="A63" t="inlineStr">
        <is>
          <t>FELE</t>
        </is>
      </c>
      <c r="B63" t="n">
        <v>35</v>
      </c>
      <c r="C63" t="n">
        <v>9.9</v>
      </c>
      <c r="D63" t="n">
        <v>4514.6</v>
      </c>
    </row>
    <row r="64">
      <c r="A64" t="inlineStr">
        <is>
          <t>QRVO</t>
        </is>
      </c>
      <c r="B64" t="n">
        <v>46.7</v>
      </c>
      <c r="C64" t="n">
        <v>8.4</v>
      </c>
      <c r="D64" t="n">
        <v>8062.6</v>
      </c>
    </row>
    <row r="65">
      <c r="A65" t="inlineStr">
        <is>
          <t>ESI</t>
        </is>
      </c>
      <c r="B65" t="n">
        <v>38.4</v>
      </c>
      <c r="C65" t="n">
        <v>41.5</v>
      </c>
      <c r="D65" t="n">
        <v>10372.3</v>
      </c>
    </row>
    <row r="66">
      <c r="A66" t="inlineStr">
        <is>
          <t>BETA</t>
        </is>
      </c>
      <c r="B66" t="n">
        <v>36.3</v>
      </c>
      <c r="C66" t="n">
        <v>150.9</v>
      </c>
      <c r="D66" t="n">
        <v>3230.2</v>
      </c>
    </row>
    <row r="67">
      <c r="A67" t="inlineStr">
        <is>
          <t>ESAB</t>
        </is>
      </c>
      <c r="B67" t="n">
        <v>30.5</v>
      </c>
      <c r="C67" t="n">
        <v>7.5</v>
      </c>
      <c r="D67" t="n">
        <v>5828.5</v>
      </c>
    </row>
    <row r="68">
      <c r="A68" t="inlineStr">
        <is>
          <t>EXLS</t>
        </is>
      </c>
      <c r="B68" t="n">
        <v>38.9</v>
      </c>
      <c r="C68" t="n">
        <v>13.8</v>
      </c>
      <c r="D68" t="n">
        <v>4840.1</v>
      </c>
    </row>
    <row r="69">
      <c r="A69" t="inlineStr">
        <is>
          <t>RVTY</t>
        </is>
      </c>
      <c r="B69" t="n">
        <v>43.8</v>
      </c>
      <c r="C69" t="n">
        <v>5.9</v>
      </c>
      <c r="D69" t="n">
        <v>9161.200000000001</v>
      </c>
    </row>
    <row r="70">
      <c r="A70" t="inlineStr">
        <is>
          <t>NWSA</t>
        </is>
      </c>
      <c r="B70" t="n">
        <v>50.6</v>
      </c>
      <c r="C70" t="n">
        <v>15.7</v>
      </c>
      <c r="D70" t="n">
        <v>14792.1</v>
      </c>
    </row>
  </sheetData>
  <mergeCells count="3">
    <mergeCell ref="A1:T1"/>
    <mergeCell ref="A2:T2"/>
    <mergeCell ref="A17:T17"/>
  </mergeCells>
  <conditionalFormatting sqref="K5:K14">
    <cfRule type="colorScale" priority="1">
      <colorScale>
        <cfvo type="num" val="0"/>
        <cfvo type="num" val="50"/>
        <cfvo type="num" val="100"/>
        <color rgb="00C1121F"/>
        <color rgb="00F9C74F"/>
        <color rgb="001A6B3C"/>
      </colorScale>
    </cfRule>
  </conditionalFormatting>
  <conditionalFormatting sqref="L5:L14">
    <cfRule type="colorScale" priority="2">
      <colorScale>
        <cfvo type="num" val="0"/>
        <cfvo type="num" val="50"/>
        <cfvo type="num" val="100"/>
        <color rgb="00C1121F"/>
        <color rgb="00F9C74F"/>
        <color rgb="001A6B3C"/>
      </colorScale>
    </cfRule>
  </conditionalFormatting>
  <conditionalFormatting sqref="M5:M14">
    <cfRule type="colorScale" priority="3">
      <colorScale>
        <cfvo type="num" val="0"/>
        <cfvo type="num" val="50"/>
        <cfvo type="num" val="100"/>
        <color rgb="00C1121F"/>
        <color rgb="00F9C74F"/>
        <color rgb="001A6B3C"/>
      </colorScale>
    </cfRule>
  </conditionalFormatting>
  <conditionalFormatting sqref="N5:N14">
    <cfRule type="colorScale" priority="4">
      <colorScale>
        <cfvo type="min"/>
        <cfvo type="max"/>
        <color rgb="002A9D8F"/>
        <color rgb="00E76F51"/>
      </colorScale>
    </cfRule>
  </conditionalFormatting>
  <conditionalFormatting sqref="F5:F14">
    <cfRule type="colorScale" priority="5">
      <colorScale>
        <cfvo type="min"/>
        <cfvo type="max"/>
        <color rgb="00FFFFFF"/>
        <color rgb="002A9D8F"/>
      </colorScale>
    </cfRule>
  </conditionalFormatting>
  <conditionalFormatting sqref="H5:H14">
    <cfRule type="colorScale" priority="6">
      <colorScale>
        <cfvo type="min"/>
        <cfvo type="max"/>
        <color rgb="00FFFFFF"/>
        <color rgb="002A9D8F"/>
      </colorScale>
    </cfRule>
  </conditionalFormatting>
  <conditionalFormatting sqref="I5:I14">
    <cfRule type="colorScale" priority="7">
      <colorScale>
        <cfvo type="min"/>
        <cfvo type="max"/>
        <color rgb="002A9D8F"/>
        <color rgb="00E76F51"/>
      </colorScale>
    </cfRule>
  </conditionalFormatting>
  <conditionalFormatting sqref="J5:J14">
    <cfRule type="colorScale" priority="8">
      <colorScale>
        <cfvo type="min"/>
        <cfvo type="max"/>
        <color rgb="00FFFFFF"/>
        <color rgb="002A9D8F"/>
      </colorScale>
    </cfRule>
  </conditionalFormatting>
  <conditionalFormatting sqref="P5:P14">
    <cfRule type="colorScale" priority="9">
      <colorScale>
        <cfvo type="min"/>
        <cfvo type="num" val="0"/>
        <cfvo type="max"/>
        <color rgb="00E76F51"/>
        <color rgb="00FFFFFF"/>
        <color rgb="002A9D8F"/>
      </colorScale>
    </cfRule>
  </conditionalFormatting>
  <conditionalFormatting sqref="Q5:Q14">
    <cfRule type="colorScale" priority="10">
      <colorScale>
        <cfvo type="min"/>
        <cfvo type="num" val="0"/>
        <cfvo type="max"/>
        <color rgb="00E76F51"/>
        <color rgb="00FFFFFF"/>
        <color rgb="002A9D8F"/>
      </colorScale>
    </cfRule>
  </conditionalFormatting>
  <conditionalFormatting sqref="R5:R14">
    <cfRule type="colorScale" priority="11">
      <colorScale>
        <cfvo type="min"/>
        <cfvo type="num" val="0"/>
        <cfvo type="max"/>
        <color rgb="00E76F51"/>
        <color rgb="00FFFFFF"/>
        <color rgb="002A9D8F"/>
      </colorScale>
    </cfRule>
  </conditionalFormatting>
  <conditionalFormatting sqref="S5:S14">
    <cfRule type="colorScale" priority="12">
      <colorScale>
        <cfvo type="min"/>
        <cfvo type="num" val="0"/>
        <cfvo type="max"/>
        <color rgb="00E76F51"/>
        <color rgb="00FFFFFF"/>
        <color rgb="002A9D8F"/>
      </colorScale>
    </cfRule>
  </conditionalFormatting>
  <conditionalFormatting sqref="T5:T14">
    <cfRule type="colorScale" priority="13">
      <colorScale>
        <cfvo type="min"/>
        <cfvo type="num" val="0"/>
        <cfvo type="max"/>
        <color rgb="00E76F51"/>
        <color rgb="00FFFFFF"/>
        <color rgb="002A9D8F"/>
      </colorScale>
    </cfRule>
  </conditionalFormatting>
  <conditionalFormatting sqref="B19:B28">
    <cfRule type="colorScale" priority="14">
      <colorScale>
        <cfvo type="num" val="0"/>
        <cfvo type="num" val="50"/>
        <cfvo type="num" val="100"/>
        <color rgb="00C1121F"/>
        <color rgb="00F9C74F"/>
        <color rgb="001A6B3C"/>
      </colorScale>
    </cfRule>
  </conditionalFormatting>
  <conditionalFormatting sqref="C19:C28">
    <cfRule type="colorScale" priority="15">
      <colorScale>
        <cfvo type="num" val="0"/>
        <cfvo type="num" val="50"/>
        <cfvo type="num" val="100"/>
        <color rgb="00C1121F"/>
        <color rgb="00F9C74F"/>
        <color rgb="001A6B3C"/>
      </colorScale>
    </cfRule>
  </conditionalFormatting>
  <conditionalFormatting sqref="D19:D28">
    <cfRule type="colorScale" priority="16">
      <colorScale>
        <cfvo type="num" val="0"/>
        <cfvo type="num" val="50"/>
        <cfvo type="num" val="100"/>
        <color rgb="00C1121F"/>
        <color rgb="00F9C74F"/>
        <color rgb="001A6B3C"/>
      </colorScale>
    </cfRule>
  </conditionalFormatting>
  <conditionalFormatting sqref="E19:E28">
    <cfRule type="colorScale" priority="17">
      <colorScale>
        <cfvo type="num" val="0"/>
        <cfvo type="num" val="50"/>
        <cfvo type="num" val="100"/>
        <color rgb="00C1121F"/>
        <color rgb="00F9C74F"/>
        <color rgb="001A6B3C"/>
      </colorScale>
    </cfRule>
  </conditionalFormatting>
  <conditionalFormatting sqref="F19:F28">
    <cfRule type="colorScale" priority="18">
      <colorScale>
        <cfvo type="num" val="0"/>
        <cfvo type="num" val="50"/>
        <cfvo type="num" val="100"/>
        <color rgb="00C1121F"/>
        <color rgb="00F9C74F"/>
        <color rgb="001A6B3C"/>
      </colorScale>
    </cfRule>
  </conditionalFormatting>
  <pageMargins left="0.75" right="0.75" top="1" bottom="1" header="0.5" footer="0.5"/>
  <pageSetup orientation="landscape" fitToWidth="1"/>
  <drawing xmlns:r="http://schemas.openxmlformats.org/officeDocument/2006/relationships" r:id="rId1"/>
</worksheet>
</file>

<file path=xl/worksheets/sheet5.xml><?xml version="1.0" encoding="utf-8"?>
<worksheet xmlns="http://schemas.openxmlformats.org/spreadsheetml/2006/main">
  <sheetPr>
    <tabColor rgb="002E3B4E"/>
    <outlinePr summaryBelow="1" summaryRight="1"/>
    <pageSetUpPr fitToPage="1"/>
  </sheetPr>
  <dimension ref="A1:F34"/>
  <sheetViews>
    <sheetView showGridLines="0" workbookViewId="0">
      <pane xSplit="2" ySplit="4" topLeftCell="C5" activePane="bottomRight" state="frozen"/>
      <selection pane="topRight"/>
      <selection pane="bottomLeft"/>
      <selection pane="bottomRight" activeCell="A1" sqref="A1"/>
    </sheetView>
  </sheetViews>
  <sheetFormatPr baseColWidth="8" defaultRowHeight="15"/>
  <cols>
    <col width="9" customWidth="1" min="1" max="1"/>
    <col width="28" customWidth="1" min="2" max="2"/>
    <col width="18" customWidth="1" min="3" max="3"/>
    <col width="22" customWidth="1" min="4" max="4"/>
    <col width="12" customWidth="1" min="5" max="5"/>
    <col width="55" customWidth="1" min="6" max="6"/>
  </cols>
  <sheetData>
    <row r="1" ht="28" customHeight="1">
      <c r="A1" s="31" t="inlineStr">
        <is>
          <t>Company Descriptions &amp; Profiles</t>
        </is>
      </c>
      <c r="B1" s="11" t="n"/>
      <c r="C1" s="11" t="n"/>
      <c r="D1" s="11" t="n"/>
      <c r="E1" s="11" t="n"/>
      <c r="F1" s="11" t="n"/>
    </row>
    <row r="2" ht="22" customHeight="1">
      <c r="A2" s="32" t="inlineStr">
        <is>
          <t>All screened companies  |  April 29, 2026</t>
        </is>
      </c>
      <c r="B2" s="12" t="n"/>
      <c r="C2" s="12" t="n"/>
      <c r="D2" s="12" t="n"/>
      <c r="E2" s="12" t="n"/>
      <c r="F2" s="12" t="n"/>
    </row>
    <row r="3" ht="8" customHeight="1"/>
    <row r="4" ht="18" customHeight="1">
      <c r="A4" s="18" t="inlineStr">
        <is>
          <t>Ticker</t>
        </is>
      </c>
      <c r="B4" s="18" t="inlineStr">
        <is>
          <t>Company</t>
        </is>
      </c>
      <c r="C4" s="18" t="inlineStr">
        <is>
          <t>Sector</t>
        </is>
      </c>
      <c r="D4" s="18" t="inlineStr">
        <is>
          <t>Industry</t>
        </is>
      </c>
      <c r="E4" s="18" t="inlineStr">
        <is>
          <t>Tier</t>
        </is>
      </c>
      <c r="F4" s="18" t="inlineStr">
        <is>
          <t>Description</t>
        </is>
      </c>
    </row>
    <row r="5" ht="60" customHeight="1">
      <c r="A5" s="19" t="inlineStr">
        <is>
          <t>SODI</t>
        </is>
      </c>
      <c r="B5" s="20" t="inlineStr">
        <is>
          <t>Solitron Devices, Inc.</t>
        </is>
      </c>
      <c r="C5" s="20" t="inlineStr">
        <is>
          <t>Technology</t>
        </is>
      </c>
      <c r="D5" s="44" t="inlineStr">
        <is>
          <t>Semiconductors</t>
        </is>
      </c>
      <c r="E5" s="45" t="inlineStr">
        <is>
          <t>Nano Cap</t>
        </is>
      </c>
      <c r="F5" s="46" t="inlineStr">
        <is>
          <t>Solitron Devices, Inc. designs, develops, manufactures, and markets solid-state semiconductor components and related devices primarily for the military and aerospace markets. The company offers various bipolar and metal oxide semiconductor (MOS) power transistors, power and control hybrids, junction and power MOS field effect transistors, field effect transistors, and other related products. It also provides joint army/navy transistors, diodes, and standard military drawings voltage regulators. The company's semiconductor products are used as components of military, commercial, and aerospace electronic equipment, such as ground and airborne radar systems, power distribution systems, missiles, missile control systems, satellites, and space applications, as well as for non-military, scientific, and industrial applications. It operates in the United States, Canada, Latin America, the Far East, and the Middle East. The company was incorporated in 1959 and is headquartered in West Palm Beac</t>
        </is>
      </c>
    </row>
    <row r="6" ht="60" customHeight="1">
      <c r="A6" s="25" t="inlineStr">
        <is>
          <t>CODA</t>
        </is>
      </c>
      <c r="B6" s="26" t="inlineStr">
        <is>
          <t>Coda Octopus Group, Inc.</t>
        </is>
      </c>
      <c r="C6" s="26" t="inlineStr">
        <is>
          <t>Industrials</t>
        </is>
      </c>
      <c r="D6" s="47" t="inlineStr">
        <is>
          <t>Aerospace &amp; Defense</t>
        </is>
      </c>
      <c r="E6" s="48" t="inlineStr">
        <is>
          <t>Nano Cap</t>
        </is>
      </c>
      <c r="F6" s="49" t="inlineStr">
        <is>
          <t>Coda Octopus Group, Inc., together with its subsidiaries, develops and sells underwater technologies and equipment for 3D imaging, mapping, defense, and survey applications in the Americas, Europe, Australia, Asia, the Middle East, and Africa. The company operates through two segments, Marine Engineering Business and Marine Technology Business. It sells technology solutions to the subsea and underwater markets. The company's solutions include geophysical systems, a geophysical data acquisition systems, processing, and analysis software that are used primarily by survey companies, offshore renewable companies, research institutions, and salvage companies; GNSS-aided navigation systems; Echoscope and Echoscope PIPE used for real time monitoring of cable installations for offshore wind projects; and diver augmented vision display system. It offers CodaOctopus GeoSurvey products, such as hardware and software solutions for field acquisition of sidescan sonar and sub-bottom profiler; and Co</t>
        </is>
      </c>
    </row>
    <row r="7" ht="60" customHeight="1">
      <c r="A7" s="19" t="inlineStr">
        <is>
          <t>SCTQ</t>
        </is>
      </c>
      <c r="B7" s="20" t="inlineStr">
        <is>
          <t>Spectra Systems Corporation</t>
        </is>
      </c>
      <c r="C7" s="20" t="inlineStr">
        <is>
          <t>Technology</t>
        </is>
      </c>
      <c r="D7" s="20" t="inlineStr">
        <is>
          <t>Computer Hardware</t>
        </is>
      </c>
      <c r="E7" s="45" t="inlineStr">
        <is>
          <t>Nano Cap</t>
        </is>
      </c>
      <c r="F7" s="46" t="inlineStr">
        <is>
          <t>Spectra Systems Corporation invents, develops, and sells integrated optical systems in Rhode Island and internationally. It operates through three segments: Authentication Systems, Secure Transactions, and Banknote Cleaning. The company offers integrated solutions, including a system of taggant materials and sensor technology to authenticate banknotes that are used by central banks, as well as G7 country for passport security; banknote cleaning and disinfection systems that lifts sebum and other substances from the banknote through a dry process based on supercritical CO2 cleaning; and solutions to authenticate brand name products. It also provides optical materials for security and quality control, such as fluorescent and phosphorescent pigments and dyes, invisible pigments and dyes, and gasochromic response materials; customized materials and hardware solutions; and internal control systems used to verify the accuracy of transactions logged by providers of lottery and gaming operator</t>
        </is>
      </c>
    </row>
    <row r="8" ht="60" customHeight="1">
      <c r="A8" s="25" t="inlineStr">
        <is>
          <t>OPXS</t>
        </is>
      </c>
      <c r="B8" s="26" t="inlineStr">
        <is>
          <t>Optex Systems Holdings, Inc</t>
        </is>
      </c>
      <c r="C8" s="26" t="inlineStr">
        <is>
          <t>Industrials</t>
        </is>
      </c>
      <c r="D8" s="47" t="inlineStr">
        <is>
          <t>Aerospace &amp; Defense</t>
        </is>
      </c>
      <c r="E8" s="48" t="inlineStr">
        <is>
          <t>Nano Cap</t>
        </is>
      </c>
      <c r="F8" s="49" t="inlineStr">
        <is>
          <t>Optex Systems Holdings, Inc. manufactures and sells optical sighting systems and assemblies primarily for the U.S. department of defense, foreign military applications, and commercial markets in the United States. It offers periscopes, such as laser and non-laser protected plastic and glass periscopes, electronic M17 day/thermal periscopes, and vision blocks; sighting systems, including back up sights, digital day and night sighting systems, M36 thermal periscope, unity mirrors, optical weapon system support and maintenance, and commander weapon station sights; howitzers comprising M137 telescope, M187 mount, M119 aiming device, XM10 and aiming circles; and applied optics center consisting of laser filter units, laser filter interface, optical assemblies, day windows, binoculars, and specialty thin film coatings, as well as other products, such as muzzle reference systems, binoculars, collimators, optical lenses and elements, and windows. The company also provides various periscope con</t>
        </is>
      </c>
    </row>
    <row r="9" ht="60" customHeight="1">
      <c r="A9" s="19" t="inlineStr">
        <is>
          <t>KVHI</t>
        </is>
      </c>
      <c r="B9" s="20" t="inlineStr">
        <is>
          <t>KVH Industries, Inc.</t>
        </is>
      </c>
      <c r="C9" s="20" t="inlineStr">
        <is>
          <t>Technology</t>
        </is>
      </c>
      <c r="D9" s="50" t="inlineStr">
        <is>
          <t>Communication Equipment</t>
        </is>
      </c>
      <c r="E9" s="45" t="inlineStr">
        <is>
          <t>Nano Cap</t>
        </is>
      </c>
      <c r="F9" s="46" t="inlineStr">
        <is>
          <t>KVH Industries, Inc. designs, develops, manufactures, and markets mobile connectivity products and services for the marine and land mobile markets in the United States and internationally. The company operates through Mobile Connectivity and Inertial Navigation segments. The company offers mobile satellite TV and communications products; two-way satellite communications systems; onboard TracPhone terminals and hub equipment; data management software; and Iridium OpenPort hardware products and services. It also offers airtime plans that enable customers to obtain Internet and voice services; and value-added, and news and radio content services to retail customers. In addition, the company provides navigation, guidance, and stabilization products for the commercial and defense markets comprising precision fiber optic gyro-based systems; tactical navigation systems for tactical trucks and light armored vehicles; and commercial products, such as navigation and positioning systems for vario</t>
        </is>
      </c>
    </row>
    <row r="10" ht="60" customHeight="1">
      <c r="A10" s="25" t="inlineStr">
        <is>
          <t>SSTI</t>
        </is>
      </c>
      <c r="B10" s="26" t="inlineStr">
        <is>
          <t>SoundThinking, Inc.</t>
        </is>
      </c>
      <c r="C10" s="26" t="inlineStr">
        <is>
          <t>Technology</t>
        </is>
      </c>
      <c r="D10" s="26" t="inlineStr">
        <is>
          <t>Software - Application</t>
        </is>
      </c>
      <c r="E10" s="48" t="inlineStr">
        <is>
          <t>Nano Cap</t>
        </is>
      </c>
      <c r="F10" s="49" t="inlineStr">
        <is>
          <t>SoundThinking, Inc., a public safety technology company, provides data-driven solutions and strategic advisory services for law enforcement, security teams, and civic leadership. Its SafetySmart platform that includes data-driven tools comprising ShotSpotter, an outdoor gunshot detection, location, and alerting system; CrimeTracer, a law enforcement search engine that enables investigators to search through criminal justice records from across jurisdictions to generate tactical leads and solve cases; CaseBuilder, an investigative management system for tracking, reporting, and collaborating on cases; ResourceRouter, a software that directs deployment of patrol and community anti-violence resources; PlateRanger powered by Rekor, an advanced license plate recognition (ALPR) and vehicle identification solution; and SafePointe, an artificial intelligence-based weapons detection system. The company also offers ShotSpotter for Campus and ShotSpotter for Corporate, to universities, corporate c</t>
        </is>
      </c>
    </row>
    <row r="11" ht="60" customHeight="1">
      <c r="A11" s="19" t="inlineStr">
        <is>
          <t>SPRU</t>
        </is>
      </c>
      <c r="B11" s="20" t="inlineStr">
        <is>
          <t>Spruce Power Holding Corporation</t>
        </is>
      </c>
      <c r="C11" s="20" t="inlineStr">
        <is>
          <t>Energy</t>
        </is>
      </c>
      <c r="D11" s="51" t="inlineStr">
        <is>
          <t>Solar</t>
        </is>
      </c>
      <c r="E11" s="45" t="inlineStr">
        <is>
          <t>Nano Cap</t>
        </is>
      </c>
      <c r="F11" s="46" t="inlineStr">
        <is>
          <t>XL Fleet Corp. provides fleet electrification solutions for commercial vehicles in North America. Its products include hybrid electric drive systems are comprised of an electric motor that is mounted onto the vehicle's drive shaft, an inverter motor controller, and a lithium-ion battery pack to store energy to be used for propulsion; plug-in hybrid electric drive system, which are fitted to vehicles. In addition, the company offers vehicle electrification and infrastructure solutions, and charging stations. It serves end-use customer base comprising Fortune 500 corporate enterprises, public utilities, and various municipalities. The company was incorporated in 2009 and is headquartered in Boston, Massachusetts.</t>
        </is>
      </c>
    </row>
    <row r="12" ht="60" customHeight="1">
      <c r="A12" s="25" t="inlineStr">
        <is>
          <t>TAYD</t>
        </is>
      </c>
      <c r="B12" s="26" t="inlineStr">
        <is>
          <t>Taylor Devices, Inc.</t>
        </is>
      </c>
      <c r="C12" s="26" t="inlineStr">
        <is>
          <t>Industrials</t>
        </is>
      </c>
      <c r="D12" s="26" t="inlineStr">
        <is>
          <t>Industrial - Machinery</t>
        </is>
      </c>
      <c r="E12" s="48" t="inlineStr">
        <is>
          <t>Nano Cap</t>
        </is>
      </c>
      <c r="F12" s="49" t="inlineStr">
        <is>
          <t>Taylor Devices, Inc. engages in design, development, manufacture, and marketing of shock absorption, rate control, and energy storage devices for use in machinery, equipment, and structures in North America, Asia, and internationally. Its products include seismic dampers that are designed to mitigate the effects of earthquakes on structures; Fluidicshoks, which are compact shock absorbers primarily used in defense, aerospace, and commercial industries; and crane and industrial buffers, which are larger versions of the Fluidicshoks for industrial application on cranes and crane trolleys, truck docks, ladle and ingot cars, ore trolleys, and car stops. The company's products also comprise self-adjusting shock absorbers that include versions of Fluidicshoks, and crane and industrial buffers, which automatically adjust to various impact conditions and are designed for high cycle application primarily in the heavy industry; liquid die springs that are used as component parts of machinery and</t>
        </is>
      </c>
    </row>
    <row r="13" ht="60" customHeight="1">
      <c r="A13" s="19" t="inlineStr">
        <is>
          <t>BYRN</t>
        </is>
      </c>
      <c r="B13" s="20" t="inlineStr">
        <is>
          <t>Byrna Technologies Inc.</t>
        </is>
      </c>
      <c r="C13" s="20" t="inlineStr">
        <is>
          <t>Industrials</t>
        </is>
      </c>
      <c r="D13" s="47" t="inlineStr">
        <is>
          <t>Aerospace &amp; Defense</t>
        </is>
      </c>
      <c r="E13" s="45" t="inlineStr">
        <is>
          <t>Nano Cap</t>
        </is>
      </c>
      <c r="F13" s="46" t="inlineStr">
        <is>
          <t>Byrna Technologies Inc., a less-lethal defense technology company, develops and manufactures less-lethal munitions. It offers a Byrna line of handheld personal security devices, including the Byrna SD and Byrna SD .68 caliber handheld personal security devices that are designed to be used by civilians and private security professionals, as well as Byrna HD magazines, shoulder-fired launchers, and projectiles. The company also offers accessories and related safety products, including the Byrna Banshee, Byrna Shield, compressed carbon dioxide canisters, sighting systems, holsters, and Byrna-branded apparels. It operates in the United States and South Africa. The company was formerly known as Security Devices International, Inc. and changed its name to Byrna Technologies Inc. in March 2020. Byrna Technologies Inc. was incorporated in 2005 and is headquartered in Andover, Massachusetts.</t>
        </is>
      </c>
    </row>
    <row r="14" ht="60" customHeight="1">
      <c r="A14" s="25" t="inlineStr">
        <is>
          <t>ULBI</t>
        </is>
      </c>
      <c r="B14" s="26" t="inlineStr">
        <is>
          <t>Ultralife Corporation</t>
        </is>
      </c>
      <c r="C14" s="26" t="inlineStr">
        <is>
          <t>Industrials</t>
        </is>
      </c>
      <c r="D14" s="26" t="inlineStr">
        <is>
          <t>Electrical Equipment &amp; Parts</t>
        </is>
      </c>
      <c r="E14" s="48" t="inlineStr">
        <is>
          <t>Nano Cap</t>
        </is>
      </c>
      <c r="F14" s="49" t="inlineStr">
        <is>
          <t>Ultralife Corporation, together with its subsidiaries, designs, manufactures, installs, and maintains power, and communication and electronics systems worldwide. The company operates in two segments, Battery &amp; Energy Products and Communications Systems. The Battery &amp; Energy Products segment offers lithium 9-volt, cylindrical, thin lithium manganese dioxide, rechargeable, and other non-rechargeable batteries; lithium-ion cells, multi-kilowatt module lithium ion battery systems, and uninterruptable power supplies; and rugged military and commercial battery charging systems and accessories, including smart chargers, multi-bay charging systems, and various cables. The Communications Systems segment provides communications systems and accessories to support military communications systems, such as radio frequency amplifiers, power supplies and cables, connector assemblies, amplified speakers, equipment mounts, case equipment, man-portable systems, and integrated communication systems for fi</t>
        </is>
      </c>
    </row>
    <row r="15" ht="60" customHeight="1">
      <c r="A15" s="19" t="inlineStr">
        <is>
          <t>GOGO</t>
        </is>
      </c>
      <c r="B15" s="20" t="inlineStr">
        <is>
          <t>Gogo Inc.</t>
        </is>
      </c>
      <c r="C15" s="20" t="inlineStr">
        <is>
          <t>Communication Services</t>
        </is>
      </c>
      <c r="D15" s="20" t="inlineStr">
        <is>
          <t>Telecommunications Services</t>
        </is>
      </c>
      <c r="E15" s="45" t="inlineStr">
        <is>
          <t>Small Cap</t>
        </is>
      </c>
      <c r="F15" s="46" t="inlineStr">
        <is>
          <t xml:space="preserve">Gogo Inc., through its subsidiaries, provides broadband connectivity services to the aviation industry in the United States and internationally. It operates through Commercial Aviation North America (CA-NA), Commercial Aviation Rest of World (CA-ROW), and Business Aviation (BA) segments. The company design, build and operate air-to-ground networks, engineer and maintain in-flight systems of proprietary hardware and software, and deliver customizable connectivity and wireless entertainment services. It also offers suite of integrated equipment, network, and internet connectivity products and services, as well as includes suite of smart cabin systems for integrated connectivity, in-flight entertainment, and voice solutions. In addition, the company portfolio comprises of in-flight network, in-flight systems, in-flight services, aviation partner support, and production operations functions. Further, the company offers satellite-based voice and data services. Gogo Inc. was founded in 1991 </t>
        </is>
      </c>
    </row>
    <row r="16" ht="60" customHeight="1">
      <c r="A16" s="25" t="inlineStr">
        <is>
          <t>CLFD</t>
        </is>
      </c>
      <c r="B16" s="26" t="inlineStr">
        <is>
          <t>Clearfield, Inc.</t>
        </is>
      </c>
      <c r="C16" s="26" t="inlineStr">
        <is>
          <t>Technology</t>
        </is>
      </c>
      <c r="D16" s="50" t="inlineStr">
        <is>
          <t>Communication Equipment</t>
        </is>
      </c>
      <c r="E16" s="48" t="inlineStr">
        <is>
          <t>Small Cap</t>
        </is>
      </c>
      <c r="F16" s="49" t="inlineStr">
        <is>
          <t>Clearfield, Inc. manufactures, markets, and sells standard and custom passive connectivity products to the fiber-to-the-premises, enterprises, and original equipment manufacturers markets in the United States and internationally. The company offers FieldSmart, a series of panels, cabinets, wall boxes, and other enclosures. It also provides WaveSmart, which are optical components integrated for signal coupling, splitting, termination, multiplexing, demultiplexing, and attenuation for integration within its fiber management platform; and outdoor cabinet and fiber active cabinet products. The company offers StreetSmart, a portfolio of fiber management products; FieldShield, a fiber pathway and protection method for reducing the cost of broadband deployment; and YOURx platform that consists of hardened terminals, test access points, and various drop cable options for portions of the access network across various fiber drop cable media. It also provides CraftSmart, a line of optical protect</t>
        </is>
      </c>
    </row>
    <row r="17" ht="60" customHeight="1">
      <c r="A17" s="19" t="inlineStr">
        <is>
          <t>CTLP</t>
        </is>
      </c>
      <c r="B17" s="20" t="inlineStr">
        <is>
          <t>Cantaloupe, Inc.</t>
        </is>
      </c>
      <c r="C17" s="20" t="inlineStr">
        <is>
          <t>Technology</t>
        </is>
      </c>
      <c r="D17" s="20" t="inlineStr">
        <is>
          <t>Information Technology Services</t>
        </is>
      </c>
      <c r="E17" s="45" t="inlineStr">
        <is>
          <t>Small Cap</t>
        </is>
      </c>
      <c r="F17" s="46" t="inlineStr">
        <is>
          <t>Cantaloupe, Inc., a digital payment and software services company, provides technology solutions for the unattended retail market. The company offers integrated solutions for payments processing, logistics, and back-office management. It also provides ePort, an integrated payment device that is deployed in self-service, unattended market applications, such as vending, amusement, arcade, commercial laundry, air/vacuum, car wash, and others, which facilitates digital payments; and integrated software services for payment devices in the field for the wireless transfer. The company serves vending machine, car wash, electric vehicle charging, amusement, commercial laundry, micro-market, kiosk, and entertainment companies. It has strategic partnership with Bakkt Holdings, LLC to bring a cashless experience for consumers to spend digital assets at unattended retail devices: and Castles Technology to introduce a next-generation cashless device solution. The company was formerly known as USA Te</t>
        </is>
      </c>
    </row>
    <row r="18" ht="60" customHeight="1">
      <c r="A18" s="25" t="inlineStr">
        <is>
          <t>CMCO</t>
        </is>
      </c>
      <c r="B18" s="26" t="inlineStr">
        <is>
          <t>Columbus McKinnon Corporation</t>
        </is>
      </c>
      <c r="C18" s="26" t="inlineStr">
        <is>
          <t>Industrials</t>
        </is>
      </c>
      <c r="D18" s="26" t="inlineStr">
        <is>
          <t>Agricultural - Machinery</t>
        </is>
      </c>
      <c r="E18" s="48" t="inlineStr">
        <is>
          <t>Small Cap</t>
        </is>
      </c>
      <c r="F18" s="49" t="inlineStr">
        <is>
          <t>Columbus McKinnon Corporation designs, manufactures, and markets intelligent motion solutions to ergonomically move, lift, position, and secure materials worldwide. The company offers electric, air-powered, lever, and hand hoists; hoist trolleys, explosion-protected and custom engineered hoists, and winches; crane systems, such as crane components and kits, enclosed track rail systems, mobile and jib cranes, and fall protection systems, as well as material handling solutions; rigging equipment comprising below-the-hook lifting devices, shackles, chains and chains accessories, forestry and hand tools, lifting slings, lashing systems, and tie-downs and load binders; rotary unions and swivel joints; and mechanical and electromechanical actuators. It also provides power and motion technology products, including AC motor controls and line regenerative systems, automation and diagnostics, brakes, cable and festoon systems, collision avoidance systems, conductor bar systems, DC motor and magn</t>
        </is>
      </c>
    </row>
    <row r="19" ht="60" customHeight="1">
      <c r="A19" s="19" t="inlineStr">
        <is>
          <t>CRNC</t>
        </is>
      </c>
      <c r="B19" s="20" t="inlineStr">
        <is>
          <t>Cerence Inc.</t>
        </is>
      </c>
      <c r="C19" s="20" t="inlineStr">
        <is>
          <t>Technology</t>
        </is>
      </c>
      <c r="D19" s="20" t="inlineStr">
        <is>
          <t>Software - Application</t>
        </is>
      </c>
      <c r="E19" s="45" t="inlineStr">
        <is>
          <t>Small Cap</t>
        </is>
      </c>
      <c r="F19" s="46" t="inlineStr">
        <is>
          <t>Cerence Inc. provides AI powered virtual assistants for the mobility/transportation market worldwide. The company offers edge software components; cloud-connected components and related toolkits and applications; and virtual assistant coexistence and professional services. It also provides conversational artificial intelligence-based solutions, including speech recognition, natural language understanding, speech signal enhancement, text-to-speech, and acoustic modeling technology. Cerence Inc. is headquartered in Burlington, Massachusetts.</t>
        </is>
      </c>
    </row>
    <row r="20" ht="60" customHeight="1">
      <c r="A20" s="25" t="inlineStr">
        <is>
          <t>SHLS</t>
        </is>
      </c>
      <c r="B20" s="26" t="inlineStr">
        <is>
          <t>Shoals Technologies Group, Inc.</t>
        </is>
      </c>
      <c r="C20" s="26" t="inlineStr">
        <is>
          <t>Energy</t>
        </is>
      </c>
      <c r="D20" s="51" t="inlineStr">
        <is>
          <t>Solar</t>
        </is>
      </c>
      <c r="E20" s="48" t="inlineStr">
        <is>
          <t>Small Cap</t>
        </is>
      </c>
      <c r="F20" s="49" t="inlineStr">
        <is>
          <t>Shoals Technologies Group, Inc. provides electrical balance of system (EBOS) solutions for solar energy projects in the United States. It produces EBOS components, including cable assemblies, inline fuses, combiners, disconnects, recombiners, wireless monitoring systems, junction boxes, transition enclosures, splice boxes, wire management solutions, and IV curve benchmarking devices. The company also sells EV Charging solutions for public and fleet electric vehicle charging stations; and EBOS systems. It sells its products principally to engineering, procurement, and construction firms that build solar energy projects and install electric vehicle charging stations. Shoals Technologies Group, Inc. was founded in 1996 and is headquartered in Portland, Tennessee.</t>
        </is>
      </c>
    </row>
    <row r="21" ht="60" customHeight="1">
      <c r="A21" s="19" t="inlineStr">
        <is>
          <t>ADTN</t>
        </is>
      </c>
      <c r="B21" s="20" t="inlineStr">
        <is>
          <t>ADTRAN Holdings, Inc.</t>
        </is>
      </c>
      <c r="C21" s="20" t="inlineStr">
        <is>
          <t>Technology</t>
        </is>
      </c>
      <c r="D21" s="50" t="inlineStr">
        <is>
          <t>Communication Equipment</t>
        </is>
      </c>
      <c r="E21" s="45" t="inlineStr">
        <is>
          <t>Small Cap</t>
        </is>
      </c>
      <c r="F21" s="46" t="inlineStr">
        <is>
          <t>ADTRAN Holdings, Inc., through its subsidiaries, provides end-to-end fiber networking solutions for communications service provider, enterprises, and government customers in the United States, Germany, the United Kingdom, Mexico, and internationally. It operates through two segments, Network Solutions, and Services &amp; Support. The company offers fiber access and fiber to the node platforms; transceivers, cables, and other miscellaneous materials; passive optical network optical line terminals; fiber to the distribution point Gfast distribution point units; cabinet and outside plant enclosures and services; packet optical transports; fixed wireless access platforms; and network management and subscriber services, and control and orchestration software. It also provides broadband customer premises solutions, ethernet switches and routers, residential gateways, cloud-based software-as-a-service management platforms, virtual wireless local area networks, Internet of Things gateways, pre-sal</t>
        </is>
      </c>
    </row>
    <row r="22" ht="60" customHeight="1">
      <c r="A22" s="25" t="inlineStr">
        <is>
          <t>EVLV</t>
        </is>
      </c>
      <c r="B22" s="26" t="inlineStr">
        <is>
          <t>Evolv Technologies Holdings, Inc.</t>
        </is>
      </c>
      <c r="C22" s="26" t="inlineStr">
        <is>
          <t>Industrials</t>
        </is>
      </c>
      <c r="D22" s="26" t="inlineStr">
        <is>
          <t>Security &amp; Protection Services</t>
        </is>
      </c>
      <c r="E22" s="48" t="inlineStr">
        <is>
          <t>Small Cap</t>
        </is>
      </c>
      <c r="F22" s="49" t="inlineStr">
        <is>
          <t>Evolv Technologies Holdings, Inc. provides artificial intelligence (AI)-based touchless security screening systems. Its products include Evolv Express, a touchless security screening system designed to detect firearms, improvised explosive devices, and tactical knives as visitors walk through at a normal pace; Evolv Insights that provides self-serve access, insights regarding visitor flow and arrival curves, location specific performance, system detection performance, and alarm statistics; and Evolv Edge to detect non-metallic explosive devices, explosive devices, firearms, and tactical knives without requiring visitors to divest or empty their pockets. The company is headquartered in Waltham, Massachusetts.</t>
        </is>
      </c>
    </row>
    <row r="23" ht="60" customHeight="1">
      <c r="A23" s="19" t="inlineStr">
        <is>
          <t>NVEC</t>
        </is>
      </c>
      <c r="B23" s="20" t="inlineStr">
        <is>
          <t>NVE Corporation</t>
        </is>
      </c>
      <c r="C23" s="20" t="inlineStr">
        <is>
          <t>Technology</t>
        </is>
      </c>
      <c r="D23" s="44" t="inlineStr">
        <is>
          <t>Semiconductors</t>
        </is>
      </c>
      <c r="E23" s="45" t="inlineStr">
        <is>
          <t>Small Cap</t>
        </is>
      </c>
      <c r="F23" s="46" t="inlineStr">
        <is>
          <t>NVE Corporation develops and sells devices that use spintronics, a nanotechnology that relies on electron spin to acquire, store, and transmit information in the United States and internationally. The company manufactures spintronic products, including sensors and couplers for use in acquiring and transmitting data. Its products comprise standard sensors to detect the presence of a magnetic or metallic material to determine position or speed primarily for the factory automation market; and custom and medical sensors for medical devices to replace electromechanical magnetic switches. The company also offers spintronic couplers for industrial Internet of Things market. In addition, it undertakes contracts for research and development, and licensing of spintronic magnetoresistive random access memory technology. NVE Corporation was founded in 1989 and is headquartered in Eden Prairie, Minnesota.</t>
        </is>
      </c>
    </row>
    <row r="24" ht="60" customHeight="1">
      <c r="A24" s="25" t="inlineStr">
        <is>
          <t>SWBI</t>
        </is>
      </c>
      <c r="B24" s="26" t="inlineStr">
        <is>
          <t>Smith &amp; Wesson Brands, Inc.</t>
        </is>
      </c>
      <c r="C24" s="26" t="inlineStr">
        <is>
          <t>Industrials</t>
        </is>
      </c>
      <c r="D24" s="47" t="inlineStr">
        <is>
          <t>Aerospace &amp; Defense</t>
        </is>
      </c>
      <c r="E24" s="48" t="inlineStr">
        <is>
          <t>Small Cap</t>
        </is>
      </c>
      <c r="F24" s="49" t="inlineStr">
        <is>
          <t>Smith &amp; Wesson Brands, Inc. designs, manufactures, and sells firearms worldwide. The company offers handguns, including revolvers and pistols; long guns, such as modern sporting rifles, bolt action rifles; handcuffs; suppressors; and other firearm-related products under the Smith &amp; Wesson, M&amp;P, and Gemtech brands. It also provides manufacturing services comprising forging, heat treating, rapid prototyping, tooling, finishing, plating, machining, and custom plastic injection molding to other businesses under the Smith &amp; Wesson and Smith &amp; Wesson Precision Components brand names; and sells parts purchased through third parties. The company sells its products to firearm enthusiasts, collectors, hunters, sportsmen, competitive shooters, individuals desiring home and personal protection, law enforcement, security agencies and officers, and military agencies. It markets its products through independent dealers, retailers, in-store retails, and direct to consumers; print, broadcast, and digit</t>
        </is>
      </c>
    </row>
    <row r="25" ht="60" customHeight="1">
      <c r="A25" s="19" t="inlineStr">
        <is>
          <t>XMTR</t>
        </is>
      </c>
      <c r="B25" s="20" t="inlineStr">
        <is>
          <t>Xometry, Inc.</t>
        </is>
      </c>
      <c r="C25" s="20" t="inlineStr">
        <is>
          <t>Industrials</t>
        </is>
      </c>
      <c r="D25" s="20" t="inlineStr">
        <is>
          <t>Industrial - Machinery</t>
        </is>
      </c>
      <c r="E25" s="45" t="inlineStr">
        <is>
          <t>Breakout</t>
        </is>
      </c>
      <c r="F25" s="46" t="inlineStr">
        <is>
          <t>Xometry, Inc. operates a marketplace that enables buyers to source manufactured parts and assemblies in the United States and internationally. It provides CNC machining, milling, and turning services; sheet, laser, waterjet, and plasma cutting services; and sheet metal forming services. The company also offers 3D printing services, such as carbon digital light synthesis, fused deposition modeling, HP multi jet fusion, PolyJet, selective laser sintering, stereolithography, metal 3D printing service, direct metal laser sintering, and metal binder jetting; and injection molding services, including plastic injection, over, insert, and prototype molding, as well as bridge and production tooling. In addition, it provides other services comprising urethane and die casting, vapor smoothing, finishing, rapid prototyping, high- volume production, and assembly services. The company offers its products under the Allied Machine &amp; Engineering, Brubaker, HTC, OSG, Kyocera, Mitsubishi Materials, SOWA,</t>
        </is>
      </c>
    </row>
    <row r="26" ht="60" customHeight="1">
      <c r="A26" s="25" t="inlineStr">
        <is>
          <t>RUN</t>
        </is>
      </c>
      <c r="B26" s="26" t="inlineStr">
        <is>
          <t>Sunrun Inc.</t>
        </is>
      </c>
      <c r="C26" s="26" t="inlineStr">
        <is>
          <t>Energy</t>
        </is>
      </c>
      <c r="D26" s="51" t="inlineStr">
        <is>
          <t>Solar</t>
        </is>
      </c>
      <c r="E26" s="48" t="inlineStr">
        <is>
          <t>Breakout</t>
        </is>
      </c>
      <c r="F26" s="49" t="inlineStr">
        <is>
          <t>Sunrun Inc. engages in the design, development, installation, sale, ownership, and maintenance of residential solar energy systems in the United States. It also sells solar energy systems and products, such as panels and racking; and solar leads generated to customers. In addition, the company offers battery storage along with solar energy systems. Its primary customers are residential homeowners. The company markets and sells its products through direct-to-consumer approach across online, retail, mass media, digital media, canvassing, field marketing, and referral channels, as well as its partner network. Sunrun Inc. was founded in 2007 and is headquartered in San Francisco, California.</t>
        </is>
      </c>
    </row>
    <row r="27" ht="60" customHeight="1">
      <c r="A27" s="19" t="inlineStr">
        <is>
          <t>FELE</t>
        </is>
      </c>
      <c r="B27" s="20" t="inlineStr">
        <is>
          <t>Franklin Electric Co., Inc.</t>
        </is>
      </c>
      <c r="C27" s="20" t="inlineStr">
        <is>
          <t>Industrials</t>
        </is>
      </c>
      <c r="D27" s="20" t="inlineStr">
        <is>
          <t>Industrial - Machinery</t>
        </is>
      </c>
      <c r="E27" s="45" t="inlineStr">
        <is>
          <t>Breakout</t>
        </is>
      </c>
      <c r="F27" s="46" t="inlineStr">
        <is>
          <t>Franklin Electric Co., Inc., together with its subsidiaries, designs, manufactures, and distributes water and fuel pumping systems worldwide. It operates through three segments: Water Systems, Fueling Systems, and Distribution. The Water Systems segment offers submersible motors, pumps, drives, electronic controls, water treatment systems, monitoring devices, and related parts and equipment. Its motors and pumps are used principally for pumping clean water and wastewater in various residential, agricultural, municipal, and industrial applications; and manufactures electronic drives and controls that are used in motors for controlling functionality, as well as provides protection from various hazards, such as electrical surges, over-heating, and dry wells or tanks. The Fueling Systems segment provides pumps, pipes, sumps, fittings, vapor recovery components, electronic controls, monitoring devices, and related parts and equipment primarily for use in fueling system applications. This se</t>
        </is>
      </c>
    </row>
    <row r="28" ht="60" customHeight="1">
      <c r="A28" s="25" t="inlineStr">
        <is>
          <t>QRVO</t>
        </is>
      </c>
      <c r="B28" s="26" t="inlineStr">
        <is>
          <t>Qorvo, Inc.</t>
        </is>
      </c>
      <c r="C28" s="26" t="inlineStr">
        <is>
          <t>Technology</t>
        </is>
      </c>
      <c r="D28" s="44" t="inlineStr">
        <is>
          <t>Semiconductors</t>
        </is>
      </c>
      <c r="E28" s="48" t="inlineStr">
        <is>
          <t>Breakout</t>
        </is>
      </c>
      <c r="F28" s="49" t="inlineStr">
        <is>
          <t>Qorvo, Inc. develops and commercializes technologies and products for wireless, wired, and power markets worldwide. The company operates through two segments, Mobile Products, and Infrastructure and Defense Products. It offers mobile devices, such as smartphones, wearables, laptops, tablets and other devices; radio frequency power management integrated circuits, ultra-wideband (UWB) system-on-a-chip (SoC) and system-in-package (SiP) solutions, MEMS-based sensors, antenna tuners, and antennaplexers, as well as discrete multiplexers, duplexers, filters, and switches; and cellular base stations include switch-low noise amplifier (LNA) modules, variable gain amplifiers, integrated power amplifier (PA) Doherty modules, discrete LNAs, and high power GaN amplifiers. The company's also provides SiC products, such as Schottky diodes and transistors for automotive, industrial, IT infrastructure and renewable energy markets; SoC hardware, firmware, and application software for smart home applicat</t>
        </is>
      </c>
    </row>
    <row r="29" ht="60" customHeight="1">
      <c r="A29" s="19" t="inlineStr">
        <is>
          <t>ESI</t>
        </is>
      </c>
      <c r="B29" s="20" t="inlineStr">
        <is>
          <t>Element Solutions Inc</t>
        </is>
      </c>
      <c r="C29" s="20" t="inlineStr">
        <is>
          <t>Basic Materials</t>
        </is>
      </c>
      <c r="D29" s="20" t="inlineStr">
        <is>
          <t>Chemicals - Specialty</t>
        </is>
      </c>
      <c r="E29" s="45" t="inlineStr">
        <is>
          <t>Breakout</t>
        </is>
      </c>
      <c r="F29" s="46" t="inlineStr">
        <is>
          <t>Element Solutions Inc operates as a specialty chemicals company in the United States, China, and internationally. The company operates in two segments, Electronics, and Industrial &amp; Specialty. The Electronics segment researches, formulates, and sells specialty chemicals and materials for various types of electronics hardware products. This segment also supplies solder technologies, fluxes, cleaners, and other attachment materials for the electronics assembly industry; proprietary liquid chemical processes to manufacture printed circuit boards; and advanced copper interconnects, die attachment, wafer bump processes, and photomask technologies for integrated circuit fabrication and semiconductor packaging. It primarily serves mobile communications, computers, automobiles, and aerospace equipment industries. The Industrial &amp; Specialty segment provides industrial solutions, which include chemical systems that protect and decorate metal and plastic surfaces; consumable chemicals that enable</t>
        </is>
      </c>
    </row>
    <row r="30" ht="60" customHeight="1">
      <c r="A30" s="25" t="inlineStr">
        <is>
          <t>BETA</t>
        </is>
      </c>
      <c r="B30" s="26" t="inlineStr">
        <is>
          <t>BETA Technologies, Inc.</t>
        </is>
      </c>
      <c r="C30" s="26" t="inlineStr">
        <is>
          <t>Industrials</t>
        </is>
      </c>
      <c r="D30" s="47" t="inlineStr">
        <is>
          <t>Aerospace &amp; Defense</t>
        </is>
      </c>
      <c r="E30" s="48" t="inlineStr">
        <is>
          <t>Breakout</t>
        </is>
      </c>
      <c r="F30" s="49" t="inlineStr">
        <is>
          <t>BETA Technologies, Inc. designs, develops, and manufactures electric aircraft platform and propulsion systems for the aviation industry in the United States. The company's products include electric aircraft, advanced electric propulsion systems, charging systems, and components. It offers aircraft, such as ALIA-CTOL (CX300), a piloted electric aircraft for cargo services; ALIA VTOL (A250), a vertical takeoff and landing aircraft for cargo, logistics, medical operations, and passenger services; ALIA Defense VTOL (MV250), a military aircraft for cargo and logistics, and larger aircraft; motors including H500A Motor and V600 Motor for aerospace and marine applications; batteries for electric aircraft; and charging equipment including charge cube, thermal management system cube, and mini cubes. It also offers ground support equipment and flight control systems. The company engages in selling aircraft to military and commercial customers, replacement batteries to operators, propulsion syste</t>
        </is>
      </c>
    </row>
    <row r="31" ht="60" customHeight="1">
      <c r="A31" s="19" t="inlineStr">
        <is>
          <t>ESAB</t>
        </is>
      </c>
      <c r="B31" s="20" t="inlineStr">
        <is>
          <t>ESAB Corporation</t>
        </is>
      </c>
      <c r="C31" s="20" t="inlineStr">
        <is>
          <t>Industrials</t>
        </is>
      </c>
      <c r="D31" s="20" t="inlineStr">
        <is>
          <t>Manufacturing - Metal Fabrication</t>
        </is>
      </c>
      <c r="E31" s="45" t="inlineStr">
        <is>
          <t>Breakout</t>
        </is>
      </c>
      <c r="F31" s="46" t="inlineStr">
        <is>
          <t>ESAB Corporation formulates, develops, manufactures, and supplies consumable products and equipment for use in cutting, joining, and automated welding, as well as gas control equipment. Its comprehensive range of welding consumables includes electrodes, cored and solid wires, and fluxes using a range of specialty and other materials; and cutting consumables, including electrodes, nozzles, shields, and tips. The company's fabrication technology equipment ranges from portable welding machines to large customized automated cutting and welding systems. It also offers a range of digital software and solutions to help its customers increase their productivity, remotely monitor their welding operations, and digitize their documentation. The company sells its products under the ESAB brand to various end markets, including general industry, construction, infrastructure, transportation, energy, renewable energy, and medical and life sciences. It offers its products through independent distributo</t>
        </is>
      </c>
    </row>
    <row r="32" ht="60" customHeight="1">
      <c r="A32" s="25" t="inlineStr">
        <is>
          <t>EXLS</t>
        </is>
      </c>
      <c r="B32" s="26" t="inlineStr">
        <is>
          <t>ExlService Holdings, Inc.</t>
        </is>
      </c>
      <c r="C32" s="26" t="inlineStr">
        <is>
          <t>Technology</t>
        </is>
      </c>
      <c r="D32" s="26" t="inlineStr">
        <is>
          <t>Information Technology Services</t>
        </is>
      </c>
      <c r="E32" s="48" t="inlineStr">
        <is>
          <t>Breakout</t>
        </is>
      </c>
      <c r="F32" s="49" t="inlineStr">
        <is>
          <t>ExlService Holdings, Inc. operates as a data analytics, and digital operations and solutions company in the United States and internationally. It operates through Insurance, Healthcare, Analytics, and Emerging Business segments. The company provides digital operations and solutions and analytics-driven services across the insurance industry in areas, such as claims processing, premium and benefit administration, agency management, account reconciliation, policy research, underwriting support, new business acquisition, policy servicing, premium audit, surveys, billing and collection, commercial and residential survey, and customer service using digital technology, artificial intelligence, machine learning, and advanced automation; digital customer acquisition services using a software-as-a-service delivery model through LifePRO and LISS platforms; subrogation services; and Subrosource software platform, an end-to-end subrogation platform. It also offers CareRadius, an integrated care ma</t>
        </is>
      </c>
    </row>
    <row r="33" ht="60" customHeight="1">
      <c r="A33" s="19" t="inlineStr">
        <is>
          <t>RVTY</t>
        </is>
      </c>
      <c r="B33" s="20" t="inlineStr">
        <is>
          <t>Revvity, Inc.</t>
        </is>
      </c>
      <c r="C33" s="20" t="inlineStr">
        <is>
          <t>Healthcare</t>
        </is>
      </c>
      <c r="D33" s="20" t="inlineStr">
        <is>
          <t>Medical - Diagnostics &amp; Research</t>
        </is>
      </c>
      <c r="E33" s="45" t="inlineStr">
        <is>
          <t>Breakout</t>
        </is>
      </c>
      <c r="F33" s="46" t="inlineStr">
        <is>
          <t xml:space="preserve">Revvity, Inc. provides products, services, and solutions to the diagnostics, life sciences, and applied services markets worldwide. It operates through two segments, Discovery &amp; Analytical Solutions and Diagnostics. The Discovery &amp; Analytical Solutions segment provides instruments, reagents, informatics, software, subscriptions, detection, and imaging technologies that enable scientists to enhance research breakthroughs in the life sciences research market, as well as contract research and laboratory services. It also provides analytical technologies, solutions, and services for its customers to understand the characterize the health of various aspects, including air, water, and soil. In addition, this segment offers solutions to farmers and food producers; and analytical instrumentation for the industrial market, which includes the chemical, semiconductor and electronics, energy, lubricant, petrochemical, and polymer industries. The Diagnostics segment provides instruments, reagents, </t>
        </is>
      </c>
    </row>
    <row r="34" ht="60" customHeight="1">
      <c r="A34" s="25" t="inlineStr">
        <is>
          <t>NWSA</t>
        </is>
      </c>
      <c r="B34" s="26" t="inlineStr">
        <is>
          <t>News Corporation</t>
        </is>
      </c>
      <c r="C34" s="26" t="inlineStr">
        <is>
          <t>Communication Services</t>
        </is>
      </c>
      <c r="D34" s="26" t="inlineStr">
        <is>
          <t>Entertainment</t>
        </is>
      </c>
      <c r="E34" s="48" t="inlineStr">
        <is>
          <t>Breakout</t>
        </is>
      </c>
      <c r="F34" s="49" t="inlineStr">
        <is>
          <t>News Corporation, a media and information services company, creates and distributes authoritative and engaging content, and other products and services for consumers and businesses worldwide. It operates in six segments: Digital Real Estate Services, Subscription Video Services, Dow Jones, Book Publishing, News Media, and Other. The company distributes content and data products, including The Wall Street Journal, Barron's, MarketWatch, Investor's Business Daily, Factiva, Dow Jones Risk &amp; Compliance, Dow Jones Newswires, and OPIS through various media channels, such as newspapers, newswires, websites, mobile apps, newsletters, magazines, proprietary databases, live journalism, video, and podcasts. It also owns and operates daily, Sunday, weekly, and bi-weekly newspapers comprising The Australian, The Weekend Australian, The Daily Telegraph, The Sunday Telegraph, Herald Sun, Sunday Herald Sun, The Courier Mail, The Sunday Mail, The Advertiser, Sunday Mail, The Sun, The Sun on Sunday, The</t>
        </is>
      </c>
    </row>
  </sheetData>
  <autoFilter ref="A4:F34"/>
  <mergeCells count="2">
    <mergeCell ref="A2:F2"/>
    <mergeCell ref="A1:F1"/>
  </mergeCells>
  <pageMargins left="0.75" right="0.75" top="1" bottom="1" header="0.5" footer="0.5"/>
  <pageSetup orientation="landscape" fitToWidth="1"/>
</worksheet>
</file>

<file path=xl/worksheets/sheet6.xml><?xml version="1.0" encoding="utf-8"?>
<worksheet xmlns="http://schemas.openxmlformats.org/spreadsheetml/2006/main">
  <sheetPr>
    <tabColor rgb="002A9D8F"/>
    <outlinePr summaryBelow="1" summaryRight="1"/>
    <pageSetUpPr fitToPage="1"/>
  </sheetPr>
  <dimension ref="A1:G34"/>
  <sheetViews>
    <sheetView showGridLines="0" workbookViewId="0">
      <pane xSplit="2" ySplit="4" topLeftCell="C5" activePane="bottomRight" state="frozen"/>
      <selection pane="topRight"/>
      <selection pane="bottomLeft"/>
      <selection pane="bottomRight" activeCell="A1" sqref="A1"/>
    </sheetView>
  </sheetViews>
  <sheetFormatPr baseColWidth="8" defaultRowHeight="15"/>
  <cols>
    <col width="9" customWidth="1" min="1" max="1"/>
    <col width="28" customWidth="1" min="2" max="2"/>
    <col width="22" customWidth="1" min="3" max="3"/>
    <col width="12" customWidth="1" min="4" max="4"/>
    <col width="10" customWidth="1" min="5" max="5"/>
    <col width="10" customWidth="1" min="6" max="6"/>
    <col width="65" customWidth="1" min="7" max="7"/>
  </cols>
  <sheetData>
    <row r="1" ht="28" customHeight="1">
      <c r="A1" s="31" t="inlineStr">
        <is>
          <t>Competitive Moats &amp; Structural Advantages</t>
        </is>
      </c>
      <c r="B1" s="11" t="n"/>
      <c r="C1" s="11" t="n"/>
      <c r="D1" s="11" t="n"/>
      <c r="E1" s="11" t="n"/>
      <c r="F1" s="11" t="n"/>
      <c r="G1" s="11" t="n"/>
    </row>
    <row r="2" ht="22" customHeight="1">
      <c r="A2" s="32" t="inlineStr">
        <is>
          <t>Derived from financial metrics  |  April 29, 2026</t>
        </is>
      </c>
      <c r="B2" s="12" t="n"/>
      <c r="C2" s="12" t="n"/>
      <c r="D2" s="12" t="n"/>
      <c r="E2" s="12" t="n"/>
      <c r="F2" s="12" t="n"/>
      <c r="G2" s="12" t="n"/>
    </row>
    <row r="3" ht="8" customHeight="1"/>
    <row r="4" ht="18" customHeight="1">
      <c r="A4" s="18" t="inlineStr">
        <is>
          <t>Ticker</t>
        </is>
      </c>
      <c r="B4" s="18" t="inlineStr">
        <is>
          <t>Company</t>
        </is>
      </c>
      <c r="C4" s="18" t="inlineStr">
        <is>
          <t>Industry</t>
        </is>
      </c>
      <c r="D4" s="18" t="inlineStr">
        <is>
          <t>Tier</t>
        </is>
      </c>
      <c r="E4" s="18" t="inlineStr">
        <is>
          <t>GM%</t>
        </is>
      </c>
      <c r="F4" s="18" t="inlineStr">
        <is>
          <t>FP Score</t>
        </is>
      </c>
      <c r="G4" s="18" t="inlineStr">
        <is>
          <t>Moat Analysis</t>
        </is>
      </c>
    </row>
    <row r="5" ht="80" customHeight="1">
      <c r="A5" s="19" t="inlineStr">
        <is>
          <t>SODI</t>
        </is>
      </c>
      <c r="B5" s="20" t="inlineStr">
        <is>
          <t>Solitron Devices, Inc.</t>
        </is>
      </c>
      <c r="C5" s="20" t="inlineStr">
        <is>
          <t>Semiconductors</t>
        </is>
      </c>
      <c r="D5" s="45" t="inlineStr">
        <is>
          <t>Nano Cap</t>
        </is>
      </c>
      <c r="E5" s="45" t="inlineStr">
        <is>
          <t>34%</t>
        </is>
      </c>
      <c r="F5" s="45" t="inlineStr">
        <is>
          <t>98</t>
        </is>
      </c>
      <c r="G5" s="46" t="inlineStr">
        <is>
          <t>Moderate margins (GM 34%) — competitive market, but cost structure supports reinvestment. Solid revenue growth (49% YoY) suggests growing demand and competitive positioning in target markets. Revenue acceleration (65% QoQ) — growth is compounding, indicating an inflection point or expanding customer adoption. Exceptional capital discipline (1% share growth over 3yr) — management avoids dilution, signaling confidence in organic cash generation. High insider ownership (23%) — founder/management skin in the game strongly aligns incentives with shareholders. Semiconductor design/fab expertise represents years of R&amp;D investment — a significant moat against new entrants. Fingerprint score of 98 — structural profile closely matches historical multi-bagger winners at their inflection points.</t>
        </is>
      </c>
    </row>
    <row r="6" ht="80" customHeight="1">
      <c r="A6" s="25" t="inlineStr">
        <is>
          <t>CODA</t>
        </is>
      </c>
      <c r="B6" s="26" t="inlineStr">
        <is>
          <t>Coda Octopus Group, Inc.</t>
        </is>
      </c>
      <c r="C6" s="26" t="inlineStr">
        <is>
          <t>Aerospace &amp; Defense</t>
        </is>
      </c>
      <c r="D6" s="48" t="inlineStr">
        <is>
          <t>Nano Cap</t>
        </is>
      </c>
      <c r="E6" s="48" t="inlineStr">
        <is>
          <t>65%</t>
        </is>
      </c>
      <c r="F6" s="48" t="inlineStr">
        <is>
          <t>74</t>
        </is>
      </c>
      <c r="G6" s="49" t="inlineStr">
        <is>
          <t>Strong pricing power (GM 65%) suggests proprietary technology or IP-protected products with limited direct competition. Solid revenue growth (29% YoY) suggests growing demand and competitive positioning in target markets. Revenue acceleration (31% QoQ) — growth is compounding, indicating an inflection point or expanding customer adoption. Exceptional capital discipline (2% share growth over 3yr) — management avoids dilution, signaling confidence in organic cash generation. High insider ownership (47%) — founder/management skin in the game strongly aligns incentives with shareholders. Defense/aerospace positioning creates high barriers to entry via security clearances, government contracts, and long procurement cycles. Fingerprint score of 74 — structural profile closely matches historical multi-bagger winners at their inflection points.</t>
        </is>
      </c>
    </row>
    <row r="7" ht="80" customHeight="1">
      <c r="A7" s="19" t="inlineStr">
        <is>
          <t>SCTQ</t>
        </is>
      </c>
      <c r="B7" s="20" t="inlineStr">
        <is>
          <t>Spectra Systems Corporation</t>
        </is>
      </c>
      <c r="C7" s="20" t="inlineStr">
        <is>
          <t>Computer Hardware</t>
        </is>
      </c>
      <c r="D7" s="45" t="inlineStr">
        <is>
          <t>Nano Cap</t>
        </is>
      </c>
      <c r="E7" s="45" t="inlineStr">
        <is>
          <t>57%</t>
        </is>
      </c>
      <c r="F7" s="45" t="inlineStr">
        <is>
          <t>73</t>
        </is>
      </c>
      <c r="G7" s="46" t="inlineStr">
        <is>
          <t>Healthy margins (GM 57%) indicate differentiated products with some pricing power above commodity levels. Rapid revenue growth (502% YoY) signals strong product-market fit and expanding TAM capture. Reasonable capital discipline (5% 3yr dilution) — moderate equity issuance suggests funded growth without excessive shareholder dilution. Meaningful insider ownership (18%) — management has material personal stake in company performance. Fingerprint score of 73 — structural profile closely matches historical multi-bagger winners at their inflection points.</t>
        </is>
      </c>
    </row>
    <row r="8" ht="80" customHeight="1">
      <c r="A8" s="25" t="inlineStr">
        <is>
          <t>OPXS</t>
        </is>
      </c>
      <c r="B8" s="26" t="inlineStr">
        <is>
          <t>Optex Systems Holdings, Inc</t>
        </is>
      </c>
      <c r="C8" s="26" t="inlineStr">
        <is>
          <t>Aerospace &amp; Defense</t>
        </is>
      </c>
      <c r="D8" s="48" t="inlineStr">
        <is>
          <t>Nano Cap</t>
        </is>
      </c>
      <c r="E8" s="48" t="inlineStr">
        <is>
          <t>23%</t>
        </is>
      </c>
      <c r="F8" s="48" t="inlineStr">
        <is>
          <t>97</t>
        </is>
      </c>
      <c r="G8" s="49" t="inlineStr">
        <is>
          <t>Revenue acceleration (15% QoQ) — growth is compounding, indicating an inflection point or expanding customer adoption. Reasonable capital discipline (4% 3yr dilution) — moderate equity issuance suggests funded growth without excessive shareholder dilution. High insider ownership (21%) — founder/management skin in the game strongly aligns incentives with shareholders. Defense/aerospace positioning creates high barriers to entry via security clearances, government contracts, and long procurement cycles. Fingerprint score of 97 — structural profile closely matches historical multi-bagger winners at their inflection points.</t>
        </is>
      </c>
    </row>
    <row r="9" ht="80" customHeight="1">
      <c r="A9" s="19" t="inlineStr">
        <is>
          <t>KVHI</t>
        </is>
      </c>
      <c r="B9" s="20" t="inlineStr">
        <is>
          <t>KVH Industries, Inc.</t>
        </is>
      </c>
      <c r="C9" s="20" t="inlineStr">
        <is>
          <t>Communication Equipment</t>
        </is>
      </c>
      <c r="D9" s="45" t="inlineStr">
        <is>
          <t>Nano Cap</t>
        </is>
      </c>
      <c r="E9" s="45" t="inlineStr">
        <is>
          <t>30%</t>
        </is>
      </c>
      <c r="F9" s="45" t="inlineStr">
        <is>
          <t>90</t>
        </is>
      </c>
      <c r="G9" s="46" t="inlineStr">
        <is>
          <t>Moderate margins (GM 30%) — competitive market, but cost structure supports reinvestment. Revenue acceleration (21% QoQ) — growth is compounding, indicating an inflection point or expanding customer adoption. Exceptional capital discipline (2% share growth over 3yr) — management avoids dilution, signaling confidence in organic cash generation. High insider ownership (42%) — founder/management skin in the game strongly aligns incentives with shareholders. Networking/communications infrastructure — installed base and switching costs create customer lock-in. Fingerprint score of 90 — structural profile closely matches historical multi-bagger winners at their inflection points.</t>
        </is>
      </c>
    </row>
    <row r="10" ht="80" customHeight="1">
      <c r="A10" s="25" t="inlineStr">
        <is>
          <t>SSTI</t>
        </is>
      </c>
      <c r="B10" s="26" t="inlineStr">
        <is>
          <t>SoundThinking, Inc.</t>
        </is>
      </c>
      <c r="C10" s="26" t="inlineStr">
        <is>
          <t>Software - Application</t>
        </is>
      </c>
      <c r="D10" s="48" t="inlineStr">
        <is>
          <t>Nano Cap</t>
        </is>
      </c>
      <c r="E10" s="48" t="inlineStr">
        <is>
          <t>51%</t>
        </is>
      </c>
      <c r="F10" s="48" t="inlineStr">
        <is>
          <t>89</t>
        </is>
      </c>
      <c r="G10" s="49" t="inlineStr">
        <is>
          <t>Healthy margins (GM 51%) indicate differentiated products with some pricing power above commodity levels. Revenue acceleration (14% QoQ) — growth is compounding, indicating an inflection point or expanding customer adoption. Reasonable capital discipline (4% 3yr dilution) — moderate equity issuance suggests funded growth without excessive shareholder dilution. High insider ownership (40%) — founder/management skin in the game strongly aligns incentives with shareholders. Fingerprint score of 89 — structural profile closely matches historical multi-bagger winners at their inflection points.</t>
        </is>
      </c>
    </row>
    <row r="11" ht="80" customHeight="1">
      <c r="A11" s="19" t="inlineStr">
        <is>
          <t>SPRU</t>
        </is>
      </c>
      <c r="B11" s="20" t="inlineStr">
        <is>
          <t>Spruce Power Holding Corporation</t>
        </is>
      </c>
      <c r="C11" s="20" t="inlineStr">
        <is>
          <t>Solar</t>
        </is>
      </c>
      <c r="D11" s="45" t="inlineStr">
        <is>
          <t>Nano Cap</t>
        </is>
      </c>
      <c r="E11" s="45" t="inlineStr">
        <is>
          <t>105%</t>
        </is>
      </c>
      <c r="F11" s="45" t="inlineStr">
        <is>
          <t>78</t>
        </is>
      </c>
      <c r="G11" s="46" t="inlineStr">
        <is>
          <t>Strong pricing power (GM 105%) suggests proprietary technology or IP-protected products with limited direct competition. Revenue acceleration (8% QoQ) — growth is compounding, indicating an inflection point or expanding customer adoption. Exceptional capital discipline (-1% share growth over 3yr) — management avoids dilution, signaling confidence in organic cash generation. High insider ownership (21%) — founder/management skin in the game strongly aligns incentives with shareholders. Fingerprint score of 78 — structural profile closely matches historical multi-bagger winners at their inflection points.</t>
        </is>
      </c>
    </row>
    <row r="12" ht="80" customHeight="1">
      <c r="A12" s="25" t="inlineStr">
        <is>
          <t>TAYD</t>
        </is>
      </c>
      <c r="B12" s="26" t="inlineStr">
        <is>
          <t>Taylor Devices, Inc.</t>
        </is>
      </c>
      <c r="C12" s="26" t="inlineStr">
        <is>
          <t>Industrial - Machinery</t>
        </is>
      </c>
      <c r="D12" s="48" t="inlineStr">
        <is>
          <t>Nano Cap</t>
        </is>
      </c>
      <c r="E12" s="48" t="inlineStr">
        <is>
          <t>40%</t>
        </is>
      </c>
      <c r="F12" s="48" t="inlineStr">
        <is>
          <t>97</t>
        </is>
      </c>
      <c r="G12" s="49" t="inlineStr">
        <is>
          <t>Healthy margins (GM 40%) indicate differentiated products with some pricing power above commodity levels. Revenue acceleration (18% QoQ) — growth is compounding, indicating an inflection point or expanding customer adoption. Exceptional capital discipline (-10% share growth over 3yr) — management avoids dilution, signaling confidence in organic cash generation. Fingerprint score of 97 — structural profile closely matches historical multi-bagger winners at their inflection points.</t>
        </is>
      </c>
    </row>
    <row r="13" ht="80" customHeight="1">
      <c r="A13" s="19" t="inlineStr">
        <is>
          <t>BYRN</t>
        </is>
      </c>
      <c r="B13" s="20" t="inlineStr">
        <is>
          <t>Byrna Technologies Inc.</t>
        </is>
      </c>
      <c r="C13" s="20" t="inlineStr">
        <is>
          <t>Aerospace &amp; Defense</t>
        </is>
      </c>
      <c r="D13" s="45" t="inlineStr">
        <is>
          <t>Nano Cap</t>
        </is>
      </c>
      <c r="E13" s="45" t="inlineStr">
        <is>
          <t>60%</t>
        </is>
      </c>
      <c r="F13" s="45" t="inlineStr">
        <is>
          <t>91</t>
        </is>
      </c>
      <c r="G13" s="46" t="inlineStr">
        <is>
          <t>Healthy margins (GM 60%) indicate differentiated products with some pricing power above commodity levels. Reasonable capital discipline (4% 3yr dilution) — moderate equity issuance suggests funded growth without excessive shareholder dilution. High insider ownership (22%) — founder/management skin in the game strongly aligns incentives with shareholders. Defense/aerospace positioning creates high barriers to entry via security clearances, government contracts, and long procurement cycles. Fingerprint score of 91 — structural profile closely matches historical multi-bagger winners at their inflection points.</t>
        </is>
      </c>
    </row>
    <row r="14" ht="80" customHeight="1">
      <c r="A14" s="25" t="inlineStr">
        <is>
          <t>ULBI</t>
        </is>
      </c>
      <c r="B14" s="26" t="inlineStr">
        <is>
          <t>Ultralife Corporation</t>
        </is>
      </c>
      <c r="C14" s="26" t="inlineStr">
        <is>
          <t>Electrical Equipment &amp; Parts</t>
        </is>
      </c>
      <c r="D14" s="48" t="inlineStr">
        <is>
          <t>Nano Cap</t>
        </is>
      </c>
      <c r="E14" s="48" t="inlineStr">
        <is>
          <t>25%</t>
        </is>
      </c>
      <c r="F14" s="48" t="inlineStr">
        <is>
          <t>90</t>
        </is>
      </c>
      <c r="G14" s="49" t="inlineStr">
        <is>
          <t>Revenue acceleration (6% QoQ) — growth is compounding, indicating an inflection point or expanding customer adoption. Reasonable capital discipline (3% 3yr dilution) — moderate equity issuance suggests funded growth without excessive shareholder dilution. High insider ownership (42%) — founder/management skin in the game strongly aligns incentives with shareholders. Fingerprint score of 90 — structural profile closely matches historical multi-bagger winners at their inflection points.</t>
        </is>
      </c>
    </row>
    <row r="15" ht="80" customHeight="1">
      <c r="A15" s="19" t="inlineStr">
        <is>
          <t>GOGO</t>
        </is>
      </c>
      <c r="B15" s="20" t="inlineStr">
        <is>
          <t>Gogo Inc.</t>
        </is>
      </c>
      <c r="C15" s="20" t="inlineStr">
        <is>
          <t>Telecommunications Services</t>
        </is>
      </c>
      <c r="D15" s="45" t="inlineStr">
        <is>
          <t>Small Cap</t>
        </is>
      </c>
      <c r="E15" s="45" t="inlineStr">
        <is>
          <t>70%</t>
        </is>
      </c>
      <c r="F15" s="45" t="inlineStr">
        <is>
          <t>73</t>
        </is>
      </c>
      <c r="G15" s="46" t="inlineStr">
        <is>
          <t>Strong pricing power (GM 70%) suggests proprietary technology or IP-protected products with limited direct competition. Rapid revenue growth (67% YoY) signals strong product-market fit and expanding TAM capture. Revenue acceleration (35% QoQ) — growth is compounding, indicating an inflection point or expanding customer adoption. Reasonable capital discipline (4% 3yr dilution) — moderate equity issuance suggests funded growth without excessive shareholder dilution. High insider ownership (43%) — founder/management skin in the game strongly aligns incentives with shareholders. Fingerprint score of 73 — structural profile closely matches historical multi-bagger winners at their inflection points.</t>
        </is>
      </c>
    </row>
    <row r="16" ht="80" customHeight="1">
      <c r="A16" s="25" t="inlineStr">
        <is>
          <t>CLFD</t>
        </is>
      </c>
      <c r="B16" s="26" t="inlineStr">
        <is>
          <t>Clearfield, Inc.</t>
        </is>
      </c>
      <c r="C16" s="26" t="inlineStr">
        <is>
          <t>Communication Equipment</t>
        </is>
      </c>
      <c r="D16" s="48" t="inlineStr">
        <is>
          <t>Small Cap</t>
        </is>
      </c>
      <c r="E16" s="48" t="inlineStr">
        <is>
          <t>33%</t>
        </is>
      </c>
      <c r="F16" s="48" t="inlineStr">
        <is>
          <t>100</t>
        </is>
      </c>
      <c r="G16" s="49" t="inlineStr">
        <is>
          <t>Moderate margins (GM 33%) — competitive market, but cost structure supports reinvestment. Revenue acceleration (35% QoQ) — growth is compounding, indicating an inflection point or expanding customer adoption. Exceptional capital discipline (-9% share growth over 3yr) — management avoids dilution, signaling confidence in organic cash generation. Meaningful insider ownership (19%) — management has material personal stake in company performance. Networking/communications infrastructure — installed base and switching costs create customer lock-in. Fingerprint score of 100 — structural profile closely matches historical multi-bagger winners at their inflection points.</t>
        </is>
      </c>
    </row>
    <row r="17" ht="80" customHeight="1">
      <c r="A17" s="19" t="inlineStr">
        <is>
          <t>CTLP</t>
        </is>
      </c>
      <c r="B17" s="20" t="inlineStr">
        <is>
          <t>Cantaloupe, Inc.</t>
        </is>
      </c>
      <c r="C17" s="20" t="inlineStr">
        <is>
          <t>Information Technology Services</t>
        </is>
      </c>
      <c r="D17" s="45" t="inlineStr">
        <is>
          <t>Small Cap</t>
        </is>
      </c>
      <c r="E17" s="45" t="inlineStr">
        <is>
          <t>33%</t>
        </is>
      </c>
      <c r="F17" s="45" t="inlineStr">
        <is>
          <t>99</t>
        </is>
      </c>
      <c r="G17" s="46" t="inlineStr">
        <is>
          <t>Moderate margins (GM 33%) — competitive market, but cost structure supports reinvestment. Exceptional capital discipline (2% share growth over 3yr) — management avoids dilution, signaling confidence in organic cash generation. High insider ownership (25%) — founder/management skin in the game strongly aligns incentives with shareholders. Fingerprint score of 99 — structural profile closely matches historical multi-bagger winners at their inflection points.</t>
        </is>
      </c>
    </row>
    <row r="18" ht="80" customHeight="1">
      <c r="A18" s="25" t="inlineStr">
        <is>
          <t>CMCO</t>
        </is>
      </c>
      <c r="B18" s="26" t="inlineStr">
        <is>
          <t>Columbus McKinnon Corporation</t>
        </is>
      </c>
      <c r="C18" s="26" t="inlineStr">
        <is>
          <t>Agricultural - Machinery</t>
        </is>
      </c>
      <c r="D18" s="48" t="inlineStr">
        <is>
          <t>Small Cap</t>
        </is>
      </c>
      <c r="E18" s="48" t="inlineStr">
        <is>
          <t>32%</t>
        </is>
      </c>
      <c r="F18" s="48" t="inlineStr">
        <is>
          <t>98</t>
        </is>
      </c>
      <c r="G18" s="49" t="inlineStr">
        <is>
          <t>Moderate margins (GM 32%) — competitive market, but cost structure supports reinvestment. Revenue acceleration (22% QoQ) — growth is compounding, indicating an inflection point or expanding customer adoption. Exceptional capital discipline (0% share growth over 3yr) — management avoids dilution, signaling confidence in organic cash generation. Fingerprint score of 98 — structural profile closely matches historical multi-bagger winners at their inflection points.</t>
        </is>
      </c>
    </row>
    <row r="19" ht="80" customHeight="1">
      <c r="A19" s="19" t="inlineStr">
        <is>
          <t>CRNC</t>
        </is>
      </c>
      <c r="B19" s="20" t="inlineStr">
        <is>
          <t>Cerence Inc.</t>
        </is>
      </c>
      <c r="C19" s="20" t="inlineStr">
        <is>
          <t>Software - Application</t>
        </is>
      </c>
      <c r="D19" s="45" t="inlineStr">
        <is>
          <t>Small Cap</t>
        </is>
      </c>
      <c r="E19" s="45" t="inlineStr">
        <is>
          <t>86%</t>
        </is>
      </c>
      <c r="F19" s="45" t="inlineStr">
        <is>
          <t>65</t>
        </is>
      </c>
      <c r="G19" s="46" t="inlineStr">
        <is>
          <t>Strong pricing power (GM 86%) suggests proprietary technology or IP-protected products with limited direct competition. Rapid revenue growth (126% YoY) signals strong product-market fit and expanding TAM capture. Revenue acceleration (151% QoQ) — growth is compounding, indicating an inflection point or expanding customer adoption. Fingerprint score of 65 — structural profile closely matches historical multi-bagger winners at their inflection points.</t>
        </is>
      </c>
    </row>
    <row r="20" ht="80" customHeight="1">
      <c r="A20" s="25" t="inlineStr">
        <is>
          <t>SHLS</t>
        </is>
      </c>
      <c r="B20" s="26" t="inlineStr">
        <is>
          <t>Shoals Technologies Group, Inc.</t>
        </is>
      </c>
      <c r="C20" s="26" t="inlineStr">
        <is>
          <t>Solar</t>
        </is>
      </c>
      <c r="D20" s="48" t="inlineStr">
        <is>
          <t>Small Cap</t>
        </is>
      </c>
      <c r="E20" s="48" t="inlineStr">
        <is>
          <t>32%</t>
        </is>
      </c>
      <c r="F20" s="48" t="inlineStr">
        <is>
          <t>89</t>
        </is>
      </c>
      <c r="G20" s="49" t="inlineStr">
        <is>
          <t>Moderate margins (GM 32%) — competitive market, but cost structure supports reinvestment. Solid revenue growth (39% YoY) suggests growing demand and competitive positioning in target markets. Revenue acceleration (21% QoQ) — growth is compounding, indicating an inflection point or expanding customer adoption. Fingerprint score of 89 — structural profile closely matches historical multi-bagger winners at their inflection points.</t>
        </is>
      </c>
    </row>
    <row r="21" ht="80" customHeight="1">
      <c r="A21" s="19" t="inlineStr">
        <is>
          <t>ADTN</t>
        </is>
      </c>
      <c r="B21" s="20" t="inlineStr">
        <is>
          <t>ADTRAN Holdings, Inc.</t>
        </is>
      </c>
      <c r="C21" s="20" t="inlineStr">
        <is>
          <t>Communication Equipment</t>
        </is>
      </c>
      <c r="D21" s="45" t="inlineStr">
        <is>
          <t>Small Cap</t>
        </is>
      </c>
      <c r="E21" s="45" t="inlineStr">
        <is>
          <t>39%</t>
        </is>
      </c>
      <c r="F21" s="45" t="inlineStr">
        <is>
          <t>97</t>
        </is>
      </c>
      <c r="G21" s="46" t="inlineStr">
        <is>
          <t>Moderate margins (GM 39%) — competitive market, but cost structure supports reinvestment. Revenue acceleration (13% QoQ) — growth is compounding, indicating an inflection point or expanding customer adoption. Exceptional capital discipline (2% share growth over 3yr) — management avoids dilution, signaling confidence in organic cash generation. Networking/communications infrastructure — installed base and switching costs create customer lock-in. Fingerprint score of 97 — structural profile closely matches historical multi-bagger winners at their inflection points.</t>
        </is>
      </c>
    </row>
    <row r="22" ht="80" customHeight="1">
      <c r="A22" s="25" t="inlineStr">
        <is>
          <t>EVLV</t>
        </is>
      </c>
      <c r="B22" s="26" t="inlineStr">
        <is>
          <t>Evolv Technologies Holdings, Inc.</t>
        </is>
      </c>
      <c r="C22" s="26" t="inlineStr">
        <is>
          <t>Security &amp; Protection Services</t>
        </is>
      </c>
      <c r="D22" s="48" t="inlineStr">
        <is>
          <t>Small Cap</t>
        </is>
      </c>
      <c r="E22" s="48" t="inlineStr">
        <is>
          <t>48%</t>
        </is>
      </c>
      <c r="F22" s="48" t="inlineStr">
        <is>
          <t>88</t>
        </is>
      </c>
      <c r="G22" s="49" t="inlineStr">
        <is>
          <t>Healthy margins (GM 48%) indicate differentiated products with some pricing power above commodity levels. Solid revenue growth (32% YoY) suggests growing demand and competitive positioning in target markets. Fingerprint score of 88 — structural profile closely matches historical multi-bagger winners at their inflection points.</t>
        </is>
      </c>
    </row>
    <row r="23" ht="80" customHeight="1">
      <c r="A23" s="19" t="inlineStr">
        <is>
          <t>NVEC</t>
        </is>
      </c>
      <c r="B23" s="20" t="inlineStr">
        <is>
          <t>NVE Corporation</t>
        </is>
      </c>
      <c r="C23" s="20" t="inlineStr">
        <is>
          <t>Semiconductors</t>
        </is>
      </c>
      <c r="D23" s="45" t="inlineStr">
        <is>
          <t>Small Cap</t>
        </is>
      </c>
      <c r="E23" s="45" t="inlineStr">
        <is>
          <t>79%</t>
        </is>
      </c>
      <c r="F23" s="45" t="inlineStr">
        <is>
          <t>77</t>
        </is>
      </c>
      <c r="G23" s="46" t="inlineStr">
        <is>
          <t>Strong pricing power (GM 79%) suggests proprietary technology or IP-protected products with limited direct competition. Revenue acceleration (51% QoQ) — growth is compounding, indicating an inflection point or expanding customer adoption. Exceptional capital discipline (0% share growth over 3yr) — management avoids dilution, signaling confidence in organic cash generation. Semiconductor design/fab expertise represents years of R&amp;D investment — a significant moat against new entrants. Fingerprint score of 77 — structural profile closely matches historical multi-bagger winners at their inflection points.</t>
        </is>
      </c>
    </row>
    <row r="24" ht="80" customHeight="1">
      <c r="A24" s="25" t="inlineStr">
        <is>
          <t>SWBI</t>
        </is>
      </c>
      <c r="B24" s="26" t="inlineStr">
        <is>
          <t>Smith &amp; Wesson Brands, Inc.</t>
        </is>
      </c>
      <c r="C24" s="26" t="inlineStr">
        <is>
          <t>Aerospace &amp; Defense</t>
        </is>
      </c>
      <c r="D24" s="48" t="inlineStr">
        <is>
          <t>Small Cap</t>
        </is>
      </c>
      <c r="E24" s="48" t="inlineStr">
        <is>
          <t>26%</t>
        </is>
      </c>
      <c r="F24" s="48" t="inlineStr">
        <is>
          <t>98</t>
        </is>
      </c>
      <c r="G24" s="49" t="inlineStr">
        <is>
          <t>Moderate margins (GM 26%) — competitive market, but cost structure supports reinvestment. Revenue acceleration (44% QoQ) — growth is compounding, indicating an inflection point or expanding customer adoption. Exceptional capital discipline (-3% share growth over 3yr) — management avoids dilution, signaling confidence in organic cash generation. Defense/aerospace positioning creates high barriers to entry via security clearances, government contracts, and long procurement cycles. Fingerprint score of 98 — structural profile closely matches historical multi-bagger winners at their inflection points.</t>
        </is>
      </c>
    </row>
    <row r="25" ht="80" customHeight="1">
      <c r="A25" s="19" t="inlineStr">
        <is>
          <t>XMTR</t>
        </is>
      </c>
      <c r="B25" s="20" t="inlineStr">
        <is>
          <t>Xometry, Inc.</t>
        </is>
      </c>
      <c r="C25" s="20" t="inlineStr">
        <is>
          <t>Industrial - Machinery</t>
        </is>
      </c>
      <c r="D25" s="45" t="inlineStr">
        <is>
          <t>Breakout</t>
        </is>
      </c>
      <c r="E25" s="45" t="inlineStr">
        <is>
          <t>39%</t>
        </is>
      </c>
      <c r="F25" s="45" t="inlineStr">
        <is>
          <t>79</t>
        </is>
      </c>
      <c r="G25" s="46" t="inlineStr">
        <is>
          <t>Moderate margins (GM 39%) — competitive market, but cost structure supports reinvestment. Solid revenue growth (30% YoY) suggests growing demand and competitive positioning in target markets. Revenue acceleration (8% QoQ) — growth is compounding, indicating an inflection point or expanding customer adoption. Reasonable capital discipline (6% 3yr dilution) — moderate equity issuance suggests funded growth without excessive shareholder dilution. Meaningful insider ownership (12%) — management has material personal stake in company performance. Fingerprint score of 79 — structural profile closely matches historical multi-bagger winners at their inflection points.</t>
        </is>
      </c>
    </row>
    <row r="26" ht="80" customHeight="1">
      <c r="A26" s="25" t="inlineStr">
        <is>
          <t>RUN</t>
        </is>
      </c>
      <c r="B26" s="26" t="inlineStr">
        <is>
          <t>Sunrun Inc.</t>
        </is>
      </c>
      <c r="C26" s="26" t="inlineStr">
        <is>
          <t>Solar</t>
        </is>
      </c>
      <c r="D26" s="48" t="inlineStr">
        <is>
          <t>Breakout</t>
        </is>
      </c>
      <c r="E26" s="48" t="inlineStr">
        <is>
          <t>35%</t>
        </is>
      </c>
      <c r="F26" s="48" t="inlineStr">
        <is>
          <t>69</t>
        </is>
      </c>
      <c r="G26" s="49" t="inlineStr">
        <is>
          <t>Moderate margins (GM 35%) — competitive market, but cost structure supports reinvestment. Rapid revenue growth (124% YoY) signals strong product-market fit and expanding TAM capture. Revenue acceleration (110% QoQ) — growth is compounding, indicating an inflection point or expanding customer adoption. Reasonable capital discipline (8% 3yr dilution) — moderate equity issuance suggests funded growth without excessive shareholder dilution. Fingerprint score of 69 — structural profile closely matches historical multi-bagger winners at their inflection points.</t>
        </is>
      </c>
    </row>
    <row r="27" ht="80" customHeight="1">
      <c r="A27" s="19" t="inlineStr">
        <is>
          <t>FELE</t>
        </is>
      </c>
      <c r="B27" s="20" t="inlineStr">
        <is>
          <t>Franklin Electric Co., Inc.</t>
        </is>
      </c>
      <c r="C27" s="20" t="inlineStr">
        <is>
          <t>Industrial - Machinery</t>
        </is>
      </c>
      <c r="D27" s="45" t="inlineStr">
        <is>
          <t>Breakout</t>
        </is>
      </c>
      <c r="E27" s="45" t="inlineStr">
        <is>
          <t>35%</t>
        </is>
      </c>
      <c r="F27" s="45" t="inlineStr">
        <is>
          <t>80</t>
        </is>
      </c>
      <c r="G27" s="46" t="inlineStr">
        <is>
          <t>Moderate margins (GM 35%) — competitive market, but cost structure supports reinvestment. Revenue acceleration (26% QoQ) — growth is compounding, indicating an inflection point or expanding customer adoption. Exceptional capital discipline (-2% share growth over 3yr) — management avoids dilution, signaling confidence in organic cash generation. Meaningful insider ownership (13%) — management has material personal stake in company performance. Fingerprint score of 80 — structural profile closely matches historical multi-bagger winners at their inflection points.</t>
        </is>
      </c>
    </row>
    <row r="28" ht="80" customHeight="1">
      <c r="A28" s="25" t="inlineStr">
        <is>
          <t>QRVO</t>
        </is>
      </c>
      <c r="B28" s="26" t="inlineStr">
        <is>
          <t>Qorvo, Inc.</t>
        </is>
      </c>
      <c r="C28" s="26" t="inlineStr">
        <is>
          <t>Semiconductors</t>
        </is>
      </c>
      <c r="D28" s="48" t="inlineStr">
        <is>
          <t>Breakout</t>
        </is>
      </c>
      <c r="E28" s="48" t="inlineStr">
        <is>
          <t>47%</t>
        </is>
      </c>
      <c r="F28" s="48" t="inlineStr">
        <is>
          <t>79</t>
        </is>
      </c>
      <c r="G28" s="49" t="inlineStr">
        <is>
          <t>Healthy margins (GM 47%) indicate differentiated products with some pricing power above commodity levels. Revenue acceleration (11% QoQ) — growth is compounding, indicating an inflection point or expanding customer adoption. Exceptional capital discipline (-6% share growth over 3yr) — management avoids dilution, signaling confidence in organic cash generation. Semiconductor design/fab expertise represents years of R&amp;D investment — a significant moat against new entrants. Fingerprint score of 79 — structural profile closely matches historical multi-bagger winners at their inflection points.</t>
        </is>
      </c>
    </row>
    <row r="29" ht="80" customHeight="1">
      <c r="A29" s="19" t="inlineStr">
        <is>
          <t>ESI</t>
        </is>
      </c>
      <c r="B29" s="20" t="inlineStr">
        <is>
          <t>Element Solutions Inc</t>
        </is>
      </c>
      <c r="C29" s="20" t="inlineStr">
        <is>
          <t>Chemicals - Specialty</t>
        </is>
      </c>
      <c r="D29" s="45" t="inlineStr">
        <is>
          <t>Breakout</t>
        </is>
      </c>
      <c r="E29" s="45" t="inlineStr">
        <is>
          <t>38%</t>
        </is>
      </c>
      <c r="F29" s="45" t="inlineStr">
        <is>
          <t>80</t>
        </is>
      </c>
      <c r="G29" s="46" t="inlineStr">
        <is>
          <t>Moderate margins (GM 38%) — competitive market, but cost structure supports reinvestment. Solid revenue growth (42% YoY) suggests growing demand and competitive positioning in target markets. Revenue acceleration (45% QoQ) — growth is compounding, indicating an inflection point or expanding customer adoption. Exceptional capital discipline (1% share growth over 3yr) — management avoids dilution, signaling confidence in organic cash generation. Fingerprint score of 80 — structural profile closely matches historical multi-bagger winners at their inflection points.</t>
        </is>
      </c>
    </row>
    <row r="30" ht="80" customHeight="1">
      <c r="A30" s="25" t="inlineStr">
        <is>
          <t>BETA</t>
        </is>
      </c>
      <c r="B30" s="26" t="inlineStr">
        <is>
          <t>BETA Technologies, Inc.</t>
        </is>
      </c>
      <c r="C30" s="26" t="inlineStr">
        <is>
          <t>Aerospace &amp; Defense</t>
        </is>
      </c>
      <c r="D30" s="48" t="inlineStr">
        <is>
          <t>Breakout</t>
        </is>
      </c>
      <c r="E30" s="48" t="inlineStr">
        <is>
          <t>36%</t>
        </is>
      </c>
      <c r="F30" s="48" t="inlineStr">
        <is>
          <t>52</t>
        </is>
      </c>
      <c r="G30" s="49" t="inlineStr">
        <is>
          <t>Moderate margins (GM 36%) — competitive market, but cost structure supports reinvestment. Rapid revenue growth (151% YoY) signals strong product-market fit and expanding TAM capture. Exceptional capital discipline (2% share growth over 3yr) — management avoids dilution, signaling confidence in organic cash generation. High insider ownership (49%) — founder/management skin in the game strongly aligns incentives with shareholders. Defense/aerospace positioning creates high barriers to entry via security clearances, government contracts, and long procurement cycles.</t>
        </is>
      </c>
    </row>
    <row r="31" ht="80" customHeight="1">
      <c r="A31" s="19" t="inlineStr">
        <is>
          <t>ESAB</t>
        </is>
      </c>
      <c r="B31" s="20" t="inlineStr">
        <is>
          <t>ESAB Corporation</t>
        </is>
      </c>
      <c r="C31" s="20" t="inlineStr">
        <is>
          <t>Manufacturing - Metal Fabrication</t>
        </is>
      </c>
      <c r="D31" s="45" t="inlineStr">
        <is>
          <t>Breakout</t>
        </is>
      </c>
      <c r="E31" s="45" t="inlineStr">
        <is>
          <t>30%</t>
        </is>
      </c>
      <c r="F31" s="45" t="inlineStr">
        <is>
          <t>79</t>
        </is>
      </c>
      <c r="G31" s="46" t="inlineStr">
        <is>
          <t>Moderate margins (GM 30%) — competitive market, but cost structure supports reinvestment. Revenue acceleration (10% QoQ) — growth is compounding, indicating an inflection point or expanding customer adoption. Exceptional capital discipline (1% share growth over 3yr) — management avoids dilution, signaling confidence in organic cash generation. Fingerprint score of 79 — structural profile closely matches historical multi-bagger winners at their inflection points.</t>
        </is>
      </c>
    </row>
    <row r="32" ht="80" customHeight="1">
      <c r="A32" s="25" t="inlineStr">
        <is>
          <t>EXLS</t>
        </is>
      </c>
      <c r="B32" s="26" t="inlineStr">
        <is>
          <t>ExlService Holdings, Inc.</t>
        </is>
      </c>
      <c r="C32" s="26" t="inlineStr">
        <is>
          <t>Information Technology Services</t>
        </is>
      </c>
      <c r="D32" s="48" t="inlineStr">
        <is>
          <t>Breakout</t>
        </is>
      </c>
      <c r="E32" s="48" t="inlineStr">
        <is>
          <t>39%</t>
        </is>
      </c>
      <c r="F32" s="48" t="inlineStr">
        <is>
          <t>79</t>
        </is>
      </c>
      <c r="G32" s="49" t="inlineStr">
        <is>
          <t>Moderate margins (GM 39%) — competitive market, but cost structure supports reinvestment. Exceptional capital discipline (-6% share growth over 3yr) — management avoids dilution, signaling confidence in organic cash generation. Fingerprint score of 79 — structural profile closely matches historical multi-bagger winners at their inflection points.</t>
        </is>
      </c>
    </row>
    <row r="33" ht="80" customHeight="1">
      <c r="A33" s="19" t="inlineStr">
        <is>
          <t>RVTY</t>
        </is>
      </c>
      <c r="B33" s="20" t="inlineStr">
        <is>
          <t>Revvity, Inc.</t>
        </is>
      </c>
      <c r="C33" s="20" t="inlineStr">
        <is>
          <t>Medical - Diagnostics &amp; Research</t>
        </is>
      </c>
      <c r="D33" s="45" t="inlineStr">
        <is>
          <t>Breakout</t>
        </is>
      </c>
      <c r="E33" s="45" t="inlineStr">
        <is>
          <t>44%</t>
        </is>
      </c>
      <c r="F33" s="45" t="inlineStr">
        <is>
          <t>78</t>
        </is>
      </c>
      <c r="G33" s="46" t="inlineStr">
        <is>
          <t>Healthy margins (GM 44%) indicate differentiated products with some pricing power above commodity levels. Exceptional capital discipline (-10% share growth over 3yr) — management avoids dilution, signaling confidence in organic cash generation. Fingerprint score of 78 — structural profile closely matches historical multi-bagger winners at their inflection points.</t>
        </is>
      </c>
    </row>
    <row r="34" ht="80" customHeight="1">
      <c r="A34" s="25" t="inlineStr">
        <is>
          <t>NWSA</t>
        </is>
      </c>
      <c r="B34" s="26" t="inlineStr">
        <is>
          <t>News Corporation</t>
        </is>
      </c>
      <c r="C34" s="26" t="inlineStr">
        <is>
          <t>Entertainment</t>
        </is>
      </c>
      <c r="D34" s="48" t="inlineStr">
        <is>
          <t>Breakout</t>
        </is>
      </c>
      <c r="E34" s="48" t="inlineStr">
        <is>
          <t>51%</t>
        </is>
      </c>
      <c r="F34" s="48" t="inlineStr">
        <is>
          <t>77</t>
        </is>
      </c>
      <c r="G34" s="49" t="inlineStr">
        <is>
          <t>Healthy margins (GM 51%) indicate differentiated products with some pricing power above commodity levels. Exceptional capital discipline (0% share growth over 3yr) — management avoids dilution, signaling confidence in organic cash generation. Fingerprint score of 77 — structural profile closely matches historical multi-bagger winners at their inflection points.</t>
        </is>
      </c>
    </row>
  </sheetData>
  <autoFilter ref="A4:G34"/>
  <mergeCells count="2">
    <mergeCell ref="A2:G2"/>
    <mergeCell ref="A1:G1"/>
  </mergeCells>
  <pageMargins left="0.75" right="0.75" top="1" bottom="1" header="0.5" footer="0.5"/>
  <pageSetup orientation="landscape" fitToWidth="1"/>
</worksheet>
</file>

<file path=xl/worksheets/sheet7.xml><?xml version="1.0" encoding="utf-8"?>
<worksheet xmlns="http://schemas.openxmlformats.org/spreadsheetml/2006/main">
  <sheetPr>
    <tabColor rgb="00C9A84C"/>
    <outlinePr summaryBelow="1" summaryRight="1"/>
    <pageSetUpPr fitToPage="1"/>
  </sheetPr>
  <dimension ref="A1:N34"/>
  <sheetViews>
    <sheetView showGridLines="0" workbookViewId="0">
      <pane ySplit="3" topLeftCell="A4" activePane="bottomLeft" state="frozen"/>
      <selection pane="bottomLeft" activeCell="A1" sqref="A1"/>
    </sheetView>
  </sheetViews>
  <sheetFormatPr baseColWidth="8" defaultRowHeight="15"/>
  <cols>
    <col width="3" customWidth="1" min="1" max="1"/>
    <col width="6" customWidth="1" min="2" max="2"/>
    <col width="9" customWidth="1" min="3" max="3"/>
    <col width="24" customWidth="1" min="4" max="4"/>
    <col width="14" customWidth="1" min="5" max="5"/>
    <col width="10" customWidth="1" min="6" max="6"/>
    <col width="12" customWidth="1" min="7" max="7"/>
    <col width="3" customWidth="1" min="8" max="8"/>
    <col width="6" customWidth="1" min="9" max="9"/>
    <col width="9" customWidth="1" min="10" max="10"/>
    <col width="24" customWidth="1" min="11" max="11"/>
    <col width="14" customWidth="1" min="12" max="12"/>
    <col width="10" customWidth="1" min="13" max="13"/>
    <col width="12" customWidth="1" min="14" max="14"/>
  </cols>
  <sheetData>
    <row r="1" ht="28" customHeight="1">
      <c r="A1" s="31" t="inlineStr">
        <is>
          <t>CROSS-TIER STANDOUTS</t>
        </is>
      </c>
      <c r="B1" s="11" t="n"/>
      <c r="C1" s="11" t="n"/>
      <c r="D1" s="11" t="n"/>
      <c r="E1" s="11" t="n"/>
      <c r="F1" s="11" t="n"/>
      <c r="G1" s="11" t="n"/>
      <c r="H1" s="11" t="n"/>
      <c r="I1" s="11" t="n"/>
      <c r="J1" s="11" t="n"/>
      <c r="K1" s="11" t="n"/>
      <c r="L1" s="11" t="n"/>
      <c r="M1" s="11" t="n"/>
      <c r="N1" s="11" t="n"/>
    </row>
    <row r="2" ht="22" customHeight="1">
      <c r="A2" s="32" t="inlineStr">
        <is>
          <t>Top performers across all metrics  |  April 29, 2026</t>
        </is>
      </c>
      <c r="B2" s="12" t="n"/>
      <c r="C2" s="12" t="n"/>
      <c r="D2" s="12" t="n"/>
      <c r="E2" s="12" t="n"/>
      <c r="F2" s="12" t="n"/>
      <c r="G2" s="12" t="n"/>
      <c r="H2" s="12" t="n"/>
      <c r="I2" s="12" t="n"/>
      <c r="J2" s="12" t="n"/>
      <c r="K2" s="12" t="n"/>
      <c r="L2" s="12" t="n"/>
      <c r="M2" s="12" t="n"/>
      <c r="N2" s="12" t="n"/>
    </row>
    <row r="3" ht="8" customHeight="1"/>
    <row r="4" ht="22" customHeight="1">
      <c r="B4" s="52" t="inlineStr">
        <is>
          <t>🏆 Highest Score</t>
        </is>
      </c>
      <c r="C4" s="17" t="n"/>
      <c r="D4" s="17" t="n"/>
      <c r="E4" s="17" t="n"/>
      <c r="F4" s="17" t="n"/>
      <c r="G4" s="53" t="n"/>
      <c r="I4" s="52" t="inlineStr">
        <is>
          <t>🔒 Lowest Dilution</t>
        </is>
      </c>
      <c r="J4" s="17" t="n"/>
      <c r="K4" s="17" t="n"/>
      <c r="L4" s="17" t="n"/>
      <c r="M4" s="17" t="n"/>
      <c r="N4" s="53" t="n"/>
    </row>
    <row r="5" ht="18" customHeight="1">
      <c r="B5" s="54" t="inlineStr">
        <is>
          <t>Rank</t>
        </is>
      </c>
      <c r="C5" s="18" t="inlineStr">
        <is>
          <t>Ticker</t>
        </is>
      </c>
      <c r="D5" s="18" t="inlineStr">
        <is>
          <t>Company</t>
        </is>
      </c>
      <c r="E5" s="18" t="inlineStr">
        <is>
          <t>Score</t>
        </is>
      </c>
      <c r="F5" s="18" t="inlineStr">
        <is>
          <t>Tier</t>
        </is>
      </c>
      <c r="G5" s="55" t="inlineStr">
        <is>
          <t>Score</t>
        </is>
      </c>
      <c r="I5" s="54" t="inlineStr">
        <is>
          <t>Rank</t>
        </is>
      </c>
      <c r="J5" s="18" t="inlineStr">
        <is>
          <t>Ticker</t>
        </is>
      </c>
      <c r="K5" s="18" t="inlineStr">
        <is>
          <t>Company</t>
        </is>
      </c>
      <c r="L5" s="18" t="inlineStr">
        <is>
          <t>Dil %</t>
        </is>
      </c>
      <c r="M5" s="18" t="inlineStr">
        <is>
          <t>Tier</t>
        </is>
      </c>
      <c r="N5" s="55" t="inlineStr">
        <is>
          <t>Score</t>
        </is>
      </c>
    </row>
    <row r="6" ht="16" customHeight="1">
      <c r="B6" s="56" t="inlineStr">
        <is>
          <t>🥇</t>
        </is>
      </c>
      <c r="C6" s="19" t="inlineStr">
        <is>
          <t>SODI</t>
        </is>
      </c>
      <c r="D6" s="20" t="inlineStr">
        <is>
          <t>Solitron Devices, Inc.</t>
        </is>
      </c>
      <c r="E6" s="36" t="n">
        <v>93.8</v>
      </c>
      <c r="F6" s="45" t="inlineStr">
        <is>
          <t>Nano Cap</t>
        </is>
      </c>
      <c r="G6" s="57" t="n">
        <v>93.8</v>
      </c>
      <c r="I6" s="56" t="inlineStr">
        <is>
          <t>🥇</t>
        </is>
      </c>
      <c r="J6" s="19" t="inlineStr">
        <is>
          <t>TAYD</t>
        </is>
      </c>
      <c r="K6" s="20" t="inlineStr">
        <is>
          <t>Taylor Devices, Inc.</t>
        </is>
      </c>
      <c r="L6" s="36" t="n">
        <v>-10.4</v>
      </c>
      <c r="M6" s="45" t="inlineStr">
        <is>
          <t>Nano Cap</t>
        </is>
      </c>
      <c r="N6" s="57" t="n">
        <v>75.7</v>
      </c>
    </row>
    <row r="7" ht="16" customHeight="1">
      <c r="B7" s="58" t="inlineStr">
        <is>
          <t>🥈</t>
        </is>
      </c>
      <c r="C7" s="25" t="inlineStr">
        <is>
          <t>GOGO</t>
        </is>
      </c>
      <c r="D7" s="26" t="inlineStr">
        <is>
          <t>Gogo Inc.</t>
        </is>
      </c>
      <c r="E7" s="41" t="n">
        <v>89.3</v>
      </c>
      <c r="F7" s="48" t="inlineStr">
        <is>
          <t>Small Cap</t>
        </is>
      </c>
      <c r="G7" s="59" t="n">
        <v>89.3</v>
      </c>
      <c r="I7" s="58" t="inlineStr">
        <is>
          <t>🥈</t>
        </is>
      </c>
      <c r="J7" s="25" t="inlineStr">
        <is>
          <t>RVTY</t>
        </is>
      </c>
      <c r="K7" s="26" t="inlineStr">
        <is>
          <t>Revvity, Inc.</t>
        </is>
      </c>
      <c r="L7" s="41" t="n">
        <v>-10.4</v>
      </c>
      <c r="M7" s="48" t="inlineStr">
        <is>
          <t>Breakout</t>
        </is>
      </c>
      <c r="N7" s="59" t="n">
        <v>68</v>
      </c>
    </row>
    <row r="8" ht="16" customHeight="1">
      <c r="B8" s="56" t="inlineStr">
        <is>
          <t>🥉</t>
        </is>
      </c>
      <c r="C8" s="19" t="inlineStr">
        <is>
          <t>CLFD</t>
        </is>
      </c>
      <c r="D8" s="20" t="inlineStr">
        <is>
          <t>Clearfield, Inc.</t>
        </is>
      </c>
      <c r="E8" s="36" t="n">
        <v>85.59999999999999</v>
      </c>
      <c r="F8" s="45" t="inlineStr">
        <is>
          <t>Small Cap</t>
        </is>
      </c>
      <c r="G8" s="57" t="n">
        <v>85.59999999999999</v>
      </c>
      <c r="I8" s="56" t="inlineStr">
        <is>
          <t>🥉</t>
        </is>
      </c>
      <c r="J8" s="19" t="inlineStr">
        <is>
          <t>CLFD</t>
        </is>
      </c>
      <c r="K8" s="20" t="inlineStr">
        <is>
          <t>Clearfield, Inc.</t>
        </is>
      </c>
      <c r="L8" s="36" t="n">
        <v>-9</v>
      </c>
      <c r="M8" s="45" t="inlineStr">
        <is>
          <t>Small Cap</t>
        </is>
      </c>
      <c r="N8" s="57" t="n">
        <v>85.59999999999999</v>
      </c>
    </row>
    <row r="9" ht="16" customHeight="1">
      <c r="B9" s="58" t="inlineStr">
        <is>
          <t>4th</t>
        </is>
      </c>
      <c r="C9" s="25" t="inlineStr">
        <is>
          <t>CODA</t>
        </is>
      </c>
      <c r="D9" s="26" t="inlineStr">
        <is>
          <t>Coda Octopus Group, Inc.</t>
        </is>
      </c>
      <c r="E9" s="41" t="n">
        <v>82</v>
      </c>
      <c r="F9" s="48" t="inlineStr">
        <is>
          <t>Nano Cap</t>
        </is>
      </c>
      <c r="G9" s="59" t="n">
        <v>82</v>
      </c>
      <c r="I9" s="58" t="inlineStr">
        <is>
          <t>4th</t>
        </is>
      </c>
      <c r="J9" s="25" t="inlineStr">
        <is>
          <t>QRVO</t>
        </is>
      </c>
      <c r="K9" s="26" t="inlineStr">
        <is>
          <t>Qorvo, Inc.</t>
        </is>
      </c>
      <c r="L9" s="41" t="n">
        <v>-6.4</v>
      </c>
      <c r="M9" s="48" t="inlineStr">
        <is>
          <t>Breakout</t>
        </is>
      </c>
      <c r="N9" s="59" t="n">
        <v>73.8</v>
      </c>
    </row>
    <row r="10" ht="16" customHeight="1">
      <c r="B10" s="56" t="inlineStr">
        <is>
          <t>5th</t>
        </is>
      </c>
      <c r="C10" s="19" t="inlineStr">
        <is>
          <t>XMTR</t>
        </is>
      </c>
      <c r="D10" s="20" t="inlineStr">
        <is>
          <t>Xometry, Inc.</t>
        </is>
      </c>
      <c r="E10" s="36" t="n">
        <v>80.5</v>
      </c>
      <c r="F10" s="45" t="inlineStr">
        <is>
          <t>Breakout</t>
        </is>
      </c>
      <c r="G10" s="57" t="n">
        <v>80.5</v>
      </c>
      <c r="I10" s="56" t="inlineStr">
        <is>
          <t>5th</t>
        </is>
      </c>
      <c r="J10" s="19" t="inlineStr">
        <is>
          <t>EXLS</t>
        </is>
      </c>
      <c r="K10" s="20" t="inlineStr">
        <is>
          <t>ExlService Holdings, Inc.</t>
        </is>
      </c>
      <c r="L10" s="36" t="n">
        <v>-6.4</v>
      </c>
      <c r="M10" s="45" t="inlineStr">
        <is>
          <t>Breakout</t>
        </is>
      </c>
      <c r="N10" s="57" t="n">
        <v>68.09999999999999</v>
      </c>
    </row>
    <row r="12" ht="22" customHeight="1">
      <c r="B12" s="52" t="inlineStr">
        <is>
          <t>🧬 Best Fingerprint</t>
        </is>
      </c>
      <c r="C12" s="17" t="n"/>
      <c r="D12" s="17" t="n"/>
      <c r="E12" s="17" t="n"/>
      <c r="F12" s="17" t="n"/>
      <c r="G12" s="53" t="n"/>
      <c r="I12" s="52" t="inlineStr">
        <is>
          <t>👤 Highest Insider</t>
        </is>
      </c>
      <c r="J12" s="17" t="n"/>
      <c r="K12" s="17" t="n"/>
      <c r="L12" s="17" t="n"/>
      <c r="M12" s="17" t="n"/>
      <c r="N12" s="53" t="n"/>
    </row>
    <row r="13" ht="18" customHeight="1">
      <c r="B13" s="54" t="inlineStr">
        <is>
          <t>Rank</t>
        </is>
      </c>
      <c r="C13" s="18" t="inlineStr">
        <is>
          <t>Ticker</t>
        </is>
      </c>
      <c r="D13" s="18" t="inlineStr">
        <is>
          <t>Company</t>
        </is>
      </c>
      <c r="E13" s="18" t="inlineStr">
        <is>
          <t>FP Score</t>
        </is>
      </c>
      <c r="F13" s="18" t="inlineStr">
        <is>
          <t>Tier</t>
        </is>
      </c>
      <c r="G13" s="55" t="inlineStr">
        <is>
          <t>Score</t>
        </is>
      </c>
      <c r="I13" s="54" t="inlineStr">
        <is>
          <t>Rank</t>
        </is>
      </c>
      <c r="J13" s="18" t="inlineStr">
        <is>
          <t>Ticker</t>
        </is>
      </c>
      <c r="K13" s="18" t="inlineStr">
        <is>
          <t>Company</t>
        </is>
      </c>
      <c r="L13" s="18" t="inlineStr">
        <is>
          <t>Insider %</t>
        </is>
      </c>
      <c r="M13" s="18" t="inlineStr">
        <is>
          <t>Tier</t>
        </is>
      </c>
      <c r="N13" s="55" t="inlineStr">
        <is>
          <t>Score</t>
        </is>
      </c>
    </row>
    <row r="14" ht="16" customHeight="1">
      <c r="B14" s="56" t="inlineStr">
        <is>
          <t>🥇</t>
        </is>
      </c>
      <c r="C14" s="19" t="inlineStr">
        <is>
          <t>CLFD</t>
        </is>
      </c>
      <c r="D14" s="20" t="inlineStr">
        <is>
          <t>Clearfield, Inc.</t>
        </is>
      </c>
      <c r="E14" s="36" t="n">
        <v>100</v>
      </c>
      <c r="F14" s="45" t="inlineStr">
        <is>
          <t>Small Cap</t>
        </is>
      </c>
      <c r="G14" s="57" t="n">
        <v>85.59999999999999</v>
      </c>
      <c r="I14" s="56" t="inlineStr">
        <is>
          <t>🥇</t>
        </is>
      </c>
      <c r="J14" s="19" t="inlineStr">
        <is>
          <t>BETA</t>
        </is>
      </c>
      <c r="K14" s="20" t="inlineStr">
        <is>
          <t>BETA Technologies, Inc.</t>
        </is>
      </c>
      <c r="L14" s="36" t="n">
        <v>48.8</v>
      </c>
      <c r="M14" s="45" t="inlineStr">
        <is>
          <t>Breakout</t>
        </is>
      </c>
      <c r="N14" s="57" t="n">
        <v>70.5</v>
      </c>
    </row>
    <row r="15" ht="16" customHeight="1">
      <c r="B15" s="58" t="inlineStr">
        <is>
          <t>🥈</t>
        </is>
      </c>
      <c r="C15" s="25" t="inlineStr">
        <is>
          <t>CTLP</t>
        </is>
      </c>
      <c r="D15" s="26" t="inlineStr">
        <is>
          <t>Cantaloupe, Inc.</t>
        </is>
      </c>
      <c r="E15" s="41" t="n">
        <v>98.7</v>
      </c>
      <c r="F15" s="48" t="inlineStr">
        <is>
          <t>Small Cap</t>
        </is>
      </c>
      <c r="G15" s="59" t="n">
        <v>76.90000000000001</v>
      </c>
      <c r="I15" s="58" t="inlineStr">
        <is>
          <t>🥈</t>
        </is>
      </c>
      <c r="J15" s="25" t="inlineStr">
        <is>
          <t>CODA</t>
        </is>
      </c>
      <c r="K15" s="26" t="inlineStr">
        <is>
          <t>Coda Octopus Group, Inc.</t>
        </is>
      </c>
      <c r="L15" s="41" t="n">
        <v>46.7</v>
      </c>
      <c r="M15" s="48" t="inlineStr">
        <is>
          <t>Nano Cap</t>
        </is>
      </c>
      <c r="N15" s="59" t="n">
        <v>82</v>
      </c>
    </row>
    <row r="16" ht="16" customHeight="1">
      <c r="B16" s="56" t="inlineStr">
        <is>
          <t>🥉</t>
        </is>
      </c>
      <c r="C16" s="19" t="inlineStr">
        <is>
          <t>CMCO</t>
        </is>
      </c>
      <c r="D16" s="20" t="inlineStr">
        <is>
          <t>Columbus McKinnon Corporation</t>
        </is>
      </c>
      <c r="E16" s="36" t="n">
        <v>98.40000000000001</v>
      </c>
      <c r="F16" s="45" t="inlineStr">
        <is>
          <t>Small Cap</t>
        </is>
      </c>
      <c r="G16" s="57" t="n">
        <v>76.8</v>
      </c>
      <c r="I16" s="56" t="inlineStr">
        <is>
          <t>🥉</t>
        </is>
      </c>
      <c r="J16" s="19" t="inlineStr">
        <is>
          <t>GOGO</t>
        </is>
      </c>
      <c r="K16" s="20" t="inlineStr">
        <is>
          <t>Gogo Inc.</t>
        </is>
      </c>
      <c r="L16" s="36" t="n">
        <v>42.9</v>
      </c>
      <c r="M16" s="45" t="inlineStr">
        <is>
          <t>Small Cap</t>
        </is>
      </c>
      <c r="N16" s="57" t="n">
        <v>89.3</v>
      </c>
    </row>
    <row r="17" ht="16" customHeight="1">
      <c r="B17" s="58" t="inlineStr">
        <is>
          <t>4th</t>
        </is>
      </c>
      <c r="C17" s="25" t="inlineStr">
        <is>
          <t>SODI</t>
        </is>
      </c>
      <c r="D17" s="26" t="inlineStr">
        <is>
          <t>Solitron Devices, Inc.</t>
        </is>
      </c>
      <c r="E17" s="41" t="n">
        <v>98.2</v>
      </c>
      <c r="F17" s="48" t="inlineStr">
        <is>
          <t>Nano Cap</t>
        </is>
      </c>
      <c r="G17" s="59" t="n">
        <v>93.8</v>
      </c>
      <c r="I17" s="58" t="inlineStr">
        <is>
          <t>4th</t>
        </is>
      </c>
      <c r="J17" s="25" t="inlineStr">
        <is>
          <t>KVHI</t>
        </is>
      </c>
      <c r="K17" s="26" t="inlineStr">
        <is>
          <t>KVH Industries, Inc.</t>
        </is>
      </c>
      <c r="L17" s="41" t="n">
        <v>41.9</v>
      </c>
      <c r="M17" s="48" t="inlineStr">
        <is>
          <t>Nano Cap</t>
        </is>
      </c>
      <c r="N17" s="59" t="n">
        <v>78.2</v>
      </c>
    </row>
    <row r="18" ht="16" customHeight="1">
      <c r="B18" s="56" t="inlineStr">
        <is>
          <t>5th</t>
        </is>
      </c>
      <c r="C18" s="19" t="inlineStr">
        <is>
          <t>SWBI</t>
        </is>
      </c>
      <c r="D18" s="20" t="inlineStr">
        <is>
          <t>Smith &amp; Wesson Brands, Inc.</t>
        </is>
      </c>
      <c r="E18" s="36" t="n">
        <v>98.2</v>
      </c>
      <c r="F18" s="45" t="inlineStr">
        <is>
          <t>Small Cap</t>
        </is>
      </c>
      <c r="G18" s="57" t="n">
        <v>71.90000000000001</v>
      </c>
      <c r="I18" s="56" t="inlineStr">
        <is>
          <t>5th</t>
        </is>
      </c>
      <c r="J18" s="19" t="inlineStr">
        <is>
          <t>ULBI</t>
        </is>
      </c>
      <c r="K18" s="20" t="inlineStr">
        <is>
          <t>Ultralife Corporation</t>
        </is>
      </c>
      <c r="L18" s="36" t="n">
        <v>41.6</v>
      </c>
      <c r="M18" s="45" t="inlineStr">
        <is>
          <t>Nano Cap</t>
        </is>
      </c>
      <c r="N18" s="57" t="n">
        <v>73.90000000000001</v>
      </c>
    </row>
    <row r="20" ht="22" customHeight="1">
      <c r="B20" s="52" t="inlineStr">
        <is>
          <t>🚀 Fastest Growth</t>
        </is>
      </c>
      <c r="C20" s="17" t="n"/>
      <c r="D20" s="17" t="n"/>
      <c r="E20" s="17" t="n"/>
      <c r="F20" s="17" t="n"/>
      <c r="G20" s="53" t="n"/>
      <c r="I20" s="52" t="inlineStr">
        <is>
          <t>🔬 Smallest Cap</t>
        </is>
      </c>
      <c r="J20" s="17" t="n"/>
      <c r="K20" s="17" t="n"/>
      <c r="L20" s="17" t="n"/>
      <c r="M20" s="17" t="n"/>
      <c r="N20" s="53" t="n"/>
    </row>
    <row r="21" ht="18" customHeight="1">
      <c r="B21" s="54" t="inlineStr">
        <is>
          <t>Rank</t>
        </is>
      </c>
      <c r="C21" s="18" t="inlineStr">
        <is>
          <t>Ticker</t>
        </is>
      </c>
      <c r="D21" s="18" t="inlineStr">
        <is>
          <t>Company</t>
        </is>
      </c>
      <c r="E21" s="18" t="inlineStr">
        <is>
          <t>Rev Gr %</t>
        </is>
      </c>
      <c r="F21" s="18" t="inlineStr">
        <is>
          <t>Tier</t>
        </is>
      </c>
      <c r="G21" s="55" t="inlineStr">
        <is>
          <t>Score</t>
        </is>
      </c>
      <c r="I21" s="54" t="inlineStr">
        <is>
          <t>Rank</t>
        </is>
      </c>
      <c r="J21" s="18" t="inlineStr">
        <is>
          <t>Ticker</t>
        </is>
      </c>
      <c r="K21" s="18" t="inlineStr">
        <is>
          <t>Company</t>
        </is>
      </c>
      <c r="L21" s="18" t="inlineStr">
        <is>
          <t>Mkt Cap</t>
        </is>
      </c>
      <c r="M21" s="18" t="inlineStr">
        <is>
          <t>Tier</t>
        </is>
      </c>
      <c r="N21" s="55" t="inlineStr">
        <is>
          <t>Score</t>
        </is>
      </c>
    </row>
    <row r="22" ht="16" customHeight="1">
      <c r="B22" s="56" t="inlineStr">
        <is>
          <t>🥇</t>
        </is>
      </c>
      <c r="C22" s="19" t="inlineStr">
        <is>
          <t>SCTQ</t>
        </is>
      </c>
      <c r="D22" s="20" t="inlineStr">
        <is>
          <t>Spectra Systems Corporation</t>
        </is>
      </c>
      <c r="E22" s="36" t="n">
        <v>501.8</v>
      </c>
      <c r="F22" s="45" t="inlineStr">
        <is>
          <t>Nano Cap</t>
        </is>
      </c>
      <c r="G22" s="57" t="n">
        <v>80.2</v>
      </c>
      <c r="I22" s="56" t="inlineStr">
        <is>
          <t>🥇</t>
        </is>
      </c>
      <c r="J22" s="19" t="inlineStr">
        <is>
          <t>SODI</t>
        </is>
      </c>
      <c r="K22" s="20" t="inlineStr">
        <is>
          <t>Solitron Devices, Inc.</t>
        </is>
      </c>
      <c r="L22" s="21" t="n">
        <v>56.9</v>
      </c>
      <c r="M22" s="45" t="inlineStr">
        <is>
          <t>Nano Cap</t>
        </is>
      </c>
      <c r="N22" s="57" t="n">
        <v>93.8</v>
      </c>
    </row>
    <row r="23" ht="16" customHeight="1">
      <c r="B23" s="58" t="inlineStr">
        <is>
          <t>🥈</t>
        </is>
      </c>
      <c r="C23" s="25" t="inlineStr">
        <is>
          <t>BETA</t>
        </is>
      </c>
      <c r="D23" s="26" t="inlineStr">
        <is>
          <t>BETA Technologies, Inc.</t>
        </is>
      </c>
      <c r="E23" s="41" t="n">
        <v>150.9</v>
      </c>
      <c r="F23" s="48" t="inlineStr">
        <is>
          <t>Breakout</t>
        </is>
      </c>
      <c r="G23" s="59" t="n">
        <v>70.5</v>
      </c>
      <c r="I23" s="58" t="inlineStr">
        <is>
          <t>🥈</t>
        </is>
      </c>
      <c r="J23" s="25" t="inlineStr">
        <is>
          <t>SPRU</t>
        </is>
      </c>
      <c r="K23" s="26" t="inlineStr">
        <is>
          <t>Spruce Power Holding Corporation</t>
        </is>
      </c>
      <c r="L23" s="27" t="n">
        <v>60.6</v>
      </c>
      <c r="M23" s="48" t="inlineStr">
        <is>
          <t>Nano Cap</t>
        </is>
      </c>
      <c r="N23" s="59" t="n">
        <v>77.2</v>
      </c>
    </row>
    <row r="24" ht="16" customHeight="1">
      <c r="B24" s="56" t="inlineStr">
        <is>
          <t>🥉</t>
        </is>
      </c>
      <c r="C24" s="19" t="inlineStr">
        <is>
          <t>CRNC</t>
        </is>
      </c>
      <c r="D24" s="20" t="inlineStr">
        <is>
          <t>Cerence Inc.</t>
        </is>
      </c>
      <c r="E24" s="36" t="n">
        <v>126.1</v>
      </c>
      <c r="F24" s="45" t="inlineStr">
        <is>
          <t>Small Cap</t>
        </is>
      </c>
      <c r="G24" s="57" t="n">
        <v>76.59999999999999</v>
      </c>
      <c r="I24" s="56" t="inlineStr">
        <is>
          <t>🥉</t>
        </is>
      </c>
      <c r="J24" s="19" t="inlineStr">
        <is>
          <t>OPXS</t>
        </is>
      </c>
      <c r="K24" s="20" t="inlineStr">
        <is>
          <t>Optex Systems Holdings, Inc</t>
        </is>
      </c>
      <c r="L24" s="21" t="n">
        <v>70.40000000000001</v>
      </c>
      <c r="M24" s="45" t="inlineStr">
        <is>
          <t>Nano Cap</t>
        </is>
      </c>
      <c r="N24" s="57" t="n">
        <v>78.7</v>
      </c>
    </row>
    <row r="25" ht="16" customHeight="1">
      <c r="B25" s="58" t="inlineStr">
        <is>
          <t>4th</t>
        </is>
      </c>
      <c r="C25" s="25" t="inlineStr">
        <is>
          <t>RUN</t>
        </is>
      </c>
      <c r="D25" s="26" t="inlineStr">
        <is>
          <t>Sunrun Inc.</t>
        </is>
      </c>
      <c r="E25" s="41" t="n">
        <v>123.5</v>
      </c>
      <c r="F25" s="48" t="inlineStr">
        <is>
          <t>Breakout</t>
        </is>
      </c>
      <c r="G25" s="59" t="n">
        <v>79.09999999999999</v>
      </c>
      <c r="I25" s="58" t="inlineStr">
        <is>
          <t>4th</t>
        </is>
      </c>
      <c r="J25" s="25" t="inlineStr">
        <is>
          <t>SSTI</t>
        </is>
      </c>
      <c r="K25" s="26" t="inlineStr">
        <is>
          <t>SoundThinking, Inc.</t>
        </is>
      </c>
      <c r="L25" s="27" t="n">
        <v>88.2</v>
      </c>
      <c r="M25" s="48" t="inlineStr">
        <is>
          <t>Nano Cap</t>
        </is>
      </c>
      <c r="N25" s="59" t="n">
        <v>78.2</v>
      </c>
    </row>
    <row r="26" ht="16" customHeight="1">
      <c r="B26" s="56" t="inlineStr">
        <is>
          <t>5th</t>
        </is>
      </c>
      <c r="C26" s="19" t="inlineStr">
        <is>
          <t>GOGO</t>
        </is>
      </c>
      <c r="D26" s="20" t="inlineStr">
        <is>
          <t>Gogo Inc.</t>
        </is>
      </c>
      <c r="E26" s="36" t="n">
        <v>67.3</v>
      </c>
      <c r="F26" s="45" t="inlineStr">
        <is>
          <t>Small Cap</t>
        </is>
      </c>
      <c r="G26" s="57" t="n">
        <v>89.3</v>
      </c>
      <c r="I26" s="56" t="inlineStr">
        <is>
          <t>5th</t>
        </is>
      </c>
      <c r="J26" s="19" t="inlineStr">
        <is>
          <t>SCTQ</t>
        </is>
      </c>
      <c r="K26" s="20" t="inlineStr">
        <is>
          <t>Spectra Systems Corporation</t>
        </is>
      </c>
      <c r="L26" s="21" t="n">
        <v>101.7</v>
      </c>
      <c r="M26" s="45" t="inlineStr">
        <is>
          <t>Nano Cap</t>
        </is>
      </c>
      <c r="N26" s="57" t="n">
        <v>80.2</v>
      </c>
    </row>
    <row r="28" ht="22" customHeight="1">
      <c r="B28" s="52" t="inlineStr">
        <is>
          <t>📈 Best Momentum</t>
        </is>
      </c>
      <c r="C28" s="17" t="n"/>
      <c r="D28" s="17" t="n"/>
      <c r="E28" s="17" t="n"/>
      <c r="F28" s="17" t="n"/>
      <c r="G28" s="53" t="n"/>
    </row>
    <row r="29" ht="18" customHeight="1">
      <c r="B29" s="54" t="inlineStr">
        <is>
          <t>Rank</t>
        </is>
      </c>
      <c r="C29" s="18" t="inlineStr">
        <is>
          <t>Ticker</t>
        </is>
      </c>
      <c r="D29" s="18" t="inlineStr">
        <is>
          <t>Company</t>
        </is>
      </c>
      <c r="E29" s="18" t="inlineStr">
        <is>
          <t>3M %</t>
        </is>
      </c>
      <c r="F29" s="18" t="inlineStr">
        <is>
          <t>Tier</t>
        </is>
      </c>
      <c r="G29" s="55" t="inlineStr">
        <is>
          <t>Score</t>
        </is>
      </c>
    </row>
    <row r="30" ht="16" customHeight="1">
      <c r="B30" s="56" t="inlineStr">
        <is>
          <t>🥇</t>
        </is>
      </c>
      <c r="C30" s="19" t="inlineStr">
        <is>
          <t>ADTN</t>
        </is>
      </c>
      <c r="D30" s="20" t="inlineStr">
        <is>
          <t>ADTRAN Holdings, Inc.</t>
        </is>
      </c>
      <c r="E30" s="36" t="n">
        <v>81.04376000000001</v>
      </c>
      <c r="F30" s="45" t="inlineStr">
        <is>
          <t>Small Cap</t>
        </is>
      </c>
      <c r="G30" s="57" t="n">
        <v>74.40000000000001</v>
      </c>
    </row>
    <row r="31" ht="16" customHeight="1">
      <c r="B31" s="58" t="inlineStr">
        <is>
          <t>🥈</t>
        </is>
      </c>
      <c r="C31" s="25" t="inlineStr">
        <is>
          <t>ESI</t>
        </is>
      </c>
      <c r="D31" s="26" t="inlineStr">
        <is>
          <t>Element Solutions Inc</t>
        </is>
      </c>
      <c r="E31" s="41" t="n">
        <v>43.10634</v>
      </c>
      <c r="F31" s="48" t="inlineStr">
        <is>
          <t>Breakout</t>
        </is>
      </c>
      <c r="G31" s="59" t="n">
        <v>73.8</v>
      </c>
    </row>
    <row r="32" ht="16" customHeight="1">
      <c r="B32" s="56" t="inlineStr">
        <is>
          <t>🥉</t>
        </is>
      </c>
      <c r="C32" s="19" t="inlineStr">
        <is>
          <t>SWBI</t>
        </is>
      </c>
      <c r="D32" s="20" t="inlineStr">
        <is>
          <t>Smith &amp; Wesson Brands, Inc.</t>
        </is>
      </c>
      <c r="E32" s="36" t="n">
        <v>41.6362</v>
      </c>
      <c r="F32" s="45" t="inlineStr">
        <is>
          <t>Small Cap</t>
        </is>
      </c>
      <c r="G32" s="57" t="n">
        <v>71.90000000000001</v>
      </c>
    </row>
    <row r="33" ht="16" customHeight="1">
      <c r="B33" s="58" t="inlineStr">
        <is>
          <t>4th</t>
        </is>
      </c>
      <c r="C33" s="25" t="inlineStr">
        <is>
          <t>KVHI</t>
        </is>
      </c>
      <c r="D33" s="26" t="inlineStr">
        <is>
          <t>KVH Industries, Inc.</t>
        </is>
      </c>
      <c r="E33" s="41" t="n">
        <v>32.40469</v>
      </c>
      <c r="F33" s="48" t="inlineStr">
        <is>
          <t>Nano Cap</t>
        </is>
      </c>
      <c r="G33" s="59" t="n">
        <v>78.2</v>
      </c>
    </row>
    <row r="34" ht="16" customHeight="1">
      <c r="B34" s="56" t="inlineStr">
        <is>
          <t>5th</t>
        </is>
      </c>
      <c r="C34" s="19" t="inlineStr">
        <is>
          <t>SODI</t>
        </is>
      </c>
      <c r="D34" s="20" t="inlineStr">
        <is>
          <t>Solitron Devices, Inc.</t>
        </is>
      </c>
      <c r="E34" s="36" t="n">
        <v>24.58862</v>
      </c>
      <c r="F34" s="45" t="inlineStr">
        <is>
          <t>Nano Cap</t>
        </is>
      </c>
      <c r="G34" s="57" t="n">
        <v>93.8</v>
      </c>
    </row>
  </sheetData>
  <mergeCells count="9">
    <mergeCell ref="B20:G20"/>
    <mergeCell ref="B28:G28"/>
    <mergeCell ref="A2:N2"/>
    <mergeCell ref="B4:G4"/>
    <mergeCell ref="B12:G12"/>
    <mergeCell ref="I12:N12"/>
    <mergeCell ref="I4:N4"/>
    <mergeCell ref="I20:N20"/>
    <mergeCell ref="A1:N1"/>
  </mergeCells>
  <pageMargins left="0.75" right="0.75" top="1" bottom="1" header="0.5" footer="0.5"/>
  <pageSetup orientation="landscape" fitToWidth="1"/>
</worksheet>
</file>

<file path=xl/worksheets/sheet8.xml><?xml version="1.0" encoding="utf-8"?>
<worksheet xmlns="http://schemas.openxmlformats.org/spreadsheetml/2006/main">
  <sheetPr>
    <tabColor rgb="002A9D8F"/>
    <outlinePr summaryBelow="1" summaryRight="1"/>
    <pageSetUpPr fitToPage="1"/>
  </sheetPr>
  <dimension ref="A1:I42"/>
  <sheetViews>
    <sheetView showGridLines="0" workbookViewId="0">
      <pane xSplit="2" ySplit="5" topLeftCell="C6" activePane="bottomRight" state="frozen"/>
      <selection pane="topRight"/>
      <selection pane="bottomLeft"/>
      <selection pane="bottomRight" activeCell="A1" sqref="A1"/>
    </sheetView>
  </sheetViews>
  <sheetFormatPr baseColWidth="8" defaultRowHeight="15"/>
  <cols>
    <col width="9" customWidth="1" min="1" max="1"/>
    <col width="28" customWidth="1" min="2" max="2"/>
    <col width="12" customWidth="1" min="3" max="3"/>
    <col width="14" customWidth="1" min="4" max="4"/>
    <col width="18" customWidth="1" min="5" max="5"/>
    <col width="12" customWidth="1" min="6" max="6"/>
    <col width="55" customWidth="1" min="7" max="7"/>
    <col width="30" customWidth="1" min="8" max="8"/>
    <col width="30" customWidth="1" min="9" max="9"/>
  </cols>
  <sheetData>
    <row r="1" ht="28" customHeight="1">
      <c r="A1" s="31" t="inlineStr">
        <is>
          <t>INVESTMENT RECOMMENDATIONS</t>
        </is>
      </c>
      <c r="B1" s="11" t="n"/>
      <c r="C1" s="11" t="n"/>
      <c r="D1" s="11" t="n"/>
      <c r="E1" s="11" t="n"/>
      <c r="F1" s="11" t="n"/>
      <c r="G1" s="11" t="n"/>
      <c r="H1" s="11" t="n"/>
      <c r="I1" s="11" t="n"/>
    </row>
    <row r="2" ht="22" customHeight="1">
      <c r="A2" s="32" t="inlineStr">
        <is>
          <t>Conviction levels based on combined scoring, fundamentals, and risk profile  |  April 29, 2026</t>
        </is>
      </c>
      <c r="B2" s="12" t="n"/>
      <c r="C2" s="12" t="n"/>
      <c r="D2" s="12" t="n"/>
      <c r="E2" s="12" t="n"/>
      <c r="F2" s="12" t="n"/>
      <c r="G2" s="12" t="n"/>
      <c r="H2" s="12" t="n"/>
      <c r="I2" s="12" t="n"/>
    </row>
    <row r="3" ht="8" customHeight="1"/>
    <row r="4" ht="22" customHeight="1">
      <c r="A4" s="60" t="inlineStr">
        <is>
          <t>▼ Filter:</t>
        </is>
      </c>
      <c r="B4" s="61" t="inlineStr">
        <is>
          <t>All</t>
        </is>
      </c>
      <c r="C4" s="61" t="inlineStr">
        <is>
          <t>All</t>
        </is>
      </c>
      <c r="D4" s="61" t="inlineStr">
        <is>
          <t>All</t>
        </is>
      </c>
    </row>
    <row r="5" ht="18" customHeight="1">
      <c r="A5" s="18" t="inlineStr">
        <is>
          <t>Ticker</t>
        </is>
      </c>
      <c r="B5" s="18" t="inlineStr">
        <is>
          <t>Name</t>
        </is>
      </c>
      <c r="C5" s="18" t="inlineStr">
        <is>
          <t>Tier</t>
        </is>
      </c>
      <c r="D5" s="18" t="inlineStr">
        <is>
          <t>Conviction</t>
        </is>
      </c>
      <c r="E5" s="18" t="inlineStr">
        <is>
          <t>Thesis Bucket</t>
        </is>
      </c>
      <c r="F5" s="18" t="inlineStr">
        <is>
          <t>Combined</t>
        </is>
      </c>
      <c r="G5" s="18" t="inlineStr">
        <is>
          <t>Rationale</t>
        </is>
      </c>
      <c r="H5" s="18" t="inlineStr">
        <is>
          <t>Key Strengths</t>
        </is>
      </c>
      <c r="I5" s="18" t="inlineStr">
        <is>
          <t>Key Risks</t>
        </is>
      </c>
    </row>
    <row r="6" ht="40" customHeight="1">
      <c r="A6" s="19" t="inlineStr">
        <is>
          <t>SODI</t>
        </is>
      </c>
      <c r="B6" s="20" t="inlineStr">
        <is>
          <t>Solitron Devices, Inc.</t>
        </is>
      </c>
      <c r="C6" s="45" t="inlineStr">
        <is>
          <t>Nano Cap</t>
        </is>
      </c>
      <c r="D6" s="23" t="inlineStr">
        <is>
          <t>High</t>
        </is>
      </c>
      <c r="E6" s="20" t="inlineStr">
        <is>
          <t>Fingerprint Match</t>
        </is>
      </c>
      <c r="F6" s="36" t="n">
        <v>93.8</v>
      </c>
      <c r="G6" s="46" t="inlineStr">
        <is>
          <t>Strengths: strong revenue growth, high insider alignment, minimal dilution, strong fingerprint match. Risks: none significant.</t>
        </is>
      </c>
      <c r="H6" s="62" t="inlineStr">
        <is>
          <t>✓ strong revenue growth
✓ high insider alignment
✓ minimal dilution
✓ strong fingerprint match</t>
        </is>
      </c>
      <c r="I6" s="63" t="inlineStr">
        <is>
          <t>—</t>
        </is>
      </c>
    </row>
    <row r="7" ht="40" customHeight="1">
      <c r="A7" s="25" t="inlineStr">
        <is>
          <t>GOGO</t>
        </is>
      </c>
      <c r="B7" s="26" t="inlineStr">
        <is>
          <t>Gogo Inc.</t>
        </is>
      </c>
      <c r="C7" s="48" t="inlineStr">
        <is>
          <t>Small Cap</t>
        </is>
      </c>
      <c r="D7" s="23" t="inlineStr">
        <is>
          <t>High</t>
        </is>
      </c>
      <c r="E7" s="26" t="inlineStr">
        <is>
          <t>High-Growth Quality</t>
        </is>
      </c>
      <c r="F7" s="41" t="n">
        <v>89.3</v>
      </c>
      <c r="G7" s="49" t="inlineStr">
        <is>
          <t>Strengths: strong revenue growth, high-margin business, high insider alignment, minimal dilution. Risks: none significant.</t>
        </is>
      </c>
      <c r="H7" s="62" t="inlineStr">
        <is>
          <t>✓ strong revenue growth
✓ high-margin business
✓ high insider alignment
✓ minimal dilution</t>
        </is>
      </c>
      <c r="I7" s="63" t="inlineStr">
        <is>
          <t>—</t>
        </is>
      </c>
    </row>
    <row r="8" ht="40" customHeight="1">
      <c r="A8" s="19" t="inlineStr">
        <is>
          <t>CLFD</t>
        </is>
      </c>
      <c r="B8" s="20" t="inlineStr">
        <is>
          <t>Clearfield, Inc.</t>
        </is>
      </c>
      <c r="C8" s="45" t="inlineStr">
        <is>
          <t>Small Cap</t>
        </is>
      </c>
      <c r="D8" s="23" t="inlineStr">
        <is>
          <t>High</t>
        </is>
      </c>
      <c r="E8" s="20" t="inlineStr">
        <is>
          <t>Emerging Watch</t>
        </is>
      </c>
      <c r="F8" s="36" t="n">
        <v>85.59999999999999</v>
      </c>
      <c r="G8" s="46" t="inlineStr">
        <is>
          <t>Strengths: high insider alignment, minimal dilution, strong fingerprint match. Risks: none significant.</t>
        </is>
      </c>
      <c r="H8" s="62" t="inlineStr">
        <is>
          <t>✓ high insider alignment
✓ minimal dilution
✓ strong fingerprint match</t>
        </is>
      </c>
      <c r="I8" s="63" t="inlineStr">
        <is>
          <t>—</t>
        </is>
      </c>
    </row>
    <row r="9" ht="40" customHeight="1">
      <c r="A9" s="25" t="inlineStr">
        <is>
          <t>CODA</t>
        </is>
      </c>
      <c r="B9" s="26" t="inlineStr">
        <is>
          <t>Coda Octopus Group, Inc.</t>
        </is>
      </c>
      <c r="C9" s="48" t="inlineStr">
        <is>
          <t>Nano Cap</t>
        </is>
      </c>
      <c r="D9" s="24" t="inlineStr">
        <is>
          <t>Medium-High</t>
        </is>
      </c>
      <c r="E9" s="26" t="inlineStr">
        <is>
          <t>Insider Conviction</t>
        </is>
      </c>
      <c r="F9" s="41" t="n">
        <v>82</v>
      </c>
      <c r="G9" s="49" t="inlineStr">
        <is>
          <t>Strengths: solid revenue growth, high-margin business, high insider alignment, minimal dilution. Risks: none significant.</t>
        </is>
      </c>
      <c r="H9" s="62" t="inlineStr">
        <is>
          <t>✓ solid revenue growth
✓ high-margin business
✓ high insider alignment
✓ minimal dilution</t>
        </is>
      </c>
      <c r="I9" s="63" t="inlineStr">
        <is>
          <t>—</t>
        </is>
      </c>
    </row>
    <row r="10" ht="40" customHeight="1">
      <c r="A10" s="19" t="inlineStr">
        <is>
          <t>XMTR</t>
        </is>
      </c>
      <c r="B10" s="20" t="inlineStr">
        <is>
          <t>Xometry, Inc.</t>
        </is>
      </c>
      <c r="C10" s="45" t="inlineStr">
        <is>
          <t>Breakout</t>
        </is>
      </c>
      <c r="D10" s="24" t="inlineStr">
        <is>
          <t>Medium-High</t>
        </is>
      </c>
      <c r="E10" s="20" t="inlineStr">
        <is>
          <t>Emerging Watch</t>
        </is>
      </c>
      <c r="F10" s="36" t="n">
        <v>80.5</v>
      </c>
      <c r="G10" s="46" t="inlineStr">
        <is>
          <t>Strengths: solid revenue growth, healthy margins. Risks: none significant.</t>
        </is>
      </c>
      <c r="H10" s="62" t="inlineStr">
        <is>
          <t>✓ solid revenue growth
✓ healthy margins</t>
        </is>
      </c>
      <c r="I10" s="63" t="inlineStr">
        <is>
          <t>—</t>
        </is>
      </c>
    </row>
    <row r="11" ht="40" customHeight="1">
      <c r="A11" s="25" t="inlineStr">
        <is>
          <t>SCTQ</t>
        </is>
      </c>
      <c r="B11" s="26" t="inlineStr">
        <is>
          <t>Spectra Systems Corporation</t>
        </is>
      </c>
      <c r="C11" s="48" t="inlineStr">
        <is>
          <t>Nano Cap</t>
        </is>
      </c>
      <c r="D11" s="24" t="inlineStr">
        <is>
          <t>Medium-High</t>
        </is>
      </c>
      <c r="E11" s="26" t="inlineStr">
        <is>
          <t>High-Growth Quality</t>
        </is>
      </c>
      <c r="F11" s="41" t="n">
        <v>80.2</v>
      </c>
      <c r="G11" s="49" t="inlineStr">
        <is>
          <t>Strengths: strong revenue growth, high-margin business, high insider alignment. Risks: none significant.</t>
        </is>
      </c>
      <c r="H11" s="62" t="inlineStr">
        <is>
          <t>✓ strong revenue growth
✓ high-margin business
✓ high insider alignment</t>
        </is>
      </c>
      <c r="I11" s="63" t="inlineStr">
        <is>
          <t>—</t>
        </is>
      </c>
    </row>
    <row r="12" ht="40" customHeight="1">
      <c r="A12" s="19" t="inlineStr">
        <is>
          <t>RUN</t>
        </is>
      </c>
      <c r="B12" s="20" t="inlineStr">
        <is>
          <t>Sunrun Inc.</t>
        </is>
      </c>
      <c r="C12" s="45" t="inlineStr">
        <is>
          <t>Breakout</t>
        </is>
      </c>
      <c r="D12" s="24" t="inlineStr">
        <is>
          <t>Medium-High</t>
        </is>
      </c>
      <c r="E12" s="20" t="inlineStr">
        <is>
          <t>Growth Inflection</t>
        </is>
      </c>
      <c r="F12" s="36" t="n">
        <v>79.09999999999999</v>
      </c>
      <c r="G12" s="46" t="inlineStr">
        <is>
          <t>Strengths: strong revenue growth, healthy margins. Risks: low insider ownership, negative momentum.</t>
        </is>
      </c>
      <c r="H12" s="62" t="inlineStr">
        <is>
          <t>✓ strong revenue growth
✓ healthy margins</t>
        </is>
      </c>
      <c r="I12" s="63" t="inlineStr">
        <is>
          <t>⚠ low insider ownership
⚠ negative momentum</t>
        </is>
      </c>
    </row>
    <row r="13" ht="40" customHeight="1">
      <c r="A13" s="25" t="inlineStr">
        <is>
          <t>OPXS</t>
        </is>
      </c>
      <c r="B13" s="26" t="inlineStr">
        <is>
          <t>Optex Systems Holdings, Inc</t>
        </is>
      </c>
      <c r="C13" s="48" t="inlineStr">
        <is>
          <t>Nano Cap</t>
        </is>
      </c>
      <c r="D13" s="24" t="inlineStr">
        <is>
          <t>Medium-High</t>
        </is>
      </c>
      <c r="E13" s="26" t="inlineStr">
        <is>
          <t>Insider Conviction</t>
        </is>
      </c>
      <c r="F13" s="41" t="n">
        <v>78.7</v>
      </c>
      <c r="G13" s="49" t="inlineStr">
        <is>
          <t>Strengths: high insider alignment, minimal dilution, strong fingerprint match. Risks: thin margins, negative momentum, modest growth.</t>
        </is>
      </c>
      <c r="H13" s="62" t="inlineStr">
        <is>
          <t>✓ high insider alignment
✓ minimal dilution
✓ strong fingerprint match</t>
        </is>
      </c>
      <c r="I13" s="63" t="inlineStr">
        <is>
          <t>⚠ thin margins
⚠ negative momentum
⚠ modest growth</t>
        </is>
      </c>
    </row>
    <row r="14" ht="40" customHeight="1">
      <c r="A14" s="19" t="inlineStr">
        <is>
          <t>KVHI</t>
        </is>
      </c>
      <c r="B14" s="20" t="inlineStr">
        <is>
          <t>KVH Industries, Inc.</t>
        </is>
      </c>
      <c r="C14" s="45" t="inlineStr">
        <is>
          <t>Nano Cap</t>
        </is>
      </c>
      <c r="D14" s="24" t="inlineStr">
        <is>
          <t>Medium-High</t>
        </is>
      </c>
      <c r="E14" s="20" t="inlineStr">
        <is>
          <t>Insider Conviction</t>
        </is>
      </c>
      <c r="F14" s="36" t="n">
        <v>78.2</v>
      </c>
      <c r="G14" s="46" t="inlineStr">
        <is>
          <t>Strengths: high insider alignment, minimal dilution, strong fingerprint match, positive momentum. Risks: thin margins, modest growth.</t>
        </is>
      </c>
      <c r="H14" s="62" t="inlineStr">
        <is>
          <t>✓ high insider alignment
✓ minimal dilution
✓ strong fingerprint match
✓ positive momentum</t>
        </is>
      </c>
      <c r="I14" s="63" t="inlineStr">
        <is>
          <t>⚠ thin margins
⚠ modest growth</t>
        </is>
      </c>
    </row>
    <row r="15" ht="40" customHeight="1">
      <c r="A15" s="25" t="inlineStr">
        <is>
          <t>SSTI</t>
        </is>
      </c>
      <c r="B15" s="26" t="inlineStr">
        <is>
          <t>SoundThinking, Inc.</t>
        </is>
      </c>
      <c r="C15" s="48" t="inlineStr">
        <is>
          <t>Nano Cap</t>
        </is>
      </c>
      <c r="D15" s="24" t="inlineStr">
        <is>
          <t>Medium-High</t>
        </is>
      </c>
      <c r="E15" s="26" t="inlineStr">
        <is>
          <t>Insider Conviction</t>
        </is>
      </c>
      <c r="F15" s="41" t="n">
        <v>78.2</v>
      </c>
      <c r="G15" s="49" t="inlineStr">
        <is>
          <t>Strengths: high-margin business, high insider alignment, minimal dilution, strong fingerprint match. Risks: modest growth.</t>
        </is>
      </c>
      <c r="H15" s="62" t="inlineStr">
        <is>
          <t>✓ high-margin business
✓ high insider alignment
✓ minimal dilution
✓ strong fingerprint match</t>
        </is>
      </c>
      <c r="I15" s="63" t="inlineStr">
        <is>
          <t>⚠ modest growth</t>
        </is>
      </c>
    </row>
    <row r="16" ht="40" customHeight="1">
      <c r="A16" s="19" t="inlineStr">
        <is>
          <t>SPRU</t>
        </is>
      </c>
      <c r="B16" s="20" t="inlineStr">
        <is>
          <t>Spruce Power Holding Corporation</t>
        </is>
      </c>
      <c r="C16" s="45" t="inlineStr">
        <is>
          <t>Nano Cap</t>
        </is>
      </c>
      <c r="D16" s="24" t="inlineStr">
        <is>
          <t>Medium-High</t>
        </is>
      </c>
      <c r="E16" s="20" t="inlineStr">
        <is>
          <t>Insider Conviction</t>
        </is>
      </c>
      <c r="F16" s="36" t="n">
        <v>77.2</v>
      </c>
      <c r="G16" s="46" t="inlineStr">
        <is>
          <t>Strengths: high-margin business, high insider alignment, minimal dilution. Risks: negative momentum.</t>
        </is>
      </c>
      <c r="H16" s="62" t="inlineStr">
        <is>
          <t>✓ high-margin business
✓ high insider alignment
✓ minimal dilution</t>
        </is>
      </c>
      <c r="I16" s="63" t="inlineStr">
        <is>
          <t>⚠ negative momentum</t>
        </is>
      </c>
    </row>
    <row r="17" ht="40" customHeight="1">
      <c r="A17" s="25" t="inlineStr">
        <is>
          <t>CTLP</t>
        </is>
      </c>
      <c r="B17" s="26" t="inlineStr">
        <is>
          <t>Cantaloupe, Inc.</t>
        </is>
      </c>
      <c r="C17" s="48" t="inlineStr">
        <is>
          <t>Small Cap</t>
        </is>
      </c>
      <c r="D17" s="24" t="inlineStr">
        <is>
          <t>Medium-High</t>
        </is>
      </c>
      <c r="E17" s="26" t="inlineStr">
        <is>
          <t>Insider Conviction</t>
        </is>
      </c>
      <c r="F17" s="41" t="n">
        <v>76.90000000000001</v>
      </c>
      <c r="G17" s="49" t="inlineStr">
        <is>
          <t>Strengths: high insider alignment, minimal dilution, strong fingerprint match. Risks: modest growth.</t>
        </is>
      </c>
      <c r="H17" s="62" t="inlineStr">
        <is>
          <t>✓ high insider alignment
✓ minimal dilution
✓ strong fingerprint match</t>
        </is>
      </c>
      <c r="I17" s="63" t="inlineStr">
        <is>
          <t>⚠ modest growth</t>
        </is>
      </c>
    </row>
    <row r="18" ht="40" customHeight="1">
      <c r="A18" s="19" t="inlineStr">
        <is>
          <t>CMCO</t>
        </is>
      </c>
      <c r="B18" s="20" t="inlineStr">
        <is>
          <t>Columbus McKinnon Corporation</t>
        </is>
      </c>
      <c r="C18" s="45" t="inlineStr">
        <is>
          <t>Small Cap</t>
        </is>
      </c>
      <c r="D18" s="24" t="inlineStr">
        <is>
          <t>Medium-High</t>
        </is>
      </c>
      <c r="E18" s="20" t="inlineStr">
        <is>
          <t>Emerging Watch</t>
        </is>
      </c>
      <c r="F18" s="36" t="n">
        <v>76.8</v>
      </c>
      <c r="G18" s="46" t="inlineStr">
        <is>
          <t>Strengths: minimal dilution, strong fingerprint match. Risks: low insider ownership, negative momentum, modest growth.</t>
        </is>
      </c>
      <c r="H18" s="62" t="inlineStr">
        <is>
          <t>✓ minimal dilution
✓ strong fingerprint match</t>
        </is>
      </c>
      <c r="I18" s="63" t="inlineStr">
        <is>
          <t>⚠ low insider ownership
⚠ negative momentum
⚠ modest growth</t>
        </is>
      </c>
    </row>
    <row r="19" ht="40" customHeight="1">
      <c r="A19" s="25" t="inlineStr">
        <is>
          <t>CRNC</t>
        </is>
      </c>
      <c r="B19" s="26" t="inlineStr">
        <is>
          <t>Cerence Inc.</t>
        </is>
      </c>
      <c r="C19" s="48" t="inlineStr">
        <is>
          <t>Small Cap</t>
        </is>
      </c>
      <c r="D19" s="24" t="inlineStr">
        <is>
          <t>Medium-High</t>
        </is>
      </c>
      <c r="E19" s="26" t="inlineStr">
        <is>
          <t>High-Growth Quality</t>
        </is>
      </c>
      <c r="F19" s="41" t="n">
        <v>76.59999999999999</v>
      </c>
      <c r="G19" s="49" t="inlineStr">
        <is>
          <t>Strengths: strong revenue growth, high-margin business. Risks: low insider ownership.</t>
        </is>
      </c>
      <c r="H19" s="62" t="inlineStr">
        <is>
          <t>✓ strong revenue growth
✓ high-margin business</t>
        </is>
      </c>
      <c r="I19" s="63" t="inlineStr">
        <is>
          <t>⚠ low insider ownership</t>
        </is>
      </c>
    </row>
    <row r="20" ht="40" customHeight="1">
      <c r="A20" s="19" t="inlineStr">
        <is>
          <t>SHLS</t>
        </is>
      </c>
      <c r="B20" s="20" t="inlineStr">
        <is>
          <t>Shoals Technologies Group, Inc.</t>
        </is>
      </c>
      <c r="C20" s="45" t="inlineStr">
        <is>
          <t>Small Cap</t>
        </is>
      </c>
      <c r="D20" s="24" t="inlineStr">
        <is>
          <t>Medium-High</t>
        </is>
      </c>
      <c r="E20" s="20" t="inlineStr">
        <is>
          <t>Fingerprint Match</t>
        </is>
      </c>
      <c r="F20" s="36" t="n">
        <v>75.8</v>
      </c>
      <c r="G20" s="46" t="inlineStr">
        <is>
          <t>Strengths: solid revenue growth, strong fingerprint match. Risks: low insider ownership.</t>
        </is>
      </c>
      <c r="H20" s="62" t="inlineStr">
        <is>
          <t>✓ solid revenue growth
✓ strong fingerprint match</t>
        </is>
      </c>
      <c r="I20" s="63" t="inlineStr">
        <is>
          <t>⚠ low insider ownership</t>
        </is>
      </c>
    </row>
    <row r="21" ht="40" customHeight="1">
      <c r="A21" s="25" t="inlineStr">
        <is>
          <t>FELE</t>
        </is>
      </c>
      <c r="B21" s="26" t="inlineStr">
        <is>
          <t>Franklin Electric Co., Inc.</t>
        </is>
      </c>
      <c r="C21" s="48" t="inlineStr">
        <is>
          <t>Breakout</t>
        </is>
      </c>
      <c r="D21" s="24" t="inlineStr">
        <is>
          <t>Medium-High</t>
        </is>
      </c>
      <c r="E21" s="26" t="inlineStr">
        <is>
          <t>Emerging Watch</t>
        </is>
      </c>
      <c r="F21" s="41" t="n">
        <v>75.8</v>
      </c>
      <c r="G21" s="49" t="inlineStr">
        <is>
          <t>Strengths: healthy margins, minimal dilution. Risks: modest growth.</t>
        </is>
      </c>
      <c r="H21" s="62" t="inlineStr">
        <is>
          <t>✓ healthy margins
✓ minimal dilution</t>
        </is>
      </c>
      <c r="I21" s="63" t="inlineStr">
        <is>
          <t>⚠ modest growth</t>
        </is>
      </c>
    </row>
    <row r="22" ht="40" customHeight="1">
      <c r="A22" s="19" t="inlineStr">
        <is>
          <t>TAYD</t>
        </is>
      </c>
      <c r="B22" s="20" t="inlineStr">
        <is>
          <t>Taylor Devices, Inc.</t>
        </is>
      </c>
      <c r="C22" s="45" t="inlineStr">
        <is>
          <t>Nano Cap</t>
        </is>
      </c>
      <c r="D22" s="24" t="inlineStr">
        <is>
          <t>Medium-High</t>
        </is>
      </c>
      <c r="E22" s="20" t="inlineStr">
        <is>
          <t>Emerging Watch</t>
        </is>
      </c>
      <c r="F22" s="36" t="n">
        <v>75.7</v>
      </c>
      <c r="G22" s="46" t="inlineStr">
        <is>
          <t>Strengths: healthy margins, minimal dilution, strong fingerprint match. Risks: low insider ownership, modest growth.</t>
        </is>
      </c>
      <c r="H22" s="62" t="inlineStr">
        <is>
          <t>✓ healthy margins
✓ minimal dilution
✓ strong fingerprint match</t>
        </is>
      </c>
      <c r="I22" s="63" t="inlineStr">
        <is>
          <t>⚠ low insider ownership
⚠ modest growth</t>
        </is>
      </c>
    </row>
    <row r="23" ht="40" customHeight="1">
      <c r="A23" s="25" t="inlineStr">
        <is>
          <t>ADTN</t>
        </is>
      </c>
      <c r="B23" s="26" t="inlineStr">
        <is>
          <t>ADTRAN Holdings, Inc.</t>
        </is>
      </c>
      <c r="C23" s="48" t="inlineStr">
        <is>
          <t>Small Cap</t>
        </is>
      </c>
      <c r="D23" s="29" t="inlineStr">
        <is>
          <t>Medium</t>
        </is>
      </c>
      <c r="E23" s="26" t="inlineStr">
        <is>
          <t>Fingerprint Match</t>
        </is>
      </c>
      <c r="F23" s="41" t="n">
        <v>74.40000000000001</v>
      </c>
      <c r="G23" s="49" t="inlineStr">
        <is>
          <t>Strengths: solid revenue growth, healthy margins, minimal dilution, strong fingerprint match, positive momentum. Risks: none significant.</t>
        </is>
      </c>
      <c r="H23" s="62" t="inlineStr">
        <is>
          <t>✓ solid revenue growth
✓ healthy margins
✓ minimal dilution
✓ strong fingerprint match
✓ positive momentum</t>
        </is>
      </c>
      <c r="I23" s="63" t="inlineStr">
        <is>
          <t>—</t>
        </is>
      </c>
    </row>
    <row r="24" ht="40" customHeight="1">
      <c r="A24" s="19" t="inlineStr">
        <is>
          <t>BYRN</t>
        </is>
      </c>
      <c r="B24" s="20" t="inlineStr">
        <is>
          <t>Byrna Technologies Inc.</t>
        </is>
      </c>
      <c r="C24" s="45" t="inlineStr">
        <is>
          <t>Nano Cap</t>
        </is>
      </c>
      <c r="D24" s="29" t="inlineStr">
        <is>
          <t>Medium</t>
        </is>
      </c>
      <c r="E24" s="20" t="inlineStr">
        <is>
          <t>Insider Conviction</t>
        </is>
      </c>
      <c r="F24" s="36" t="n">
        <v>73.90000000000001</v>
      </c>
      <c r="G24" s="46" t="inlineStr">
        <is>
          <t>Strengths: high-margin business, high insider alignment, minimal dilution, strong fingerprint match. Risks: negative momentum, modest growth.</t>
        </is>
      </c>
      <c r="H24" s="62" t="inlineStr">
        <is>
          <t>✓ high-margin business
✓ high insider alignment
✓ minimal dilution
✓ strong fingerprint match</t>
        </is>
      </c>
      <c r="I24" s="63" t="inlineStr">
        <is>
          <t>⚠ negative momentum
⚠ modest growth</t>
        </is>
      </c>
    </row>
    <row r="25" ht="40" customHeight="1">
      <c r="A25" s="25" t="inlineStr">
        <is>
          <t>ULBI</t>
        </is>
      </c>
      <c r="B25" s="26" t="inlineStr">
        <is>
          <t>Ultralife Corporation</t>
        </is>
      </c>
      <c r="C25" s="48" t="inlineStr">
        <is>
          <t>Nano Cap</t>
        </is>
      </c>
      <c r="D25" s="29" t="inlineStr">
        <is>
          <t>Medium</t>
        </is>
      </c>
      <c r="E25" s="26" t="inlineStr">
        <is>
          <t>Insider Conviction</t>
        </is>
      </c>
      <c r="F25" s="41" t="n">
        <v>73.90000000000001</v>
      </c>
      <c r="G25" s="49" t="inlineStr">
        <is>
          <t>Strengths: high insider alignment, minimal dilution, strong fingerprint match. Risks: thin margins, modest growth.</t>
        </is>
      </c>
      <c r="H25" s="62" t="inlineStr">
        <is>
          <t>✓ high insider alignment
✓ minimal dilution
✓ strong fingerprint match</t>
        </is>
      </c>
      <c r="I25" s="63" t="inlineStr">
        <is>
          <t>⚠ thin margins
⚠ modest growth</t>
        </is>
      </c>
    </row>
    <row r="26" ht="40" customHeight="1">
      <c r="A26" s="19" t="inlineStr">
        <is>
          <t>QRVO</t>
        </is>
      </c>
      <c r="B26" s="20" t="inlineStr">
        <is>
          <t>Qorvo, Inc.</t>
        </is>
      </c>
      <c r="C26" s="45" t="inlineStr">
        <is>
          <t>Breakout</t>
        </is>
      </c>
      <c r="D26" s="29" t="inlineStr">
        <is>
          <t>Medium</t>
        </is>
      </c>
      <c r="E26" s="20" t="inlineStr">
        <is>
          <t>Emerging Watch</t>
        </is>
      </c>
      <c r="F26" s="36" t="n">
        <v>73.8</v>
      </c>
      <c r="G26" s="46" t="inlineStr">
        <is>
          <t>Strengths: healthy margins, minimal dilution. Risks: modest growth.</t>
        </is>
      </c>
      <c r="H26" s="62" t="inlineStr">
        <is>
          <t>✓ healthy margins
✓ minimal dilution</t>
        </is>
      </c>
      <c r="I26" s="63" t="inlineStr">
        <is>
          <t>⚠ modest growth</t>
        </is>
      </c>
    </row>
    <row r="27" ht="40" customHeight="1">
      <c r="A27" s="25" t="inlineStr">
        <is>
          <t>ESI</t>
        </is>
      </c>
      <c r="B27" s="26" t="inlineStr">
        <is>
          <t>Element Solutions Inc</t>
        </is>
      </c>
      <c r="C27" s="48" t="inlineStr">
        <is>
          <t>Breakout</t>
        </is>
      </c>
      <c r="D27" s="29" t="inlineStr">
        <is>
          <t>Medium</t>
        </is>
      </c>
      <c r="E27" s="26" t="inlineStr">
        <is>
          <t>Fingerprint Match</t>
        </is>
      </c>
      <c r="F27" s="41" t="n">
        <v>73.8</v>
      </c>
      <c r="G27" s="49" t="inlineStr">
        <is>
          <t>Strengths: strong revenue growth, healthy margins, minimal dilution, strong fingerprint match, positive momentum. Risks: none significant.</t>
        </is>
      </c>
      <c r="H27" s="62" t="inlineStr">
        <is>
          <t>✓ strong revenue growth
✓ healthy margins
✓ minimal dilution
✓ strong fingerprint match
✓ positive momentum</t>
        </is>
      </c>
      <c r="I27" s="63" t="inlineStr">
        <is>
          <t>—</t>
        </is>
      </c>
    </row>
    <row r="28" ht="40" customHeight="1">
      <c r="A28" s="19" t="inlineStr">
        <is>
          <t>EVLV</t>
        </is>
      </c>
      <c r="B28" s="20" t="inlineStr">
        <is>
          <t>Evolv Technologies Holdings, Inc.</t>
        </is>
      </c>
      <c r="C28" s="45" t="inlineStr">
        <is>
          <t>Small Cap</t>
        </is>
      </c>
      <c r="D28" s="29" t="inlineStr">
        <is>
          <t>Medium</t>
        </is>
      </c>
      <c r="E28" s="20" t="inlineStr">
        <is>
          <t>Fingerprint Match</t>
        </is>
      </c>
      <c r="F28" s="36" t="n">
        <v>73.09999999999999</v>
      </c>
      <c r="G28" s="46" t="inlineStr">
        <is>
          <t>Strengths: solid revenue growth, healthy margins, strong fingerprint match. Risks: significant dilution.</t>
        </is>
      </c>
      <c r="H28" s="62" t="inlineStr">
        <is>
          <t>✓ solid revenue growth
✓ healthy margins
✓ strong fingerprint match</t>
        </is>
      </c>
      <c r="I28" s="63" t="inlineStr">
        <is>
          <t>⚠ significant dilution</t>
        </is>
      </c>
    </row>
    <row r="29" ht="40" customHeight="1">
      <c r="A29" s="25" t="inlineStr">
        <is>
          <t>NVEC</t>
        </is>
      </c>
      <c r="B29" s="26" t="inlineStr">
        <is>
          <t>NVE Corporation</t>
        </is>
      </c>
      <c r="C29" s="48" t="inlineStr">
        <is>
          <t>Small Cap</t>
        </is>
      </c>
      <c r="D29" s="29" t="inlineStr">
        <is>
          <t>Medium</t>
        </is>
      </c>
      <c r="E29" s="26" t="inlineStr">
        <is>
          <t>Emerging Watch</t>
        </is>
      </c>
      <c r="F29" s="41" t="n">
        <v>72.59999999999999</v>
      </c>
      <c r="G29" s="49" t="inlineStr">
        <is>
          <t>Strengths: solid revenue growth, high-margin business, minimal dilution. Risks: low insider ownership.</t>
        </is>
      </c>
      <c r="H29" s="62" t="inlineStr">
        <is>
          <t>✓ solid revenue growth
✓ high-margin business
✓ minimal dilution</t>
        </is>
      </c>
      <c r="I29" s="63" t="inlineStr">
        <is>
          <t>⚠ low insider ownership</t>
        </is>
      </c>
    </row>
    <row r="30" ht="40" customHeight="1">
      <c r="A30" s="19" t="inlineStr">
        <is>
          <t>SWBI</t>
        </is>
      </c>
      <c r="B30" s="20" t="inlineStr">
        <is>
          <t>Smith &amp; Wesson Brands, Inc.</t>
        </is>
      </c>
      <c r="C30" s="45" t="inlineStr">
        <is>
          <t>Small Cap</t>
        </is>
      </c>
      <c r="D30" s="29" t="inlineStr">
        <is>
          <t>Medium</t>
        </is>
      </c>
      <c r="E30" s="20" t="inlineStr">
        <is>
          <t>Emerging Watch</t>
        </is>
      </c>
      <c r="F30" s="36" t="n">
        <v>71.90000000000001</v>
      </c>
      <c r="G30" s="46" t="inlineStr">
        <is>
          <t>Strengths: minimal dilution, strong fingerprint match, positive momentum. Risks: thin margins, low insider ownership.</t>
        </is>
      </c>
      <c r="H30" s="62" t="inlineStr">
        <is>
          <t>✓ minimal dilution
✓ strong fingerprint match
✓ positive momentum</t>
        </is>
      </c>
      <c r="I30" s="63" t="inlineStr">
        <is>
          <t>⚠ thin margins
⚠ low insider ownership</t>
        </is>
      </c>
    </row>
    <row r="31" ht="40" customHeight="1">
      <c r="A31" s="25" t="inlineStr">
        <is>
          <t>BETA</t>
        </is>
      </c>
      <c r="B31" s="26" t="inlineStr">
        <is>
          <t>BETA Technologies, Inc.</t>
        </is>
      </c>
      <c r="C31" s="48" t="inlineStr">
        <is>
          <t>Breakout</t>
        </is>
      </c>
      <c r="D31" s="29" t="inlineStr">
        <is>
          <t>Medium</t>
        </is>
      </c>
      <c r="E31" s="26" t="inlineStr">
        <is>
          <t>Insider Conviction</t>
        </is>
      </c>
      <c r="F31" s="41" t="n">
        <v>70.5</v>
      </c>
      <c r="G31" s="49" t="inlineStr">
        <is>
          <t>Strengths: strong revenue growth, healthy margins, high insider alignment, minimal dilution. Risks: negative momentum.</t>
        </is>
      </c>
      <c r="H31" s="62" t="inlineStr">
        <is>
          <t>✓ strong revenue growth
✓ healthy margins
✓ high insider alignment
✓ minimal dilution</t>
        </is>
      </c>
      <c r="I31" s="63" t="inlineStr">
        <is>
          <t>⚠ negative momentum</t>
        </is>
      </c>
    </row>
    <row r="32" ht="40" customHeight="1">
      <c r="A32" s="19" t="inlineStr">
        <is>
          <t>ESAB</t>
        </is>
      </c>
      <c r="B32" s="20" t="inlineStr">
        <is>
          <t>ESAB Corporation</t>
        </is>
      </c>
      <c r="C32" s="45" t="inlineStr">
        <is>
          <t>Breakout</t>
        </is>
      </c>
      <c r="D32" s="29" t="inlineStr">
        <is>
          <t>Medium</t>
        </is>
      </c>
      <c r="E32" s="20" t="inlineStr">
        <is>
          <t>Emerging Watch</t>
        </is>
      </c>
      <c r="F32" s="36" t="n">
        <v>68.3</v>
      </c>
      <c r="G32" s="46" t="inlineStr">
        <is>
          <t>Strengths: minimal dilution. Risks: modest growth.</t>
        </is>
      </c>
      <c r="H32" s="62" t="inlineStr">
        <is>
          <t>✓ minimal dilution</t>
        </is>
      </c>
      <c r="I32" s="63" t="inlineStr">
        <is>
          <t>⚠ modest growth</t>
        </is>
      </c>
    </row>
    <row r="33" ht="40" customHeight="1">
      <c r="A33" s="25" t="inlineStr">
        <is>
          <t>EXLS</t>
        </is>
      </c>
      <c r="B33" s="26" t="inlineStr">
        <is>
          <t>ExlService Holdings, Inc.</t>
        </is>
      </c>
      <c r="C33" s="48" t="inlineStr">
        <is>
          <t>Breakout</t>
        </is>
      </c>
      <c r="D33" s="29" t="inlineStr">
        <is>
          <t>Medium</t>
        </is>
      </c>
      <c r="E33" s="26" t="inlineStr">
        <is>
          <t>Emerging Watch</t>
        </is>
      </c>
      <c r="F33" s="41" t="n">
        <v>68.09999999999999</v>
      </c>
      <c r="G33" s="49" t="inlineStr">
        <is>
          <t>Strengths: healthy margins, minimal dilution. Risks: low insider ownership, modest growth.</t>
        </is>
      </c>
      <c r="H33" s="62" t="inlineStr">
        <is>
          <t>✓ healthy margins
✓ minimal dilution</t>
        </is>
      </c>
      <c r="I33" s="63" t="inlineStr">
        <is>
          <t>⚠ low insider ownership
⚠ modest growth</t>
        </is>
      </c>
    </row>
    <row r="34" ht="40" customHeight="1">
      <c r="A34" s="19" t="inlineStr">
        <is>
          <t>RVTY</t>
        </is>
      </c>
      <c r="B34" s="20" t="inlineStr">
        <is>
          <t>Revvity, Inc.</t>
        </is>
      </c>
      <c r="C34" s="45" t="inlineStr">
        <is>
          <t>Breakout</t>
        </is>
      </c>
      <c r="D34" s="29" t="inlineStr">
        <is>
          <t>Medium</t>
        </is>
      </c>
      <c r="E34" s="20" t="inlineStr">
        <is>
          <t>Emerging Watch</t>
        </is>
      </c>
      <c r="F34" s="36" t="n">
        <v>68</v>
      </c>
      <c r="G34" s="46" t="inlineStr">
        <is>
          <t>Strengths: healthy margins, minimal dilution. Risks: modest growth.</t>
        </is>
      </c>
      <c r="H34" s="62" t="inlineStr">
        <is>
          <t>✓ healthy margins
✓ minimal dilution</t>
        </is>
      </c>
      <c r="I34" s="63" t="inlineStr">
        <is>
          <t>⚠ modest growth</t>
        </is>
      </c>
    </row>
    <row r="35" ht="40" customHeight="1">
      <c r="A35" s="25" t="inlineStr">
        <is>
          <t>NWSA</t>
        </is>
      </c>
      <c r="B35" s="26" t="inlineStr">
        <is>
          <t>News Corporation</t>
        </is>
      </c>
      <c r="C35" s="48" t="inlineStr">
        <is>
          <t>Breakout</t>
        </is>
      </c>
      <c r="D35" s="29" t="inlineStr">
        <is>
          <t>Medium</t>
        </is>
      </c>
      <c r="E35" s="26" t="inlineStr">
        <is>
          <t>Emerging Watch</t>
        </is>
      </c>
      <c r="F35" s="41" t="n">
        <v>67.59999999999999</v>
      </c>
      <c r="G35" s="49" t="inlineStr">
        <is>
          <t>Strengths: high-margin business, minimal dilution. Risks: low insider ownership.</t>
        </is>
      </c>
      <c r="H35" s="62" t="inlineStr">
        <is>
          <t>✓ high-margin business
✓ minimal dilution</t>
        </is>
      </c>
      <c r="I35" s="63" t="inlineStr">
        <is>
          <t>⚠ low insider ownership</t>
        </is>
      </c>
    </row>
    <row r="38" ht="22" customHeight="1">
      <c r="A38" s="16" t="inlineStr">
        <is>
          <t>CONVICTION DISTRIBUTION BY TIER</t>
        </is>
      </c>
      <c r="B38" s="17" t="n"/>
      <c r="C38" s="17" t="n"/>
      <c r="D38" s="17" t="n"/>
      <c r="E38" s="17" t="n"/>
      <c r="F38" s="17" t="n"/>
      <c r="G38" s="17" t="n"/>
      <c r="H38" s="17" t="n"/>
      <c r="I38" s="17" t="n"/>
    </row>
    <row r="39">
      <c r="A39" t="inlineStr">
        <is>
          <t>Tier</t>
        </is>
      </c>
      <c r="B39" t="inlineStr">
        <is>
          <t>High</t>
        </is>
      </c>
      <c r="C39" t="inlineStr">
        <is>
          <t>Medium-High</t>
        </is>
      </c>
      <c r="D39" t="inlineStr">
        <is>
          <t>Medium</t>
        </is>
      </c>
      <c r="E39" t="inlineStr">
        <is>
          <t>Speculative</t>
        </is>
      </c>
    </row>
    <row r="40">
      <c r="A40" t="inlineStr">
        <is>
          <t>Nano Cap</t>
        </is>
      </c>
      <c r="B40" t="n">
        <v>1</v>
      </c>
      <c r="C40" t="n">
        <v>7</v>
      </c>
      <c r="D40" t="n">
        <v>2</v>
      </c>
      <c r="E40" t="n">
        <v>0</v>
      </c>
    </row>
    <row r="41">
      <c r="A41" t="inlineStr">
        <is>
          <t>Small Cap</t>
        </is>
      </c>
      <c r="B41" t="n">
        <v>2</v>
      </c>
      <c r="C41" t="n">
        <v>4</v>
      </c>
      <c r="D41" t="n">
        <v>4</v>
      </c>
      <c r="E41" t="n">
        <v>0</v>
      </c>
    </row>
    <row r="42">
      <c r="A42" t="inlineStr">
        <is>
          <t>Breakout</t>
        </is>
      </c>
      <c r="B42" t="n">
        <v>0</v>
      </c>
      <c r="C42" t="n">
        <v>3</v>
      </c>
      <c r="D42" t="n">
        <v>7</v>
      </c>
      <c r="E42" t="n">
        <v>0</v>
      </c>
    </row>
  </sheetData>
  <mergeCells count="3">
    <mergeCell ref="A1:I1"/>
    <mergeCell ref="A38:I38"/>
    <mergeCell ref="A2:I2"/>
  </mergeCells>
  <dataValidations count="3">
    <dataValidation sqref="B4" showDropDown="0" showInputMessage="0" showErrorMessage="0" allowBlank="1" errorTitle="Invalid Selection" error="Please select a valid conviction level" type="list">
      <formula1>"All,High,Medium-High,Medium,Speculative"</formula1>
    </dataValidation>
    <dataValidation sqref="C4" showDropDown="0" showInputMessage="0" showErrorMessage="0" allowBlank="1" type="list">
      <formula1>"All,Nano,Small,Breakout"</formula1>
    </dataValidation>
    <dataValidation sqref="D4" showDropDown="0" showInputMessage="0" showErrorMessage="0" allowBlank="1" type="list">
      <formula1>"All,High-Growth Quality,Fingerprint Match,Insider Conviction,Momentum Breakout,Growth Inflection,Emerging Watch"</formula1>
    </dataValidation>
  </dataValidations>
  <pageMargins left="0.75" right="0.75" top="1" bottom="1" header="0.5" footer="0.5"/>
  <pageSetup orientation="landscape" fitToWidth="1"/>
  <drawing xmlns:r="http://schemas.openxmlformats.org/officeDocument/2006/relationships" r:id="rId1"/>
</worksheet>
</file>

<file path=xl/worksheets/sheet9.xml><?xml version="1.0" encoding="utf-8"?>
<worksheet xmlns="http://schemas.openxmlformats.org/spreadsheetml/2006/main">
  <sheetPr>
    <tabColor rgb="001A6B3C"/>
    <outlinePr summaryBelow="1" summaryRight="1"/>
    <pageSetUpPr fitToPage="1"/>
  </sheetPr>
  <dimension ref="A1:N59"/>
  <sheetViews>
    <sheetView showGridLines="0" workbookViewId="0">
      <pane xSplit="2" ySplit="4" topLeftCell="C5" activePane="bottomRight" state="frozen"/>
      <selection pane="topRight"/>
      <selection pane="bottomLeft"/>
      <selection pane="bottomRight" activeCell="A1" sqref="A1"/>
    </sheetView>
  </sheetViews>
  <sheetFormatPr baseColWidth="8" defaultRowHeight="15"/>
  <cols>
    <col width="3" customWidth="1" min="1" max="1"/>
    <col width="9" customWidth="1" min="2" max="2"/>
    <col width="24" customWidth="1" min="3" max="3"/>
    <col width="12" customWidth="1" min="4" max="4"/>
    <col width="14" customWidth="1" min="5" max="5"/>
    <col width="14" customWidth="1" min="6" max="6"/>
    <col width="14" customWidth="1" min="7" max="7"/>
    <col width="14" customWidth="1" min="8" max="8"/>
    <col width="14" customWidth="1" min="9" max="9"/>
    <col width="14" customWidth="1" min="10" max="10"/>
    <col width="3" customWidth="1" min="11" max="11"/>
    <col width="14" customWidth="1" min="12" max="12"/>
    <col width="14" customWidth="1" min="13" max="13"/>
    <col width="14" customWidth="1" min="14" max="14"/>
  </cols>
  <sheetData>
    <row r="1" ht="28" customHeight="1">
      <c r="A1" s="31" t="inlineStr">
        <is>
          <t>MODEL PORTFOLIO CONSTRUCTION &amp; RISK METRICS</t>
        </is>
      </c>
      <c r="B1" s="11" t="n"/>
      <c r="C1" s="11" t="n"/>
      <c r="D1" s="11" t="n"/>
      <c r="E1" s="11" t="n"/>
      <c r="F1" s="11" t="n"/>
      <c r="G1" s="11" t="n"/>
      <c r="H1" s="11" t="n"/>
      <c r="I1" s="11" t="n"/>
      <c r="J1" s="11" t="n"/>
      <c r="K1" s="11" t="n"/>
      <c r="L1" s="11" t="n"/>
      <c r="M1" s="11" t="n"/>
      <c r="N1" s="11" t="n"/>
    </row>
    <row r="2" ht="22" customHeight="1">
      <c r="A2" s="32" t="inlineStr">
        <is>
          <t>Position sizing, risk categorization, and portfolio analytics  |  April 29, 2026</t>
        </is>
      </c>
      <c r="B2" s="12" t="n"/>
      <c r="C2" s="12" t="n"/>
      <c r="D2" s="12" t="n"/>
      <c r="E2" s="12" t="n"/>
      <c r="F2" s="12" t="n"/>
      <c r="G2" s="12" t="n"/>
      <c r="H2" s="12" t="n"/>
      <c r="I2" s="12" t="n"/>
      <c r="J2" s="12" t="n"/>
      <c r="K2" s="12" t="n"/>
      <c r="L2" s="12" t="n"/>
      <c r="M2" s="12" t="n"/>
      <c r="N2" s="12" t="n"/>
    </row>
    <row r="4" ht="22" customHeight="1">
      <c r="B4" s="16" t="inlineStr">
        <is>
          <t>PORTFOLIO PARAMETERS</t>
        </is>
      </c>
      <c r="C4" s="17" t="n"/>
      <c r="D4" s="17" t="n"/>
      <c r="E4" s="17" t="n"/>
      <c r="F4" s="17" t="n"/>
      <c r="G4" s="17" t="n"/>
      <c r="H4" s="17" t="n"/>
      <c r="I4" s="17" t="n"/>
      <c r="J4" s="17" t="n"/>
    </row>
    <row r="5" ht="18" customHeight="1">
      <c r="B5" s="64" t="inlineStr">
        <is>
          <t>Portfolio Size ($)</t>
        </is>
      </c>
      <c r="C5" s="65" t="n">
        <v>100000</v>
      </c>
      <c r="D5" s="66" t="inlineStr">
        <is>
          <t>← Input</t>
        </is>
      </c>
    </row>
    <row r="6" ht="18" customHeight="1">
      <c r="B6" s="64" t="inlineStr">
        <is>
          <t>Max Single Position %</t>
        </is>
      </c>
      <c r="C6" s="67" t="n">
        <v>0.08</v>
      </c>
      <c r="D6" s="66" t="inlineStr">
        <is>
          <t>← Input</t>
        </is>
      </c>
    </row>
    <row r="7" ht="18" customHeight="1">
      <c r="B7" s="64" t="inlineStr">
        <is>
          <t>Nano Cap Risk Multiplier</t>
        </is>
      </c>
      <c r="C7" s="68" t="n">
        <v>0.6</v>
      </c>
      <c r="D7" s="66" t="inlineStr">
        <is>
          <t>← Input</t>
        </is>
      </c>
    </row>
    <row r="8" ht="18" customHeight="1">
      <c r="B8" s="64" t="inlineStr">
        <is>
          <t>Breakout Cap Multiplier</t>
        </is>
      </c>
      <c r="C8" s="68" t="n">
        <v>1.2</v>
      </c>
      <c r="D8" s="66" t="inlineStr">
        <is>
          <t>← Input</t>
        </is>
      </c>
    </row>
    <row r="9" ht="18" customHeight="1">
      <c r="B9" s="64" t="inlineStr">
        <is>
          <t>Cash Reserve Target %</t>
        </is>
      </c>
      <c r="C9" s="67" t="n">
        <v>0.1</v>
      </c>
      <c r="D9" s="66" t="inlineStr">
        <is>
          <t>← Input</t>
        </is>
      </c>
    </row>
    <row r="10" ht="8" customHeight="1"/>
    <row r="11" ht="22" customHeight="1">
      <c r="B11" s="16" t="inlineStr">
        <is>
          <t>POSITION SIZING</t>
        </is>
      </c>
      <c r="C11" s="17" t="n"/>
      <c r="D11" s="17" t="n"/>
      <c r="E11" s="17" t="n"/>
      <c r="F11" s="17" t="n"/>
      <c r="G11" s="17" t="n"/>
      <c r="H11" s="17" t="n"/>
      <c r="I11" s="17" t="n"/>
      <c r="J11" s="17" t="n"/>
    </row>
    <row r="12" ht="18" customHeight="1">
      <c r="B12" s="18" t="inlineStr">
        <is>
          <t>Ticker</t>
        </is>
      </c>
      <c r="C12" s="18" t="inlineStr">
        <is>
          <t>Name</t>
        </is>
      </c>
      <c r="D12" s="18" t="inlineStr">
        <is>
          <t>Tier</t>
        </is>
      </c>
      <c r="E12" s="18" t="inlineStr">
        <is>
          <t>Conviction</t>
        </is>
      </c>
      <c r="F12" s="18" t="inlineStr">
        <is>
          <t>Base Wt %</t>
        </is>
      </c>
      <c r="G12" s="18" t="inlineStr">
        <is>
          <t>Risk-Adj Wt %</t>
        </is>
      </c>
      <c r="H12" s="18" t="inlineStr">
        <is>
          <t>Dollar Amt</t>
        </is>
      </c>
      <c r="I12" s="18" t="inlineStr">
        <is>
          <t>Share Ct</t>
        </is>
      </c>
      <c r="J12" s="18" t="inlineStr">
        <is>
          <t>Notes</t>
        </is>
      </c>
    </row>
    <row r="13" ht="16" customHeight="1">
      <c r="B13" s="19" t="inlineStr">
        <is>
          <t>SODI</t>
        </is>
      </c>
      <c r="C13" s="20" t="inlineStr">
        <is>
          <t>Solitron Devices, Inc.</t>
        </is>
      </c>
      <c r="D13" s="45" t="inlineStr">
        <is>
          <t>Nano Cap</t>
        </is>
      </c>
      <c r="E13" s="23" t="inlineStr">
        <is>
          <t>High</t>
        </is>
      </c>
      <c r="F13" s="35" t="n">
        <v>0.08</v>
      </c>
      <c r="G13" s="69" t="n">
        <v>0.048</v>
      </c>
      <c r="H13" s="70" t="n">
        <v>4800</v>
      </c>
      <c r="I13" s="71" t="n">
        <v>181</v>
      </c>
      <c r="J13" s="72" t="inlineStr">
        <is>
          <t>High risk</t>
        </is>
      </c>
    </row>
    <row r="14" ht="16" customHeight="1">
      <c r="B14" s="25" t="inlineStr">
        <is>
          <t>GOGO</t>
        </is>
      </c>
      <c r="C14" s="26" t="inlineStr">
        <is>
          <t>Gogo Inc.</t>
        </is>
      </c>
      <c r="D14" s="48" t="inlineStr">
        <is>
          <t>Small Cap</t>
        </is>
      </c>
      <c r="E14" s="23" t="inlineStr">
        <is>
          <t>High</t>
        </is>
      </c>
      <c r="F14" s="40" t="n">
        <v>0.08</v>
      </c>
      <c r="G14" s="73" t="n">
        <v>0.08</v>
      </c>
      <c r="H14" s="74" t="n">
        <v>8000</v>
      </c>
      <c r="I14" s="75" t="n">
        <v>2022</v>
      </c>
      <c r="J14" s="76" t="inlineStr"/>
    </row>
    <row r="15" ht="16" customHeight="1">
      <c r="B15" s="19" t="inlineStr">
        <is>
          <t>CLFD</t>
        </is>
      </c>
      <c r="C15" s="20" t="inlineStr">
        <is>
          <t>Clearfield, Inc.</t>
        </is>
      </c>
      <c r="D15" s="45" t="inlineStr">
        <is>
          <t>Small Cap</t>
        </is>
      </c>
      <c r="E15" s="23" t="inlineStr">
        <is>
          <t>High</t>
        </is>
      </c>
      <c r="F15" s="35" t="n">
        <v>0.08</v>
      </c>
      <c r="G15" s="69" t="n">
        <v>0.08</v>
      </c>
      <c r="H15" s="70" t="n">
        <v>8000</v>
      </c>
      <c r="I15" s="71" t="n">
        <v>285</v>
      </c>
      <c r="J15" s="72" t="inlineStr">
        <is>
          <t>Medium-High risk</t>
        </is>
      </c>
    </row>
    <row r="16" ht="16" customHeight="1">
      <c r="B16" s="25" t="inlineStr">
        <is>
          <t>CODA</t>
        </is>
      </c>
      <c r="C16" s="26" t="inlineStr">
        <is>
          <t>Coda Octopus Group, Inc.</t>
        </is>
      </c>
      <c r="D16" s="48" t="inlineStr">
        <is>
          <t>Nano Cap</t>
        </is>
      </c>
      <c r="E16" s="24" t="inlineStr">
        <is>
          <t>Medium-High</t>
        </is>
      </c>
      <c r="F16" s="40" t="n">
        <v>0.05</v>
      </c>
      <c r="G16" s="73" t="n">
        <v>0.03</v>
      </c>
      <c r="H16" s="74" t="n">
        <v>3000</v>
      </c>
      <c r="I16" s="75" t="n">
        <v>275</v>
      </c>
      <c r="J16" s="76" t="inlineStr">
        <is>
          <t>Medium-High risk</t>
        </is>
      </c>
    </row>
    <row r="17" ht="16" customHeight="1">
      <c r="B17" s="19" t="inlineStr">
        <is>
          <t>XMTR</t>
        </is>
      </c>
      <c r="C17" s="20" t="inlineStr">
        <is>
          <t>Xometry, Inc.</t>
        </is>
      </c>
      <c r="D17" s="45" t="inlineStr">
        <is>
          <t>Breakout</t>
        </is>
      </c>
      <c r="E17" s="24" t="inlineStr">
        <is>
          <t>Medium-High</t>
        </is>
      </c>
      <c r="F17" s="35" t="n">
        <v>0.05</v>
      </c>
      <c r="G17" s="69" t="n">
        <v>0.06</v>
      </c>
      <c r="H17" s="70" t="n">
        <v>6000</v>
      </c>
      <c r="I17" s="71" t="n">
        <v>132</v>
      </c>
      <c r="J17" s="72" t="inlineStr">
        <is>
          <t>Medium-Low risk</t>
        </is>
      </c>
    </row>
    <row r="18" ht="16" customHeight="1">
      <c r="B18" s="25" t="inlineStr">
        <is>
          <t>SCTQ</t>
        </is>
      </c>
      <c r="C18" s="26" t="inlineStr">
        <is>
          <t>Spectra Systems Corporation</t>
        </is>
      </c>
      <c r="D18" s="48" t="inlineStr">
        <is>
          <t>Nano Cap</t>
        </is>
      </c>
      <c r="E18" s="24" t="inlineStr">
        <is>
          <t>Medium-High</t>
        </is>
      </c>
      <c r="F18" s="40" t="n">
        <v>0.05</v>
      </c>
      <c r="G18" s="73" t="n">
        <v>0.03</v>
      </c>
      <c r="H18" s="74" t="n">
        <v>3000</v>
      </c>
      <c r="I18" s="75" t="n">
        <v>1408</v>
      </c>
      <c r="J18" s="76" t="inlineStr">
        <is>
          <t>Medium-High risk</t>
        </is>
      </c>
    </row>
    <row r="19" ht="16" customHeight="1">
      <c r="B19" s="19" t="inlineStr">
        <is>
          <t>RUN</t>
        </is>
      </c>
      <c r="C19" s="20" t="inlineStr">
        <is>
          <t>Sunrun Inc.</t>
        </is>
      </c>
      <c r="D19" s="45" t="inlineStr">
        <is>
          <t>Breakout</t>
        </is>
      </c>
      <c r="E19" s="24" t="inlineStr">
        <is>
          <t>Medium-High</t>
        </is>
      </c>
      <c r="F19" s="35" t="n">
        <v>0.05</v>
      </c>
      <c r="G19" s="69" t="n">
        <v>0.06</v>
      </c>
      <c r="H19" s="70" t="n">
        <v>6000</v>
      </c>
      <c r="I19" s="71" t="n">
        <v>508</v>
      </c>
      <c r="J19" s="72" t="inlineStr">
        <is>
          <t>Medium-Low risk</t>
        </is>
      </c>
    </row>
    <row r="20" ht="16" customHeight="1">
      <c r="B20" s="25" t="inlineStr">
        <is>
          <t>OPXS</t>
        </is>
      </c>
      <c r="C20" s="26" t="inlineStr">
        <is>
          <t>Optex Systems Holdings, Inc</t>
        </is>
      </c>
      <c r="D20" s="48" t="inlineStr">
        <is>
          <t>Nano Cap</t>
        </is>
      </c>
      <c r="E20" s="24" t="inlineStr">
        <is>
          <t>Medium-High</t>
        </is>
      </c>
      <c r="F20" s="40" t="n">
        <v>0.05</v>
      </c>
      <c r="G20" s="73" t="n">
        <v>0.03</v>
      </c>
      <c r="H20" s="74" t="n">
        <v>3000</v>
      </c>
      <c r="I20" s="75" t="n">
        <v>295</v>
      </c>
      <c r="J20" s="76" t="inlineStr">
        <is>
          <t>High risk</t>
        </is>
      </c>
    </row>
    <row r="21" ht="16" customHeight="1">
      <c r="B21" s="19" t="inlineStr">
        <is>
          <t>KVHI</t>
        </is>
      </c>
      <c r="C21" s="20" t="inlineStr">
        <is>
          <t>KVH Industries, Inc.</t>
        </is>
      </c>
      <c r="D21" s="45" t="inlineStr">
        <is>
          <t>Nano Cap</t>
        </is>
      </c>
      <c r="E21" s="24" t="inlineStr">
        <is>
          <t>Medium-High</t>
        </is>
      </c>
      <c r="F21" s="35" t="n">
        <v>0.05</v>
      </c>
      <c r="G21" s="69" t="n">
        <v>0.03</v>
      </c>
      <c r="H21" s="70" t="n">
        <v>3000</v>
      </c>
      <c r="I21" s="71" t="n">
        <v>332</v>
      </c>
      <c r="J21" s="72" t="inlineStr">
        <is>
          <t>Medium-High risk</t>
        </is>
      </c>
    </row>
    <row r="22" ht="16" customHeight="1">
      <c r="B22" s="25" t="inlineStr">
        <is>
          <t>SSTI</t>
        </is>
      </c>
      <c r="C22" s="26" t="inlineStr">
        <is>
          <t>SoundThinking, Inc.</t>
        </is>
      </c>
      <c r="D22" s="48" t="inlineStr">
        <is>
          <t>Nano Cap</t>
        </is>
      </c>
      <c r="E22" s="24" t="inlineStr">
        <is>
          <t>Medium-High</t>
        </is>
      </c>
      <c r="F22" s="40" t="n">
        <v>0.05</v>
      </c>
      <c r="G22" s="73" t="n">
        <v>0.03</v>
      </c>
      <c r="H22" s="74" t="n">
        <v>3000</v>
      </c>
      <c r="I22" s="75" t="n">
        <v>440</v>
      </c>
      <c r="J22" s="76" t="inlineStr">
        <is>
          <t>High risk</t>
        </is>
      </c>
    </row>
    <row r="23" ht="16" customHeight="1">
      <c r="B23" s="19" t="inlineStr">
        <is>
          <t>SPRU</t>
        </is>
      </c>
      <c r="C23" s="20" t="inlineStr">
        <is>
          <t>Spruce Power Holding Corporation</t>
        </is>
      </c>
      <c r="D23" s="45" t="inlineStr">
        <is>
          <t>Nano Cap</t>
        </is>
      </c>
      <c r="E23" s="24" t="inlineStr">
        <is>
          <t>Medium-High</t>
        </is>
      </c>
      <c r="F23" s="35" t="n">
        <v>0.05</v>
      </c>
      <c r="G23" s="69" t="n">
        <v>0.03</v>
      </c>
      <c r="H23" s="70" t="n">
        <v>3000</v>
      </c>
      <c r="I23" s="71" t="n">
        <v>904</v>
      </c>
      <c r="J23" s="72" t="inlineStr">
        <is>
          <t>High risk</t>
        </is>
      </c>
    </row>
    <row r="24" ht="16" customHeight="1">
      <c r="B24" s="25" t="inlineStr">
        <is>
          <t>CTLP</t>
        </is>
      </c>
      <c r="C24" s="26" t="inlineStr">
        <is>
          <t>Cantaloupe, Inc.</t>
        </is>
      </c>
      <c r="D24" s="48" t="inlineStr">
        <is>
          <t>Small Cap</t>
        </is>
      </c>
      <c r="E24" s="24" t="inlineStr">
        <is>
          <t>Medium-High</t>
        </is>
      </c>
      <c r="F24" s="40" t="n">
        <v>0.05</v>
      </c>
      <c r="G24" s="73" t="n">
        <v>0.05</v>
      </c>
      <c r="H24" s="74" t="n">
        <v>5000</v>
      </c>
      <c r="I24" s="75" t="n">
        <v>461</v>
      </c>
      <c r="J24" s="76" t="inlineStr">
        <is>
          <t>Medium-High risk</t>
        </is>
      </c>
    </row>
    <row r="25" ht="16" customHeight="1">
      <c r="B25" s="19" t="inlineStr">
        <is>
          <t>CMCO</t>
        </is>
      </c>
      <c r="C25" s="20" t="inlineStr">
        <is>
          <t>Columbus McKinnon Corporation</t>
        </is>
      </c>
      <c r="D25" s="45" t="inlineStr">
        <is>
          <t>Small Cap</t>
        </is>
      </c>
      <c r="E25" s="24" t="inlineStr">
        <is>
          <t>Medium-High</t>
        </is>
      </c>
      <c r="F25" s="35" t="n">
        <v>0.05</v>
      </c>
      <c r="G25" s="69" t="n">
        <v>0.05</v>
      </c>
      <c r="H25" s="70" t="n">
        <v>5000</v>
      </c>
      <c r="I25" s="71" t="n">
        <v>338</v>
      </c>
      <c r="J25" s="72" t="inlineStr">
        <is>
          <t>Medium-High risk</t>
        </is>
      </c>
    </row>
    <row r="26" ht="16" customHeight="1">
      <c r="B26" s="25" t="inlineStr">
        <is>
          <t>CRNC</t>
        </is>
      </c>
      <c r="C26" s="26" t="inlineStr">
        <is>
          <t>Cerence Inc.</t>
        </is>
      </c>
      <c r="D26" s="48" t="inlineStr">
        <is>
          <t>Small Cap</t>
        </is>
      </c>
      <c r="E26" s="24" t="inlineStr">
        <is>
          <t>Medium-High</t>
        </is>
      </c>
      <c r="F26" s="40" t="n">
        <v>0.05</v>
      </c>
      <c r="G26" s="73" t="n">
        <v>0.05</v>
      </c>
      <c r="H26" s="74" t="n">
        <v>5000</v>
      </c>
      <c r="I26" s="75" t="n">
        <v>583</v>
      </c>
      <c r="J26" s="76" t="inlineStr">
        <is>
          <t>Medium-High risk</t>
        </is>
      </c>
    </row>
    <row r="27" ht="16" customHeight="1">
      <c r="B27" s="19" t="inlineStr">
        <is>
          <t>SHLS</t>
        </is>
      </c>
      <c r="C27" s="20" t="inlineStr">
        <is>
          <t>Shoals Technologies Group, Inc.</t>
        </is>
      </c>
      <c r="D27" s="45" t="inlineStr">
        <is>
          <t>Small Cap</t>
        </is>
      </c>
      <c r="E27" s="24" t="inlineStr">
        <is>
          <t>Medium-High</t>
        </is>
      </c>
      <c r="F27" s="35" t="n">
        <v>0.05</v>
      </c>
      <c r="G27" s="69" t="n">
        <v>0.05</v>
      </c>
      <c r="H27" s="70" t="n">
        <v>5000</v>
      </c>
      <c r="I27" s="71" t="n">
        <v>687</v>
      </c>
      <c r="J27" s="72" t="inlineStr">
        <is>
          <t>Medium-High risk</t>
        </is>
      </c>
    </row>
    <row r="28" ht="16" customHeight="1">
      <c r="B28" s="25" t="inlineStr">
        <is>
          <t>FELE</t>
        </is>
      </c>
      <c r="C28" s="26" t="inlineStr">
        <is>
          <t>Franklin Electric Co., Inc.</t>
        </is>
      </c>
      <c r="D28" s="48" t="inlineStr">
        <is>
          <t>Breakout</t>
        </is>
      </c>
      <c r="E28" s="24" t="inlineStr">
        <is>
          <t>Medium-High</t>
        </is>
      </c>
      <c r="F28" s="40" t="n">
        <v>0.05</v>
      </c>
      <c r="G28" s="73" t="n">
        <v>0.06</v>
      </c>
      <c r="H28" s="74" t="n">
        <v>6000</v>
      </c>
      <c r="I28" s="75" t="n">
        <v>58</v>
      </c>
      <c r="J28" s="76" t="inlineStr">
        <is>
          <t>Medium-Low risk</t>
        </is>
      </c>
    </row>
    <row r="29" ht="16" customHeight="1">
      <c r="B29" s="19" t="inlineStr">
        <is>
          <t>TAYD</t>
        </is>
      </c>
      <c r="C29" s="20" t="inlineStr">
        <is>
          <t>Taylor Devices, Inc.</t>
        </is>
      </c>
      <c r="D29" s="45" t="inlineStr">
        <is>
          <t>Nano Cap</t>
        </is>
      </c>
      <c r="E29" s="24" t="inlineStr">
        <is>
          <t>Medium-High</t>
        </is>
      </c>
      <c r="F29" s="35" t="n">
        <v>0.05</v>
      </c>
      <c r="G29" s="69" t="n">
        <v>0.03</v>
      </c>
      <c r="H29" s="70" t="n">
        <v>3000</v>
      </c>
      <c r="I29" s="71" t="n">
        <v>55</v>
      </c>
      <c r="J29" s="72" t="inlineStr">
        <is>
          <t>Medium-High risk</t>
        </is>
      </c>
    </row>
    <row r="30" ht="16" customHeight="1">
      <c r="B30" s="25" t="inlineStr">
        <is>
          <t>ADTN</t>
        </is>
      </c>
      <c r="C30" s="26" t="inlineStr">
        <is>
          <t>ADTRAN Holdings, Inc.</t>
        </is>
      </c>
      <c r="D30" s="48" t="inlineStr">
        <is>
          <t>Small Cap</t>
        </is>
      </c>
      <c r="E30" s="29" t="inlineStr">
        <is>
          <t>Medium</t>
        </is>
      </c>
      <c r="F30" s="40" t="n">
        <v>0.03</v>
      </c>
      <c r="G30" s="73" t="n">
        <v>0.03</v>
      </c>
      <c r="H30" s="74" t="n">
        <v>3000</v>
      </c>
      <c r="I30" s="75" t="n">
        <v>176</v>
      </c>
      <c r="J30" s="76" t="inlineStr"/>
    </row>
    <row r="31" ht="16" customHeight="1">
      <c r="B31" s="19" t="inlineStr">
        <is>
          <t>BYRN</t>
        </is>
      </c>
      <c r="C31" s="20" t="inlineStr">
        <is>
          <t>Byrna Technologies Inc.</t>
        </is>
      </c>
      <c r="D31" s="45" t="inlineStr">
        <is>
          <t>Nano Cap</t>
        </is>
      </c>
      <c r="E31" s="29" t="inlineStr">
        <is>
          <t>Medium</t>
        </is>
      </c>
      <c r="F31" s="35" t="n">
        <v>0.03</v>
      </c>
      <c r="G31" s="69" t="n">
        <v>0.018</v>
      </c>
      <c r="H31" s="70" t="n">
        <v>1800</v>
      </c>
      <c r="I31" s="71" t="n">
        <v>313</v>
      </c>
      <c r="J31" s="72" t="inlineStr">
        <is>
          <t>Medium-High risk</t>
        </is>
      </c>
    </row>
    <row r="32" ht="16" customHeight="1">
      <c r="B32" s="25" t="inlineStr">
        <is>
          <t>ULBI</t>
        </is>
      </c>
      <c r="C32" s="26" t="inlineStr">
        <is>
          <t>Ultralife Corporation</t>
        </is>
      </c>
      <c r="D32" s="48" t="inlineStr">
        <is>
          <t>Nano Cap</t>
        </is>
      </c>
      <c r="E32" s="29" t="inlineStr">
        <is>
          <t>Medium</t>
        </is>
      </c>
      <c r="F32" s="40" t="n">
        <v>0.03</v>
      </c>
      <c r="G32" s="73" t="n">
        <v>0.018</v>
      </c>
      <c r="H32" s="74" t="n">
        <v>1800</v>
      </c>
      <c r="I32" s="75" t="n">
        <v>262</v>
      </c>
      <c r="J32" s="76" t="inlineStr">
        <is>
          <t>High risk</t>
        </is>
      </c>
    </row>
    <row r="33" ht="16" customHeight="1">
      <c r="B33" s="19" t="inlineStr">
        <is>
          <t>QRVO</t>
        </is>
      </c>
      <c r="C33" s="20" t="inlineStr">
        <is>
          <t>Qorvo, Inc.</t>
        </is>
      </c>
      <c r="D33" s="45" t="inlineStr">
        <is>
          <t>Breakout</t>
        </is>
      </c>
      <c r="E33" s="29" t="inlineStr">
        <is>
          <t>Medium</t>
        </is>
      </c>
      <c r="F33" s="35" t="n">
        <v>0.03</v>
      </c>
      <c r="G33" s="69" t="n">
        <v>0.036</v>
      </c>
      <c r="H33" s="70" t="n">
        <v>3600</v>
      </c>
      <c r="I33" s="71" t="n">
        <v>41</v>
      </c>
      <c r="J33" s="72" t="inlineStr">
        <is>
          <t>Medium-Low risk</t>
        </is>
      </c>
    </row>
    <row r="34" ht="16" customHeight="1">
      <c r="B34" s="25" t="inlineStr">
        <is>
          <t>ESI</t>
        </is>
      </c>
      <c r="C34" s="26" t="inlineStr">
        <is>
          <t>Element Solutions Inc</t>
        </is>
      </c>
      <c r="D34" s="48" t="inlineStr">
        <is>
          <t>Breakout</t>
        </is>
      </c>
      <c r="E34" s="29" t="inlineStr">
        <is>
          <t>Medium</t>
        </is>
      </c>
      <c r="F34" s="40" t="n">
        <v>0.03</v>
      </c>
      <c r="G34" s="73" t="n">
        <v>0.036</v>
      </c>
      <c r="H34" s="74" t="n">
        <v>3600</v>
      </c>
      <c r="I34" s="75" t="n">
        <v>84</v>
      </c>
      <c r="J34" s="76" t="inlineStr">
        <is>
          <t>Medium-Low risk</t>
        </is>
      </c>
    </row>
    <row r="35" ht="16" customHeight="1">
      <c r="B35" s="19" t="inlineStr">
        <is>
          <t>EVLV</t>
        </is>
      </c>
      <c r="C35" s="20" t="inlineStr">
        <is>
          <t>Evolv Technologies Holdings, Inc.</t>
        </is>
      </c>
      <c r="D35" s="45" t="inlineStr">
        <is>
          <t>Small Cap</t>
        </is>
      </c>
      <c r="E35" s="29" t="inlineStr">
        <is>
          <t>Medium</t>
        </is>
      </c>
      <c r="F35" s="35" t="n">
        <v>0.03</v>
      </c>
      <c r="G35" s="69" t="n">
        <v>0.03</v>
      </c>
      <c r="H35" s="70" t="n">
        <v>3000</v>
      </c>
      <c r="I35" s="71" t="n">
        <v>431</v>
      </c>
      <c r="J35" s="72" t="inlineStr">
        <is>
          <t>Medium-High risk</t>
        </is>
      </c>
    </row>
    <row r="36" ht="16" customHeight="1">
      <c r="B36" s="25" t="inlineStr">
        <is>
          <t>NVEC</t>
        </is>
      </c>
      <c r="C36" s="26" t="inlineStr">
        <is>
          <t>NVE Corporation</t>
        </is>
      </c>
      <c r="D36" s="48" t="inlineStr">
        <is>
          <t>Small Cap</t>
        </is>
      </c>
      <c r="E36" s="29" t="inlineStr">
        <is>
          <t>Medium</t>
        </is>
      </c>
      <c r="F36" s="40" t="n">
        <v>0.03</v>
      </c>
      <c r="G36" s="73" t="n">
        <v>0.03</v>
      </c>
      <c r="H36" s="74" t="n">
        <v>3000</v>
      </c>
      <c r="I36" s="75" t="n">
        <v>39</v>
      </c>
      <c r="J36" s="76" t="inlineStr">
        <is>
          <t>Medium-High risk</t>
        </is>
      </c>
    </row>
    <row r="37" ht="16" customHeight="1">
      <c r="B37" s="19" t="inlineStr">
        <is>
          <t>SWBI</t>
        </is>
      </c>
      <c r="C37" s="20" t="inlineStr">
        <is>
          <t>Smith &amp; Wesson Brands, Inc.</t>
        </is>
      </c>
      <c r="D37" s="45" t="inlineStr">
        <is>
          <t>Small Cap</t>
        </is>
      </c>
      <c r="E37" s="29" t="inlineStr">
        <is>
          <t>Medium</t>
        </is>
      </c>
      <c r="F37" s="35" t="n">
        <v>0.03</v>
      </c>
      <c r="G37" s="69" t="n">
        <v>0.03</v>
      </c>
      <c r="H37" s="70" t="n">
        <v>3000</v>
      </c>
      <c r="I37" s="71" t="n">
        <v>193</v>
      </c>
      <c r="J37" s="72" t="inlineStr">
        <is>
          <t>Medium-High risk</t>
        </is>
      </c>
    </row>
    <row r="38" ht="16" customHeight="1">
      <c r="B38" s="25" t="inlineStr">
        <is>
          <t>BETA</t>
        </is>
      </c>
      <c r="C38" s="26" t="inlineStr">
        <is>
          <t>BETA Technologies, Inc.</t>
        </is>
      </c>
      <c r="D38" s="48" t="inlineStr">
        <is>
          <t>Breakout</t>
        </is>
      </c>
      <c r="E38" s="29" t="inlineStr">
        <is>
          <t>Medium</t>
        </is>
      </c>
      <c r="F38" s="40" t="n">
        <v>0.03</v>
      </c>
      <c r="G38" s="73" t="n">
        <v>0.036</v>
      </c>
      <c r="H38" s="74" t="n">
        <v>3600</v>
      </c>
      <c r="I38" s="75" t="n">
        <v>246</v>
      </c>
      <c r="J38" s="76" t="inlineStr">
        <is>
          <t>Medium-Low risk</t>
        </is>
      </c>
    </row>
    <row r="39" ht="16" customHeight="1">
      <c r="B39" s="19" t="inlineStr">
        <is>
          <t>ESAB</t>
        </is>
      </c>
      <c r="C39" s="20" t="inlineStr">
        <is>
          <t>ESAB Corporation</t>
        </is>
      </c>
      <c r="D39" s="45" t="inlineStr">
        <is>
          <t>Breakout</t>
        </is>
      </c>
      <c r="E39" s="29" t="inlineStr">
        <is>
          <t>Medium</t>
        </is>
      </c>
      <c r="F39" s="35" t="n">
        <v>0.03</v>
      </c>
      <c r="G39" s="69" t="n">
        <v>0.036</v>
      </c>
      <c r="H39" s="70" t="n">
        <v>3600</v>
      </c>
      <c r="I39" s="71" t="n">
        <v>37</v>
      </c>
      <c r="J39" s="72" t="inlineStr">
        <is>
          <t>Medium-High risk</t>
        </is>
      </c>
    </row>
    <row r="40" ht="16" customHeight="1">
      <c r="B40" s="25" t="inlineStr">
        <is>
          <t>EXLS</t>
        </is>
      </c>
      <c r="C40" s="26" t="inlineStr">
        <is>
          <t>ExlService Holdings, Inc.</t>
        </is>
      </c>
      <c r="D40" s="48" t="inlineStr">
        <is>
          <t>Breakout</t>
        </is>
      </c>
      <c r="E40" s="29" t="inlineStr">
        <is>
          <t>Medium</t>
        </is>
      </c>
      <c r="F40" s="40" t="n">
        <v>0.03</v>
      </c>
      <c r="G40" s="73" t="n">
        <v>0.036</v>
      </c>
      <c r="H40" s="74" t="n">
        <v>3600</v>
      </c>
      <c r="I40" s="75" t="n">
        <v>116</v>
      </c>
      <c r="J40" s="76" t="inlineStr">
        <is>
          <t>Medium-Low risk</t>
        </is>
      </c>
    </row>
    <row r="41" ht="16" customHeight="1">
      <c r="B41" s="19" t="inlineStr">
        <is>
          <t>RVTY</t>
        </is>
      </c>
      <c r="C41" s="20" t="inlineStr">
        <is>
          <t>Revvity, Inc.</t>
        </is>
      </c>
      <c r="D41" s="45" t="inlineStr">
        <is>
          <t>Breakout</t>
        </is>
      </c>
      <c r="E41" s="29" t="inlineStr">
        <is>
          <t>Medium</t>
        </is>
      </c>
      <c r="F41" s="35" t="n">
        <v>0.03</v>
      </c>
      <c r="G41" s="69" t="n">
        <v>0.036</v>
      </c>
      <c r="H41" s="70" t="n">
        <v>3600</v>
      </c>
      <c r="I41" s="71" t="n">
        <v>43</v>
      </c>
      <c r="J41" s="72" t="inlineStr">
        <is>
          <t>Medium-Low risk</t>
        </is>
      </c>
    </row>
    <row r="42" ht="16" customHeight="1">
      <c r="B42" s="25" t="inlineStr">
        <is>
          <t>NWSA</t>
        </is>
      </c>
      <c r="C42" s="26" t="inlineStr">
        <is>
          <t>News Corporation</t>
        </is>
      </c>
      <c r="D42" s="48" t="inlineStr">
        <is>
          <t>Breakout</t>
        </is>
      </c>
      <c r="E42" s="29" t="inlineStr">
        <is>
          <t>Medium</t>
        </is>
      </c>
      <c r="F42" s="40" t="n">
        <v>0.03</v>
      </c>
      <c r="G42" s="73" t="n">
        <v>0.036</v>
      </c>
      <c r="H42" s="74" t="n">
        <v>3600</v>
      </c>
      <c r="I42" s="75" t="n">
        <v>137</v>
      </c>
      <c r="J42" s="76" t="inlineStr">
        <is>
          <t>Medium-Low risk</t>
        </is>
      </c>
    </row>
    <row r="44">
      <c r="B44" s="77" t="inlineStr">
        <is>
          <t>TOTAL ALLOCATED</t>
        </is>
      </c>
      <c r="C44" s="78" t="n"/>
      <c r="D44" s="78" t="n"/>
      <c r="E44" s="78" t="n"/>
      <c r="F44" s="78" t="n"/>
      <c r="G44" s="79" t="n">
        <v>1.206</v>
      </c>
      <c r="H44" s="80" t="n">
        <v>120600</v>
      </c>
    </row>
    <row r="45">
      <c r="B45" s="77" t="inlineStr">
        <is>
          <t>CASH RESERVE</t>
        </is>
      </c>
      <c r="C45" s="78" t="n"/>
      <c r="D45" s="78" t="n"/>
      <c r="E45" s="78" t="n"/>
      <c r="F45" s="78" t="n"/>
      <c r="G45" s="81" t="n">
        <v>0</v>
      </c>
      <c r="H45" s="82" t="n">
        <v>0</v>
      </c>
    </row>
    <row r="48" ht="22" customHeight="1">
      <c r="B48" s="16" t="inlineStr">
        <is>
          <t>SENSITIVITY TO PORTFOLIO SIZE</t>
        </is>
      </c>
      <c r="C48" s="17" t="n"/>
      <c r="D48" s="17" t="n"/>
      <c r="E48" s="17" t="n"/>
      <c r="F48" s="17" t="n"/>
      <c r="G48" s="17" t="n"/>
      <c r="H48" s="17" t="n"/>
      <c r="I48" s="17" t="n"/>
      <c r="J48" s="17" t="n"/>
    </row>
    <row r="49" ht="18" customHeight="1">
      <c r="B49" s="18" t="inlineStr">
        <is>
          <t>Ticker</t>
        </is>
      </c>
      <c r="C49" s="18" t="inlineStr">
        <is>
          <t>$50K</t>
        </is>
      </c>
      <c r="D49" s="18" t="inlineStr">
        <is>
          <t>$100K</t>
        </is>
      </c>
      <c r="E49" s="18" t="inlineStr">
        <is>
          <t>$250K</t>
        </is>
      </c>
      <c r="F49" s="18" t="inlineStr">
        <is>
          <t>$500K</t>
        </is>
      </c>
      <c r="G49" s="18" t="inlineStr">
        <is>
          <t>$1M</t>
        </is>
      </c>
      <c r="L49" t="inlineStr">
        <is>
          <t>Tier</t>
        </is>
      </c>
      <c r="M49" t="inlineStr">
        <is>
          <t>Allocation %</t>
        </is>
      </c>
    </row>
    <row r="50" ht="16" customHeight="1">
      <c r="B50" s="19" t="inlineStr">
        <is>
          <t>SODI</t>
        </is>
      </c>
      <c r="C50" s="21" t="n">
        <v>2400</v>
      </c>
      <c r="D50" s="83" t="n">
        <v>4800</v>
      </c>
      <c r="E50" s="21" t="n">
        <v>12000</v>
      </c>
      <c r="F50" s="21" t="n">
        <v>24000</v>
      </c>
      <c r="G50" s="21" t="n">
        <v>48000</v>
      </c>
      <c r="L50" t="inlineStr">
        <is>
          <t>Nano Cap</t>
        </is>
      </c>
      <c r="M50" t="n">
        <v>29.4</v>
      </c>
    </row>
    <row r="51" ht="16" customHeight="1">
      <c r="B51" s="25" t="inlineStr">
        <is>
          <t>GOGO</t>
        </is>
      </c>
      <c r="C51" s="27" t="n">
        <v>4000</v>
      </c>
      <c r="D51" s="83" t="n">
        <v>8000</v>
      </c>
      <c r="E51" s="27" t="n">
        <v>20000</v>
      </c>
      <c r="F51" s="27" t="n">
        <v>40000</v>
      </c>
      <c r="G51" s="27" t="n">
        <v>80000</v>
      </c>
      <c r="L51" t="inlineStr">
        <is>
          <t>Small Cap</t>
        </is>
      </c>
      <c r="M51" t="n">
        <v>48</v>
      </c>
    </row>
    <row r="52" ht="16" customHeight="1">
      <c r="B52" s="19" t="inlineStr">
        <is>
          <t>CLFD</t>
        </is>
      </c>
      <c r="C52" s="21" t="n">
        <v>4000</v>
      </c>
      <c r="D52" s="83" t="n">
        <v>8000</v>
      </c>
      <c r="E52" s="21" t="n">
        <v>20000</v>
      </c>
      <c r="F52" s="21" t="n">
        <v>40000</v>
      </c>
      <c r="G52" s="21" t="n">
        <v>80000</v>
      </c>
      <c r="L52" t="inlineStr">
        <is>
          <t>Breakout</t>
        </is>
      </c>
      <c r="M52" t="n">
        <v>43.20000000000001</v>
      </c>
    </row>
    <row r="53" ht="16" customHeight="1">
      <c r="B53" s="25" t="inlineStr">
        <is>
          <t>CODA</t>
        </is>
      </c>
      <c r="C53" s="27" t="n">
        <v>1500</v>
      </c>
      <c r="D53" s="83" t="n">
        <v>3000</v>
      </c>
      <c r="E53" s="27" t="n">
        <v>7500</v>
      </c>
      <c r="F53" s="27" t="n">
        <v>15000</v>
      </c>
      <c r="G53" s="27" t="n">
        <v>30000</v>
      </c>
      <c r="L53" t="inlineStr">
        <is>
          <t>Cash</t>
        </is>
      </c>
      <c r="M53" t="n">
        <v>0</v>
      </c>
    </row>
    <row r="54" ht="16" customHeight="1">
      <c r="B54" s="19" t="inlineStr">
        <is>
          <t>XMTR</t>
        </is>
      </c>
      <c r="C54" s="21" t="n">
        <v>3000</v>
      </c>
      <c r="D54" s="83" t="n">
        <v>6000</v>
      </c>
      <c r="E54" s="21" t="n">
        <v>15000</v>
      </c>
      <c r="F54" s="21" t="n">
        <v>30000</v>
      </c>
      <c r="G54" s="21" t="n">
        <v>60000</v>
      </c>
    </row>
    <row r="55" ht="16" customHeight="1">
      <c r="B55" s="25" t="inlineStr">
        <is>
          <t>SCTQ</t>
        </is>
      </c>
      <c r="C55" s="27" t="n">
        <v>1500</v>
      </c>
      <c r="D55" s="83" t="n">
        <v>3000</v>
      </c>
      <c r="E55" s="27" t="n">
        <v>7500</v>
      </c>
      <c r="F55" s="27" t="n">
        <v>15000</v>
      </c>
      <c r="G55" s="27" t="n">
        <v>30000</v>
      </c>
    </row>
    <row r="56" ht="16" customHeight="1">
      <c r="B56" s="19" t="inlineStr">
        <is>
          <t>RUN</t>
        </is>
      </c>
      <c r="C56" s="21" t="n">
        <v>3000</v>
      </c>
      <c r="D56" s="83" t="n">
        <v>6000</v>
      </c>
      <c r="E56" s="21" t="n">
        <v>15000</v>
      </c>
      <c r="F56" s="21" t="n">
        <v>30000</v>
      </c>
      <c r="G56" s="21" t="n">
        <v>60000</v>
      </c>
    </row>
    <row r="57" ht="16" customHeight="1">
      <c r="B57" s="25" t="inlineStr">
        <is>
          <t>OPXS</t>
        </is>
      </c>
      <c r="C57" s="27" t="n">
        <v>1500</v>
      </c>
      <c r="D57" s="83" t="n">
        <v>3000</v>
      </c>
      <c r="E57" s="27" t="n">
        <v>7500</v>
      </c>
      <c r="F57" s="27" t="n">
        <v>15000</v>
      </c>
      <c r="G57" s="27" t="n">
        <v>30000</v>
      </c>
    </row>
    <row r="58" ht="16" customHeight="1">
      <c r="B58" s="19" t="inlineStr">
        <is>
          <t>KVHI</t>
        </is>
      </c>
      <c r="C58" s="21" t="n">
        <v>1500</v>
      </c>
      <c r="D58" s="83" t="n">
        <v>3000</v>
      </c>
      <c r="E58" s="21" t="n">
        <v>7500</v>
      </c>
      <c r="F58" s="21" t="n">
        <v>15000</v>
      </c>
      <c r="G58" s="21" t="n">
        <v>30000</v>
      </c>
    </row>
    <row r="59" ht="16" customHeight="1">
      <c r="B59" s="25" t="inlineStr">
        <is>
          <t>SSTI</t>
        </is>
      </c>
      <c r="C59" s="27" t="n">
        <v>1500</v>
      </c>
      <c r="D59" s="83" t="n">
        <v>3000</v>
      </c>
      <c r="E59" s="27" t="n">
        <v>7500</v>
      </c>
      <c r="F59" s="27" t="n">
        <v>15000</v>
      </c>
      <c r="G59" s="27" t="n">
        <v>30000</v>
      </c>
    </row>
  </sheetData>
  <mergeCells count="5">
    <mergeCell ref="B11:J11"/>
    <mergeCell ref="A2:N2"/>
    <mergeCell ref="B4:J4"/>
    <mergeCell ref="B48:J48"/>
    <mergeCell ref="A1:N1"/>
  </mergeCells>
  <pageMargins left="0.75" right="0.75" top="1" bottom="1" header="0.5" footer="0.5"/>
  <pageSetup orientation="landscape" fitToWidth="1"/>
  <drawing xmlns:r="http://schemas.openxmlformats.org/officeDocument/2006/relationships" r:id="rId1"/>
</worksheet>
</file>

<file path=xl/worksheets/sheet10.xml><?xml version="1.0" encoding="utf-8"?>
<worksheet xmlns="http://schemas.openxmlformats.org/spreadsheetml/2006/main">
  <sheetPr>
    <tabColor rgb="00E76F51"/>
    <outlinePr summaryBelow="1" summaryRight="1"/>
    <pageSetUpPr fitToPage="1"/>
  </sheetPr>
  <dimension ref="A1:M55"/>
  <sheetViews>
    <sheetView showGridLines="0" workbookViewId="0">
      <pane xSplit="3" ySplit="4" topLeftCell="D5" activePane="bottomRight" state="frozen"/>
      <selection pane="topRight"/>
      <selection pane="bottomLeft"/>
      <selection pane="bottomRight" activeCell="A1" sqref="A1"/>
    </sheetView>
  </sheetViews>
  <sheetFormatPr baseColWidth="8" defaultRowHeight="15"/>
  <cols>
    <col width="3" customWidth="1" min="1" max="1"/>
    <col width="9" customWidth="1" min="2" max="2"/>
    <col width="24" customWidth="1" min="3" max="3"/>
    <col width="12" customWidth="1" min="4" max="4"/>
    <col width="14" customWidth="1" min="5" max="5"/>
    <col width="14" customWidth="1" min="6" max="6"/>
    <col width="14" customWidth="1" min="7" max="7"/>
    <col width="14" customWidth="1" min="8" max="8"/>
    <col width="14" customWidth="1" min="9" max="9"/>
    <col width="12" customWidth="1" min="10" max="10"/>
    <col width="12" customWidth="1" min="11" max="11"/>
    <col width="12" customWidth="1" min="12" max="12"/>
    <col width="14" customWidth="1" min="13" max="13"/>
  </cols>
  <sheetData>
    <row r="1" ht="28" customHeight="1">
      <c r="A1" s="31" t="inlineStr">
        <is>
          <t>SENSITIVITY ANALYSIS — WEIGHT PROFILE COMPARISON</t>
        </is>
      </c>
      <c r="B1" s="11" t="n"/>
      <c r="C1" s="11" t="n"/>
      <c r="D1" s="11" t="n"/>
      <c r="E1" s="11" t="n"/>
      <c r="F1" s="11" t="n"/>
      <c r="G1" s="11" t="n"/>
      <c r="H1" s="11" t="n"/>
      <c r="I1" s="11" t="n"/>
      <c r="J1" s="11" t="n"/>
      <c r="K1" s="11" t="n"/>
      <c r="L1" s="11" t="n"/>
      <c r="M1" s="11" t="n"/>
    </row>
    <row r="2" ht="22" customHeight="1">
      <c r="A2" s="32" t="inlineStr">
        <is>
          <t>How scores change under different weighting assumptions</t>
        </is>
      </c>
      <c r="B2" s="12" t="n"/>
      <c r="C2" s="12" t="n"/>
      <c r="D2" s="12" t="n"/>
      <c r="E2" s="12" t="n"/>
      <c r="F2" s="12" t="n"/>
      <c r="G2" s="12" t="n"/>
      <c r="H2" s="12" t="n"/>
      <c r="I2" s="12" t="n"/>
      <c r="J2" s="12" t="n"/>
      <c r="K2" s="12" t="n"/>
      <c r="L2" s="12" t="n"/>
      <c r="M2" s="12" t="n"/>
    </row>
    <row r="4" ht="22" customHeight="1">
      <c r="B4" s="16" t="inlineStr">
        <is>
          <t>SCENARIO CONTROL PANEL</t>
        </is>
      </c>
      <c r="C4" s="17" t="n"/>
      <c r="D4" s="17" t="n"/>
      <c r="E4" s="17" t="n"/>
      <c r="F4" s="17" t="n"/>
      <c r="G4" s="17" t="n"/>
      <c r="H4" s="17" t="n"/>
      <c r="I4" s="17" t="n"/>
      <c r="J4" s="17" t="n"/>
      <c r="K4" s="17" t="n"/>
      <c r="L4" s="17" t="n"/>
      <c r="M4" s="17" t="n"/>
    </row>
    <row r="5">
      <c r="B5" s="84" t="inlineStr">
        <is>
          <t>Active Scenario:</t>
        </is>
      </c>
      <c r="C5" s="61" t="inlineStr">
        <is>
          <t>Baseline</t>
        </is>
      </c>
    </row>
    <row r="7" ht="18" customHeight="1">
      <c r="B7" s="18" t="inlineStr">
        <is>
          <t>Weight</t>
        </is>
      </c>
      <c r="C7" s="18" t="inlineStr">
        <is>
          <t>Baseline</t>
        </is>
      </c>
      <c r="D7" s="18" t="inlineStr">
        <is>
          <t>Growth Focus</t>
        </is>
      </c>
      <c r="E7" s="18" t="inlineStr">
        <is>
          <t>Quality Focus</t>
        </is>
      </c>
      <c r="F7" s="18" t="inlineStr">
        <is>
          <t>Insider Focus</t>
        </is>
      </c>
      <c r="G7" s="18" t="inlineStr">
        <is>
          <t>Custom</t>
        </is>
      </c>
    </row>
    <row r="8" ht="16" customHeight="1">
      <c r="B8" s="20" t="inlineStr">
        <is>
          <t>Revenue Growth</t>
        </is>
      </c>
      <c r="C8" s="85" t="n">
        <v>0.3</v>
      </c>
      <c r="D8" s="86" t="n">
        <v>0.4</v>
      </c>
      <c r="E8" s="86" t="n">
        <v>0.2</v>
      </c>
      <c r="F8" s="86" t="n">
        <v>0.2</v>
      </c>
      <c r="G8" s="87" t="n">
        <v>0.3</v>
      </c>
    </row>
    <row r="9" ht="16" customHeight="1">
      <c r="B9" s="20" t="inlineStr">
        <is>
          <t>Gross Margin</t>
        </is>
      </c>
      <c r="C9" s="85" t="n">
        <v>0.2</v>
      </c>
      <c r="D9" s="86" t="n">
        <v>0.15</v>
      </c>
      <c r="E9" s="86" t="n">
        <v>0.3</v>
      </c>
      <c r="F9" s="86" t="n">
        <v>0.15</v>
      </c>
      <c r="G9" s="87" t="n">
        <v>0.2</v>
      </c>
    </row>
    <row r="10" ht="16" customHeight="1">
      <c r="B10" s="20" t="inlineStr">
        <is>
          <t>Dilution</t>
        </is>
      </c>
      <c r="C10" s="85" t="n">
        <v>0.2</v>
      </c>
      <c r="D10" s="86" t="n">
        <v>0.15</v>
      </c>
      <c r="E10" s="86" t="n">
        <v>0.25</v>
      </c>
      <c r="F10" s="86" t="n">
        <v>0.2</v>
      </c>
      <c r="G10" s="87" t="n">
        <v>0.2</v>
      </c>
    </row>
    <row r="11" ht="16" customHeight="1">
      <c r="B11" s="20" t="inlineStr">
        <is>
          <t>Insider Ownership</t>
        </is>
      </c>
      <c r="C11" s="85" t="n">
        <v>0.15</v>
      </c>
      <c r="D11" s="86" t="n">
        <v>0.1</v>
      </c>
      <c r="E11" s="86" t="n">
        <v>0.15</v>
      </c>
      <c r="F11" s="86" t="n">
        <v>0.35</v>
      </c>
      <c r="G11" s="87" t="n">
        <v>0.15</v>
      </c>
    </row>
    <row r="12" ht="16" customHeight="1">
      <c r="B12" s="20" t="inlineStr">
        <is>
          <t>Revenue Acceleration</t>
        </is>
      </c>
      <c r="C12" s="85" t="n">
        <v>0.15</v>
      </c>
      <c r="D12" s="86" t="n">
        <v>0.2</v>
      </c>
      <c r="E12" s="86" t="n">
        <v>0.1</v>
      </c>
      <c r="F12" s="86" t="n">
        <v>0.1</v>
      </c>
      <c r="G12" s="87" t="n">
        <v>0.15</v>
      </c>
    </row>
    <row r="14" ht="22" customHeight="1">
      <c r="B14" s="16" t="inlineStr">
        <is>
          <t>COMBINED SCORES UNDER EACH PROFILE</t>
        </is>
      </c>
      <c r="C14" s="17" t="n"/>
      <c r="D14" s="17" t="n"/>
      <c r="E14" s="17" t="n"/>
      <c r="F14" s="17" t="n"/>
      <c r="G14" s="17" t="n"/>
      <c r="H14" s="17" t="n"/>
      <c r="I14" s="17" t="n"/>
      <c r="J14" s="17" t="n"/>
      <c r="K14" s="17" t="n"/>
      <c r="L14" s="17" t="n"/>
      <c r="M14" s="17" t="n"/>
    </row>
    <row r="15" ht="18" customHeight="1">
      <c r="B15" s="18" t="inlineStr">
        <is>
          <t>Ticker</t>
        </is>
      </c>
      <c r="C15" s="18" t="inlineStr">
        <is>
          <t>Name</t>
        </is>
      </c>
      <c r="D15" s="18" t="inlineStr">
        <is>
          <t>Tier</t>
        </is>
      </c>
      <c r="E15" s="18" t="inlineStr">
        <is>
          <t>Baseline</t>
        </is>
      </c>
      <c r="F15" s="18" t="inlineStr">
        <is>
          <t>Growth Focus</t>
        </is>
      </c>
      <c r="G15" s="18" t="inlineStr">
        <is>
          <t>Quality Focus</t>
        </is>
      </c>
      <c r="H15" s="18" t="inlineStr">
        <is>
          <t>Insider Focus</t>
        </is>
      </c>
      <c r="I15" s="18" t="inlineStr">
        <is>
          <t>Max Score</t>
        </is>
      </c>
      <c r="J15" s="18" t="inlineStr">
        <is>
          <t>Min Score</t>
        </is>
      </c>
      <c r="K15" s="18" t="inlineStr">
        <is>
          <t>Score Range</t>
        </is>
      </c>
      <c r="L15" s="18" t="inlineStr">
        <is>
          <t>Rank Stability</t>
        </is>
      </c>
    </row>
    <row r="16" ht="16" customHeight="1">
      <c r="B16" s="19" t="inlineStr">
        <is>
          <t>SODI</t>
        </is>
      </c>
      <c r="C16" s="20" t="inlineStr">
        <is>
          <t>Solitron Devices, Inc.</t>
        </is>
      </c>
      <c r="D16" s="45" t="inlineStr">
        <is>
          <t>Nano Cap</t>
        </is>
      </c>
      <c r="E16" s="36" t="n">
        <v>93.8</v>
      </c>
      <c r="F16" s="36" t="n">
        <v>94.2</v>
      </c>
      <c r="G16" s="36" t="n">
        <v>93.09999999999999</v>
      </c>
      <c r="H16" s="36" t="n">
        <v>94.40000000000001</v>
      </c>
      <c r="I16" s="36" t="n">
        <v>94.40000000000001</v>
      </c>
      <c r="J16" s="36" t="n">
        <v>93.09999999999999</v>
      </c>
      <c r="K16" s="36" t="n">
        <v>1.300000000000011</v>
      </c>
      <c r="L16" s="23" t="inlineStr">
        <is>
          <t>Stable</t>
        </is>
      </c>
    </row>
    <row r="17" ht="16" customHeight="1">
      <c r="B17" s="25" t="inlineStr">
        <is>
          <t>GOGO</t>
        </is>
      </c>
      <c r="C17" s="26" t="inlineStr">
        <is>
          <t>Gogo Inc.</t>
        </is>
      </c>
      <c r="D17" s="48" t="inlineStr">
        <is>
          <t>Small Cap</t>
        </is>
      </c>
      <c r="E17" s="41" t="n">
        <v>89.3</v>
      </c>
      <c r="F17" s="41" t="n">
        <v>89.3</v>
      </c>
      <c r="G17" s="41" t="n">
        <v>89.3</v>
      </c>
      <c r="H17" s="41" t="n">
        <v>89.3</v>
      </c>
      <c r="I17" s="41" t="n">
        <v>89.3</v>
      </c>
      <c r="J17" s="41" t="n">
        <v>89.3</v>
      </c>
      <c r="K17" s="41" t="n">
        <v>0</v>
      </c>
      <c r="L17" s="23" t="inlineStr">
        <is>
          <t>Stable</t>
        </is>
      </c>
    </row>
    <row r="18" ht="16" customHeight="1">
      <c r="B18" s="19" t="inlineStr">
        <is>
          <t>CLFD</t>
        </is>
      </c>
      <c r="C18" s="20" t="inlineStr">
        <is>
          <t>Clearfield, Inc.</t>
        </is>
      </c>
      <c r="D18" s="45" t="inlineStr">
        <is>
          <t>Small Cap</t>
        </is>
      </c>
      <c r="E18" s="36" t="n">
        <v>85.59999999999999</v>
      </c>
      <c r="F18" s="36" t="n">
        <v>81.90000000000001</v>
      </c>
      <c r="G18" s="36" t="n">
        <v>88.7</v>
      </c>
      <c r="H18" s="36" t="n">
        <v>90.2</v>
      </c>
      <c r="I18" s="36" t="n">
        <v>90.2</v>
      </c>
      <c r="J18" s="36" t="n">
        <v>81.90000000000001</v>
      </c>
      <c r="K18" s="36" t="n">
        <v>8.299999999999997</v>
      </c>
      <c r="L18" s="23" t="inlineStr">
        <is>
          <t>Stable</t>
        </is>
      </c>
    </row>
    <row r="19" ht="16" customHeight="1">
      <c r="B19" s="25" t="inlineStr">
        <is>
          <t>CODA</t>
        </is>
      </c>
      <c r="C19" s="26" t="inlineStr">
        <is>
          <t>Coda Octopus Group, Inc.</t>
        </is>
      </c>
      <c r="D19" s="48" t="inlineStr">
        <is>
          <t>Nano Cap</t>
        </is>
      </c>
      <c r="E19" s="41" t="n">
        <v>82</v>
      </c>
      <c r="F19" s="41" t="n">
        <v>79.40000000000001</v>
      </c>
      <c r="G19" s="41" t="n">
        <v>84.5</v>
      </c>
      <c r="H19" s="41" t="n">
        <v>84.5</v>
      </c>
      <c r="I19" s="41" t="n">
        <v>84.5</v>
      </c>
      <c r="J19" s="41" t="n">
        <v>79.40000000000001</v>
      </c>
      <c r="K19" s="41" t="n">
        <v>5.099999999999994</v>
      </c>
      <c r="L19" s="23" t="inlineStr">
        <is>
          <t>Stable</t>
        </is>
      </c>
    </row>
    <row r="20" ht="16" customHeight="1">
      <c r="B20" s="19" t="inlineStr">
        <is>
          <t>XMTR</t>
        </is>
      </c>
      <c r="C20" s="20" t="inlineStr">
        <is>
          <t>Xometry, Inc.</t>
        </is>
      </c>
      <c r="D20" s="45" t="inlineStr">
        <is>
          <t>Breakout</t>
        </is>
      </c>
      <c r="E20" s="36" t="n">
        <v>80.5</v>
      </c>
      <c r="F20" s="36" t="n">
        <v>77.5</v>
      </c>
      <c r="G20" s="36" t="n">
        <v>83.5</v>
      </c>
      <c r="H20" s="36" t="n">
        <v>84</v>
      </c>
      <c r="I20" s="36" t="n">
        <v>84</v>
      </c>
      <c r="J20" s="36" t="n">
        <v>77.5</v>
      </c>
      <c r="K20" s="36" t="n">
        <v>6.5</v>
      </c>
      <c r="L20" s="23" t="inlineStr">
        <is>
          <t>Stable</t>
        </is>
      </c>
    </row>
    <row r="21" ht="16" customHeight="1">
      <c r="B21" s="25" t="inlineStr">
        <is>
          <t>SCTQ</t>
        </is>
      </c>
      <c r="C21" s="26" t="inlineStr">
        <is>
          <t>Spectra Systems Corporation</t>
        </is>
      </c>
      <c r="D21" s="48" t="inlineStr">
        <is>
          <t>Nano Cap</t>
        </is>
      </c>
      <c r="E21" s="41" t="n">
        <v>80.2</v>
      </c>
      <c r="F21" s="41" t="n">
        <v>77.3</v>
      </c>
      <c r="G21" s="41" t="n">
        <v>83.2</v>
      </c>
      <c r="H21" s="41" t="n">
        <v>83.2</v>
      </c>
      <c r="I21" s="41" t="n">
        <v>83.2</v>
      </c>
      <c r="J21" s="41" t="n">
        <v>77.3</v>
      </c>
      <c r="K21" s="41" t="n">
        <v>5.900000000000006</v>
      </c>
      <c r="L21" s="23" t="inlineStr">
        <is>
          <t>Stable</t>
        </is>
      </c>
    </row>
    <row r="22" ht="16" customHeight="1">
      <c r="B22" s="19" t="inlineStr">
        <is>
          <t>RUN</t>
        </is>
      </c>
      <c r="C22" s="20" t="inlineStr">
        <is>
          <t>Sunrun Inc.</t>
        </is>
      </c>
      <c r="D22" s="45" t="inlineStr">
        <is>
          <t>Breakout</t>
        </is>
      </c>
      <c r="E22" s="36" t="n">
        <v>79.09999999999999</v>
      </c>
      <c r="F22" s="36" t="n">
        <v>81.7</v>
      </c>
      <c r="G22" s="36" t="n">
        <v>77.90000000000001</v>
      </c>
      <c r="H22" s="36" t="n">
        <v>71.90000000000001</v>
      </c>
      <c r="I22" s="36" t="n">
        <v>81.7</v>
      </c>
      <c r="J22" s="36" t="n">
        <v>71.90000000000001</v>
      </c>
      <c r="K22" s="36" t="n">
        <v>9.799999999999997</v>
      </c>
      <c r="L22" s="23" t="inlineStr">
        <is>
          <t>Stable</t>
        </is>
      </c>
    </row>
    <row r="23" ht="16" customHeight="1">
      <c r="B23" s="25" t="inlineStr">
        <is>
          <t>OPXS</t>
        </is>
      </c>
      <c r="C23" s="26" t="inlineStr">
        <is>
          <t>Optex Systems Holdings, Inc</t>
        </is>
      </c>
      <c r="D23" s="48" t="inlineStr">
        <is>
          <t>Nano Cap</t>
        </is>
      </c>
      <c r="E23" s="41" t="n">
        <v>78.7</v>
      </c>
      <c r="F23" s="41" t="n">
        <v>75</v>
      </c>
      <c r="G23" s="41" t="n">
        <v>81</v>
      </c>
      <c r="H23" s="41" t="n">
        <v>84.90000000000001</v>
      </c>
      <c r="I23" s="41" t="n">
        <v>84.90000000000001</v>
      </c>
      <c r="J23" s="41" t="n">
        <v>75</v>
      </c>
      <c r="K23" s="41" t="n">
        <v>9.900000000000006</v>
      </c>
      <c r="L23" s="23" t="inlineStr">
        <is>
          <t>Stable</t>
        </is>
      </c>
    </row>
    <row r="24" ht="16" customHeight="1">
      <c r="B24" s="19" t="inlineStr">
        <is>
          <t>KVHI</t>
        </is>
      </c>
      <c r="C24" s="20" t="inlineStr">
        <is>
          <t>KVH Industries, Inc.</t>
        </is>
      </c>
      <c r="D24" s="45" t="inlineStr">
        <is>
          <t>Nano Cap</t>
        </is>
      </c>
      <c r="E24" s="36" t="n">
        <v>78.2</v>
      </c>
      <c r="F24" s="36" t="n">
        <v>74.7</v>
      </c>
      <c r="G24" s="36" t="n">
        <v>81</v>
      </c>
      <c r="H24" s="36" t="n">
        <v>83.2</v>
      </c>
      <c r="I24" s="36" t="n">
        <v>83.2</v>
      </c>
      <c r="J24" s="36" t="n">
        <v>74.7</v>
      </c>
      <c r="K24" s="36" t="n">
        <v>8.5</v>
      </c>
      <c r="L24" s="23" t="inlineStr">
        <is>
          <t>Stable</t>
        </is>
      </c>
    </row>
    <row r="25" ht="16" customHeight="1">
      <c r="B25" s="25" t="inlineStr">
        <is>
          <t>SSTI</t>
        </is>
      </c>
      <c r="C25" s="26" t="inlineStr">
        <is>
          <t>SoundThinking, Inc.</t>
        </is>
      </c>
      <c r="D25" s="48" t="inlineStr">
        <is>
          <t>Nano Cap</t>
        </is>
      </c>
      <c r="E25" s="41" t="n">
        <v>78.2</v>
      </c>
      <c r="F25" s="41" t="n">
        <v>72.5</v>
      </c>
      <c r="G25" s="41" t="n">
        <v>84</v>
      </c>
      <c r="H25" s="41" t="n">
        <v>84</v>
      </c>
      <c r="I25" s="41" t="n">
        <v>84</v>
      </c>
      <c r="J25" s="41" t="n">
        <v>72.5</v>
      </c>
      <c r="K25" s="41" t="n">
        <v>11.5</v>
      </c>
      <c r="L25" s="29" t="inlineStr">
        <is>
          <t>Moderate</t>
        </is>
      </c>
    </row>
    <row r="26" ht="16" customHeight="1">
      <c r="B26" s="19" t="inlineStr">
        <is>
          <t>SPRU</t>
        </is>
      </c>
      <c r="C26" s="20" t="inlineStr">
        <is>
          <t>Spruce Power Holding Corporation</t>
        </is>
      </c>
      <c r="D26" s="45" t="inlineStr">
        <is>
          <t>Nano Cap</t>
        </is>
      </c>
      <c r="E26" s="36" t="n">
        <v>77.2</v>
      </c>
      <c r="F26" s="36" t="n">
        <v>72.5</v>
      </c>
      <c r="G26" s="36" t="n">
        <v>81.7</v>
      </c>
      <c r="H26" s="36" t="n">
        <v>81.7</v>
      </c>
      <c r="I26" s="36" t="n">
        <v>81.7</v>
      </c>
      <c r="J26" s="36" t="n">
        <v>72.5</v>
      </c>
      <c r="K26" s="36" t="n">
        <v>9.200000000000003</v>
      </c>
      <c r="L26" s="23" t="inlineStr">
        <is>
          <t>Stable</t>
        </is>
      </c>
    </row>
    <row r="27" ht="16" customHeight="1">
      <c r="B27" s="25" t="inlineStr">
        <is>
          <t>CTLP</t>
        </is>
      </c>
      <c r="C27" s="26" t="inlineStr">
        <is>
          <t>Cantaloupe, Inc.</t>
        </is>
      </c>
      <c r="D27" s="48" t="inlineStr">
        <is>
          <t>Small Cap</t>
        </is>
      </c>
      <c r="E27" s="41" t="n">
        <v>76.90000000000001</v>
      </c>
      <c r="F27" s="41" t="n">
        <v>70.59999999999999</v>
      </c>
      <c r="G27" s="41" t="n">
        <v>82.7</v>
      </c>
      <c r="H27" s="41" t="n">
        <v>84.2</v>
      </c>
      <c r="I27" s="41" t="n">
        <v>84.2</v>
      </c>
      <c r="J27" s="41" t="n">
        <v>70.59999999999999</v>
      </c>
      <c r="K27" s="41" t="n">
        <v>13.60000000000001</v>
      </c>
      <c r="L27" s="29" t="inlineStr">
        <is>
          <t>Moderate</t>
        </is>
      </c>
    </row>
    <row r="28" ht="16" customHeight="1">
      <c r="B28" s="19" t="inlineStr">
        <is>
          <t>CMCO</t>
        </is>
      </c>
      <c r="C28" s="20" t="inlineStr">
        <is>
          <t>Columbus McKinnon Corporation</t>
        </is>
      </c>
      <c r="D28" s="45" t="inlineStr">
        <is>
          <t>Small Cap</t>
        </is>
      </c>
      <c r="E28" s="36" t="n">
        <v>76.8</v>
      </c>
      <c r="F28" s="36" t="n">
        <v>74.59999999999999</v>
      </c>
      <c r="G28" s="36" t="n">
        <v>80.3</v>
      </c>
      <c r="H28" s="36" t="n">
        <v>74.2</v>
      </c>
      <c r="I28" s="36" t="n">
        <v>80.3</v>
      </c>
      <c r="J28" s="36" t="n">
        <v>74.2</v>
      </c>
      <c r="K28" s="36" t="n">
        <v>6.099999999999994</v>
      </c>
      <c r="L28" s="23" t="inlineStr">
        <is>
          <t>Stable</t>
        </is>
      </c>
    </row>
    <row r="29" ht="16" customHeight="1">
      <c r="B29" s="25" t="inlineStr">
        <is>
          <t>CRNC</t>
        </is>
      </c>
      <c r="C29" s="26" t="inlineStr">
        <is>
          <t>Cerence Inc.</t>
        </is>
      </c>
      <c r="D29" s="48" t="inlineStr">
        <is>
          <t>Small Cap</t>
        </is>
      </c>
      <c r="E29" s="41" t="n">
        <v>76.59999999999999</v>
      </c>
      <c r="F29" s="41" t="n">
        <v>79.5</v>
      </c>
      <c r="G29" s="41" t="n">
        <v>75.8</v>
      </c>
      <c r="H29" s="41" t="n">
        <v>68.3</v>
      </c>
      <c r="I29" s="41" t="n">
        <v>79.5</v>
      </c>
      <c r="J29" s="41" t="n">
        <v>68.3</v>
      </c>
      <c r="K29" s="41" t="n">
        <v>11.2</v>
      </c>
      <c r="L29" s="29" t="inlineStr">
        <is>
          <t>Moderate</t>
        </is>
      </c>
    </row>
    <row r="30" ht="16" customHeight="1">
      <c r="B30" s="19" t="inlineStr">
        <is>
          <t>SHLS</t>
        </is>
      </c>
      <c r="C30" s="20" t="inlineStr">
        <is>
          <t>Shoals Technologies Group, Inc.</t>
        </is>
      </c>
      <c r="D30" s="45" t="inlineStr">
        <is>
          <t>Small Cap</t>
        </is>
      </c>
      <c r="E30" s="36" t="n">
        <v>75.8</v>
      </c>
      <c r="F30" s="36" t="n">
        <v>79</v>
      </c>
      <c r="G30" s="36" t="n">
        <v>74.8</v>
      </c>
      <c r="H30" s="36" t="n">
        <v>66.8</v>
      </c>
      <c r="I30" s="36" t="n">
        <v>79</v>
      </c>
      <c r="J30" s="36" t="n">
        <v>66.8</v>
      </c>
      <c r="K30" s="36" t="n">
        <v>12.2</v>
      </c>
      <c r="L30" s="29" t="inlineStr">
        <is>
          <t>Moderate</t>
        </is>
      </c>
    </row>
    <row r="31" ht="16" customHeight="1">
      <c r="B31" s="25" t="inlineStr">
        <is>
          <t>FELE</t>
        </is>
      </c>
      <c r="C31" s="26" t="inlineStr">
        <is>
          <t>Franklin Electric Co., Inc.</t>
        </is>
      </c>
      <c r="D31" s="48" t="inlineStr">
        <is>
          <t>Breakout</t>
        </is>
      </c>
      <c r="E31" s="41" t="n">
        <v>75.8</v>
      </c>
      <c r="F31" s="41" t="n">
        <v>71.40000000000001</v>
      </c>
      <c r="G31" s="41" t="n">
        <v>79.90000000000001</v>
      </c>
      <c r="H31" s="41" t="n">
        <v>81.09999999999999</v>
      </c>
      <c r="I31" s="41" t="n">
        <v>81.09999999999999</v>
      </c>
      <c r="J31" s="41" t="n">
        <v>71.40000000000001</v>
      </c>
      <c r="K31" s="41" t="n">
        <v>9.699999999999989</v>
      </c>
      <c r="L31" s="23" t="inlineStr">
        <is>
          <t>Stable</t>
        </is>
      </c>
    </row>
    <row r="32" ht="16" customHeight="1">
      <c r="B32" s="19" t="inlineStr">
        <is>
          <t>TAYD</t>
        </is>
      </c>
      <c r="C32" s="20" t="inlineStr">
        <is>
          <t>Taylor Devices, Inc.</t>
        </is>
      </c>
      <c r="D32" s="45" t="inlineStr">
        <is>
          <t>Nano Cap</t>
        </is>
      </c>
      <c r="E32" s="36" t="n">
        <v>75.7</v>
      </c>
      <c r="F32" s="36" t="n">
        <v>72.40000000000001</v>
      </c>
      <c r="G32" s="36" t="n">
        <v>81.09999999999999</v>
      </c>
      <c r="H32" s="36" t="n">
        <v>72.2</v>
      </c>
      <c r="I32" s="36" t="n">
        <v>81.09999999999999</v>
      </c>
      <c r="J32" s="36" t="n">
        <v>72.2</v>
      </c>
      <c r="K32" s="36" t="n">
        <v>8.899999999999991</v>
      </c>
      <c r="L32" s="23" t="inlineStr">
        <is>
          <t>Stable</t>
        </is>
      </c>
    </row>
    <row r="33" ht="16" customHeight="1">
      <c r="B33" s="25" t="inlineStr">
        <is>
          <t>ADTN</t>
        </is>
      </c>
      <c r="C33" s="26" t="inlineStr">
        <is>
          <t>ADTRAN Holdings, Inc.</t>
        </is>
      </c>
      <c r="D33" s="48" t="inlineStr">
        <is>
          <t>Small Cap</t>
        </is>
      </c>
      <c r="E33" s="41" t="n">
        <v>74.40000000000001</v>
      </c>
      <c r="F33" s="41" t="n">
        <v>71.3</v>
      </c>
      <c r="G33" s="41" t="n">
        <v>77.90000000000001</v>
      </c>
      <c r="H33" s="41" t="n">
        <v>76.3</v>
      </c>
      <c r="I33" s="41" t="n">
        <v>77.90000000000001</v>
      </c>
      <c r="J33" s="41" t="n">
        <v>71.3</v>
      </c>
      <c r="K33" s="41" t="n">
        <v>6.600000000000009</v>
      </c>
      <c r="L33" s="23" t="inlineStr">
        <is>
          <t>Stable</t>
        </is>
      </c>
    </row>
    <row r="34" ht="16" customHeight="1">
      <c r="B34" s="19" t="inlineStr">
        <is>
          <t>BYRN</t>
        </is>
      </c>
      <c r="C34" s="20" t="inlineStr">
        <is>
          <t>Byrna Technologies Inc.</t>
        </is>
      </c>
      <c r="D34" s="45" t="inlineStr">
        <is>
          <t>Nano Cap</t>
        </is>
      </c>
      <c r="E34" s="36" t="n">
        <v>73.90000000000001</v>
      </c>
      <c r="F34" s="36" t="n">
        <v>66.3</v>
      </c>
      <c r="G34" s="36" t="n">
        <v>81.40000000000001</v>
      </c>
      <c r="H34" s="36" t="n">
        <v>81.40000000000001</v>
      </c>
      <c r="I34" s="36" t="n">
        <v>81.40000000000001</v>
      </c>
      <c r="J34" s="36" t="n">
        <v>66.3</v>
      </c>
      <c r="K34" s="36" t="n">
        <v>15.10000000000001</v>
      </c>
      <c r="L34" s="29" t="inlineStr">
        <is>
          <t>Moderate</t>
        </is>
      </c>
    </row>
    <row r="35" ht="16" customHeight="1">
      <c r="B35" s="25" t="inlineStr">
        <is>
          <t>ULBI</t>
        </is>
      </c>
      <c r="C35" s="26" t="inlineStr">
        <is>
          <t>Ultralife Corporation</t>
        </is>
      </c>
      <c r="D35" s="48" t="inlineStr">
        <is>
          <t>Nano Cap</t>
        </is>
      </c>
      <c r="E35" s="41" t="n">
        <v>73.90000000000001</v>
      </c>
      <c r="F35" s="41" t="n">
        <v>69.3</v>
      </c>
      <c r="G35" s="41" t="n">
        <v>77.5</v>
      </c>
      <c r="H35" s="41" t="n">
        <v>80.90000000000001</v>
      </c>
      <c r="I35" s="41" t="n">
        <v>80.90000000000001</v>
      </c>
      <c r="J35" s="41" t="n">
        <v>69.3</v>
      </c>
      <c r="K35" s="41" t="n">
        <v>11.60000000000001</v>
      </c>
      <c r="L35" s="29" t="inlineStr">
        <is>
          <t>Moderate</t>
        </is>
      </c>
    </row>
    <row r="36" ht="16" customHeight="1">
      <c r="B36" s="19" t="inlineStr">
        <is>
          <t>QRVO</t>
        </is>
      </c>
      <c r="C36" s="20" t="inlineStr">
        <is>
          <t>Qorvo, Inc.</t>
        </is>
      </c>
      <c r="D36" s="45" t="inlineStr">
        <is>
          <t>Breakout</t>
        </is>
      </c>
      <c r="E36" s="36" t="n">
        <v>73.8</v>
      </c>
      <c r="F36" s="36" t="n">
        <v>68.40000000000001</v>
      </c>
      <c r="G36" s="36" t="n">
        <v>79.40000000000001</v>
      </c>
      <c r="H36" s="36" t="n">
        <v>78.2</v>
      </c>
      <c r="I36" s="36" t="n">
        <v>79.40000000000001</v>
      </c>
      <c r="J36" s="36" t="n">
        <v>68.40000000000001</v>
      </c>
      <c r="K36" s="36" t="n">
        <v>11</v>
      </c>
      <c r="L36" s="29" t="inlineStr">
        <is>
          <t>Moderate</t>
        </is>
      </c>
    </row>
    <row r="37" ht="16" customHeight="1">
      <c r="B37" s="25" t="inlineStr">
        <is>
          <t>ESI</t>
        </is>
      </c>
      <c r="C37" s="26" t="inlineStr">
        <is>
          <t>Element Solutions Inc</t>
        </is>
      </c>
      <c r="D37" s="48" t="inlineStr">
        <is>
          <t>Breakout</t>
        </is>
      </c>
      <c r="E37" s="41" t="n">
        <v>73.8</v>
      </c>
      <c r="F37" s="41" t="n">
        <v>73.90000000000001</v>
      </c>
      <c r="G37" s="41" t="n">
        <v>74.5</v>
      </c>
      <c r="H37" s="41" t="n">
        <v>71.3</v>
      </c>
      <c r="I37" s="41" t="n">
        <v>74.5</v>
      </c>
      <c r="J37" s="41" t="n">
        <v>71.3</v>
      </c>
      <c r="K37" s="41" t="n">
        <v>3.200000000000003</v>
      </c>
      <c r="L37" s="23" t="inlineStr">
        <is>
          <t>Stable</t>
        </is>
      </c>
    </row>
    <row r="38" ht="16" customHeight="1">
      <c r="B38" s="19" t="inlineStr">
        <is>
          <t>EVLV</t>
        </is>
      </c>
      <c r="C38" s="20" t="inlineStr">
        <is>
          <t>Evolv Technologies Holdings, Inc.</t>
        </is>
      </c>
      <c r="D38" s="45" t="inlineStr">
        <is>
          <t>Small Cap</t>
        </is>
      </c>
      <c r="E38" s="36" t="n">
        <v>73.09999999999999</v>
      </c>
      <c r="F38" s="36" t="n">
        <v>72.7</v>
      </c>
      <c r="G38" s="36" t="n">
        <v>74.90000000000001</v>
      </c>
      <c r="H38" s="36" t="n">
        <v>70.59999999999999</v>
      </c>
      <c r="I38" s="36" t="n">
        <v>74.90000000000001</v>
      </c>
      <c r="J38" s="36" t="n">
        <v>70.59999999999999</v>
      </c>
      <c r="K38" s="36" t="n">
        <v>4.300000000000011</v>
      </c>
      <c r="L38" s="23" t="inlineStr">
        <is>
          <t>Stable</t>
        </is>
      </c>
    </row>
    <row r="39" ht="16" customHeight="1">
      <c r="B39" s="25" t="inlineStr">
        <is>
          <t>NVEC</t>
        </is>
      </c>
      <c r="C39" s="26" t="inlineStr">
        <is>
          <t>NVE Corporation</t>
        </is>
      </c>
      <c r="D39" s="48" t="inlineStr">
        <is>
          <t>Small Cap</t>
        </is>
      </c>
      <c r="E39" s="41" t="n">
        <v>72.59999999999999</v>
      </c>
      <c r="F39" s="41" t="n">
        <v>72</v>
      </c>
      <c r="G39" s="41" t="n">
        <v>75.8</v>
      </c>
      <c r="H39" s="41" t="n">
        <v>65.40000000000001</v>
      </c>
      <c r="I39" s="41" t="n">
        <v>75.8</v>
      </c>
      <c r="J39" s="41" t="n">
        <v>65.40000000000001</v>
      </c>
      <c r="K39" s="41" t="n">
        <v>10.39999999999999</v>
      </c>
      <c r="L39" s="29" t="inlineStr">
        <is>
          <t>Moderate</t>
        </is>
      </c>
    </row>
    <row r="40" ht="16" customHeight="1">
      <c r="B40" s="19" t="inlineStr">
        <is>
          <t>SWBI</t>
        </is>
      </c>
      <c r="C40" s="20" t="inlineStr">
        <is>
          <t>Smith &amp; Wesson Brands, Inc.</t>
        </is>
      </c>
      <c r="D40" s="45" t="inlineStr">
        <is>
          <t>Small Cap</t>
        </is>
      </c>
      <c r="E40" s="36" t="n">
        <v>71.90000000000001</v>
      </c>
      <c r="F40" s="36" t="n">
        <v>71.2</v>
      </c>
      <c r="G40" s="36" t="n">
        <v>73.7</v>
      </c>
      <c r="H40" s="36" t="n">
        <v>68.3</v>
      </c>
      <c r="I40" s="36" t="n">
        <v>73.7</v>
      </c>
      <c r="J40" s="36" t="n">
        <v>68.3</v>
      </c>
      <c r="K40" s="36" t="n">
        <v>5.400000000000006</v>
      </c>
      <c r="L40" s="23" t="inlineStr">
        <is>
          <t>Stable</t>
        </is>
      </c>
    </row>
    <row r="41" ht="16" customHeight="1">
      <c r="B41" s="25" t="inlineStr">
        <is>
          <t>BETA</t>
        </is>
      </c>
      <c r="C41" s="26" t="inlineStr">
        <is>
          <t>BETA Technologies, Inc.</t>
        </is>
      </c>
      <c r="D41" s="48" t="inlineStr">
        <is>
          <t>Breakout</t>
        </is>
      </c>
      <c r="E41" s="41" t="n">
        <v>70.5</v>
      </c>
      <c r="F41" s="41" t="n">
        <v>67.8</v>
      </c>
      <c r="G41" s="41" t="n">
        <v>72.90000000000001</v>
      </c>
      <c r="H41" s="41" t="n">
        <v>73.8</v>
      </c>
      <c r="I41" s="41" t="n">
        <v>73.8</v>
      </c>
      <c r="J41" s="41" t="n">
        <v>67.8</v>
      </c>
      <c r="K41" s="41" t="n">
        <v>6</v>
      </c>
      <c r="L41" s="23" t="inlineStr">
        <is>
          <t>Stable</t>
        </is>
      </c>
    </row>
    <row r="42" ht="16" customHeight="1">
      <c r="B42" s="19" t="inlineStr">
        <is>
          <t>ESAB</t>
        </is>
      </c>
      <c r="C42" s="20" t="inlineStr">
        <is>
          <t>ESAB Corporation</t>
        </is>
      </c>
      <c r="D42" s="45" t="inlineStr">
        <is>
          <t>Breakout</t>
        </is>
      </c>
      <c r="E42" s="36" t="n">
        <v>68.3</v>
      </c>
      <c r="F42" s="36" t="n">
        <v>64.2</v>
      </c>
      <c r="G42" s="36" t="n">
        <v>72.7</v>
      </c>
      <c r="H42" s="36" t="n">
        <v>71</v>
      </c>
      <c r="I42" s="36" t="n">
        <v>72.7</v>
      </c>
      <c r="J42" s="36" t="n">
        <v>64.2</v>
      </c>
      <c r="K42" s="36" t="n">
        <v>8.5</v>
      </c>
      <c r="L42" s="23" t="inlineStr">
        <is>
          <t>Stable</t>
        </is>
      </c>
    </row>
    <row r="43" ht="16" customHeight="1">
      <c r="B43" s="25" t="inlineStr">
        <is>
          <t>EXLS</t>
        </is>
      </c>
      <c r="C43" s="26" t="inlineStr">
        <is>
          <t>ExlService Holdings, Inc.</t>
        </is>
      </c>
      <c r="D43" s="48" t="inlineStr">
        <is>
          <t>Breakout</t>
        </is>
      </c>
      <c r="E43" s="41" t="n">
        <v>68.09999999999999</v>
      </c>
      <c r="F43" s="41" t="n">
        <v>64.5</v>
      </c>
      <c r="G43" s="41" t="n">
        <v>73.7</v>
      </c>
      <c r="H43" s="41" t="n">
        <v>66</v>
      </c>
      <c r="I43" s="41" t="n">
        <v>73.7</v>
      </c>
      <c r="J43" s="41" t="n">
        <v>64.5</v>
      </c>
      <c r="K43" s="41" t="n">
        <v>9.200000000000003</v>
      </c>
      <c r="L43" s="23" t="inlineStr">
        <is>
          <t>Stable</t>
        </is>
      </c>
    </row>
    <row r="44" ht="16" customHeight="1">
      <c r="B44" s="19" t="inlineStr">
        <is>
          <t>RVTY</t>
        </is>
      </c>
      <c r="C44" s="20" t="inlineStr">
        <is>
          <t>Revvity, Inc.</t>
        </is>
      </c>
      <c r="D44" s="45" t="inlineStr">
        <is>
          <t>Breakout</t>
        </is>
      </c>
      <c r="E44" s="36" t="n">
        <v>68</v>
      </c>
      <c r="F44" s="36" t="n">
        <v>61.3</v>
      </c>
      <c r="G44" s="36" t="n">
        <v>75.3</v>
      </c>
      <c r="H44" s="36" t="n">
        <v>73.09999999999999</v>
      </c>
      <c r="I44" s="36" t="n">
        <v>75.3</v>
      </c>
      <c r="J44" s="36" t="n">
        <v>61.3</v>
      </c>
      <c r="K44" s="36" t="n">
        <v>14</v>
      </c>
      <c r="L44" s="29" t="inlineStr">
        <is>
          <t>Moderate</t>
        </is>
      </c>
    </row>
    <row r="45" ht="16" customHeight="1">
      <c r="B45" s="25" t="inlineStr">
        <is>
          <t>NWSA</t>
        </is>
      </c>
      <c r="C45" s="26" t="inlineStr">
        <is>
          <t>News Corporation</t>
        </is>
      </c>
      <c r="D45" s="48" t="inlineStr">
        <is>
          <t>Breakout</t>
        </is>
      </c>
      <c r="E45" s="41" t="n">
        <v>67.59999999999999</v>
      </c>
      <c r="F45" s="41" t="n">
        <v>64.59999999999999</v>
      </c>
      <c r="G45" s="41" t="n">
        <v>73</v>
      </c>
      <c r="H45" s="41" t="n">
        <v>63.4</v>
      </c>
      <c r="I45" s="41" t="n">
        <v>73</v>
      </c>
      <c r="J45" s="41" t="n">
        <v>63.4</v>
      </c>
      <c r="K45" s="41" t="n">
        <v>9.600000000000001</v>
      </c>
      <c r="L45" s="23" t="inlineStr">
        <is>
          <t>Stable</t>
        </is>
      </c>
    </row>
    <row r="47">
      <c r="B47" s="88" t="inlineStr">
        <is>
          <t>Note: Stocks with high Score Range are ranking artifacts — their attractiveness depends heavily on your investment philosophy.</t>
        </is>
      </c>
    </row>
    <row r="49" ht="22" customHeight="1">
      <c r="B49" s="16" t="inlineStr">
        <is>
          <t>TORNADO ANALYSIS — SODI (Score Impact of ±10% Weight Changes)</t>
        </is>
      </c>
      <c r="C49" s="17" t="n"/>
      <c r="D49" s="17" t="n"/>
      <c r="E49" s="17" t="n"/>
      <c r="F49" s="17" t="n"/>
      <c r="G49" s="17" t="n"/>
      <c r="H49" s="17" t="n"/>
      <c r="I49" s="17" t="n"/>
      <c r="J49" s="17" t="n"/>
      <c r="K49" s="17" t="n"/>
      <c r="L49" s="17" t="n"/>
      <c r="M49" s="17" t="n"/>
    </row>
    <row r="50" ht="18" customHeight="1">
      <c r="B50" s="18" t="inlineStr">
        <is>
          <t>Component</t>
        </is>
      </c>
      <c r="C50" s="18" t="inlineStr">
        <is>
          <t>−10% Impact</t>
        </is>
      </c>
      <c r="D50" s="18" t="inlineStr">
        <is>
          <t>+10% Impact</t>
        </is>
      </c>
    </row>
    <row r="51" ht="16" customHeight="1">
      <c r="B51" s="20" t="inlineStr">
        <is>
          <t>Rev Growth</t>
        </is>
      </c>
      <c r="C51" s="89" t="n">
        <v>-0.12</v>
      </c>
      <c r="D51" s="89" t="n">
        <v>0.12</v>
      </c>
    </row>
    <row r="52" ht="16" customHeight="1">
      <c r="B52" s="26" t="inlineStr">
        <is>
          <t>Gross Margin</t>
        </is>
      </c>
      <c r="C52" s="90" t="n">
        <v>0.72</v>
      </c>
      <c r="D52" s="90" t="n">
        <v>-0.6</v>
      </c>
    </row>
    <row r="53" ht="16" customHeight="1">
      <c r="B53" s="20" t="inlineStr">
        <is>
          <t>Dilution</t>
        </is>
      </c>
      <c r="C53" s="89" t="n">
        <v>-0.24</v>
      </c>
      <c r="D53" s="89" t="n">
        <v>0.18</v>
      </c>
    </row>
    <row r="54" ht="16" customHeight="1">
      <c r="B54" s="26" t="inlineStr">
        <is>
          <t>Insider Own</t>
        </is>
      </c>
      <c r="C54" s="90" t="n">
        <v>-0.24</v>
      </c>
      <c r="D54" s="90" t="n">
        <v>0.18</v>
      </c>
    </row>
    <row r="55" ht="16" customHeight="1">
      <c r="B55" s="20" t="inlineStr">
        <is>
          <t>Acceleration</t>
        </is>
      </c>
      <c r="C55" s="89" t="n">
        <v>-0.24</v>
      </c>
      <c r="D55" s="89" t="n">
        <v>0.18</v>
      </c>
    </row>
  </sheetData>
  <mergeCells count="6">
    <mergeCell ref="B47:M47"/>
    <mergeCell ref="A1:M1"/>
    <mergeCell ref="B14:M14"/>
    <mergeCell ref="B49:M49"/>
    <mergeCell ref="B4:M4"/>
    <mergeCell ref="A2:M2"/>
  </mergeCells>
  <conditionalFormatting sqref="E16:E45">
    <cfRule type="colorScale" priority="1">
      <colorScale>
        <cfvo type="num" val="0"/>
        <cfvo type="num" val="50"/>
        <cfvo type="num" val="100"/>
        <color rgb="00C1121F"/>
        <color rgb="00F9C74F"/>
        <color rgb="001A6B3C"/>
      </colorScale>
    </cfRule>
  </conditionalFormatting>
  <conditionalFormatting sqref="F16:F45">
    <cfRule type="colorScale" priority="2">
      <colorScale>
        <cfvo type="num" val="0"/>
        <cfvo type="num" val="50"/>
        <cfvo type="num" val="100"/>
        <color rgb="00C1121F"/>
        <color rgb="00F9C74F"/>
        <color rgb="001A6B3C"/>
      </colorScale>
    </cfRule>
  </conditionalFormatting>
  <conditionalFormatting sqref="G16:G45">
    <cfRule type="colorScale" priority="3">
      <colorScale>
        <cfvo type="num" val="0"/>
        <cfvo type="num" val="50"/>
        <cfvo type="num" val="100"/>
        <color rgb="00C1121F"/>
        <color rgb="00F9C74F"/>
        <color rgb="001A6B3C"/>
      </colorScale>
    </cfRule>
  </conditionalFormatting>
  <conditionalFormatting sqref="H16:H45">
    <cfRule type="colorScale" priority="4">
      <colorScale>
        <cfvo type="num" val="0"/>
        <cfvo type="num" val="50"/>
        <cfvo type="num" val="100"/>
        <color rgb="00C1121F"/>
        <color rgb="00F9C74F"/>
        <color rgb="001A6B3C"/>
      </colorScale>
    </cfRule>
  </conditionalFormatting>
  <conditionalFormatting sqref="K16:K45">
    <cfRule type="cellIs" priority="5" operator="greaterThan" dxfId="0">
      <formula>20</formula>
    </cfRule>
  </conditionalFormatting>
  <dataValidations count="1">
    <dataValidation sqref="C5" showDropDown="0" showInputMessage="0" showErrorMessage="0" allowBlank="1" errorTitle="Invalid Selection" error="Please select a valid scenario" type="list">
      <formula1>"Baseline,Growth Focus,Quality Focus,Insider Focus,Custom"</formula1>
    </dataValidation>
  </dataValidations>
  <pageMargins left="0.75" right="0.75" top="1" bottom="1" header="0.5" footer="0.5"/>
  <pageSetup orientation="landscape" fitToWidth="1"/>
  <drawing xmlns:r="http://schemas.openxmlformats.org/officeDocument/2006/relationships" r:id="rId1"/>
</worksheet>
</file>

<file path=xl/worksheets/sheet11.xml><?xml version="1.0" encoding="utf-8"?>
<worksheet xmlns="http://schemas.openxmlformats.org/spreadsheetml/2006/main">
  <sheetPr>
    <tabColor rgb="004FC3F7"/>
    <outlinePr summaryBelow="1" summaryRight="1"/>
    <pageSetUpPr fitToPage="1"/>
  </sheetPr>
  <dimension ref="A1:K215"/>
  <sheetViews>
    <sheetView showGridLines="0" workbookViewId="0">
      <pane xSplit="2" ySplit="3" topLeftCell="C4" activePane="bottomRight" state="frozen"/>
      <selection pane="topRight"/>
      <selection pane="bottomLeft"/>
      <selection pane="bottomRight" activeCell="A1" sqref="A1"/>
    </sheetView>
  </sheetViews>
  <sheetFormatPr baseColWidth="8" defaultRowHeight="15"/>
  <cols>
    <col width="9" customWidth="1" min="1" max="1"/>
    <col width="22"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s>
  <sheetData>
    <row r="1" ht="28" customHeight="1">
      <c r="A1" s="31" t="inlineStr">
        <is>
          <t>QUARTERLY REVENUE TRENDS</t>
        </is>
      </c>
      <c r="B1" s="11" t="n"/>
      <c r="C1" s="11" t="n"/>
      <c r="D1" s="11" t="n"/>
      <c r="E1" s="11" t="n"/>
      <c r="F1" s="11" t="n"/>
      <c r="G1" s="11" t="n"/>
      <c r="H1" s="11" t="n"/>
      <c r="I1" s="11" t="n"/>
      <c r="J1" s="11" t="n"/>
      <c r="K1" s="11" t="n"/>
    </row>
    <row r="2" ht="22" customHeight="1">
      <c r="A2" s="32" t="inlineStr">
        <is>
          <t>Last 8 quarters of revenue and margin by company  |  April 29, 2026</t>
        </is>
      </c>
      <c r="B2" s="12" t="n"/>
      <c r="C2" s="12" t="n"/>
      <c r="D2" s="12" t="n"/>
      <c r="E2" s="12" t="n"/>
      <c r="F2" s="12" t="n"/>
      <c r="G2" s="12" t="n"/>
      <c r="H2" s="12" t="n"/>
      <c r="I2" s="12" t="n"/>
      <c r="J2" s="12" t="n"/>
      <c r="K2" s="12" t="n"/>
    </row>
    <row r="3" ht="8" customHeight="1"/>
    <row r="4" ht="22" customHeight="1">
      <c r="A4" s="16" t="inlineStr">
        <is>
          <t xml:space="preserve">  Nano Cap</t>
        </is>
      </c>
      <c r="B4" s="17" t="n"/>
      <c r="C4" s="17" t="n"/>
      <c r="D4" s="17" t="n"/>
      <c r="E4" s="17" t="n"/>
      <c r="F4" s="17" t="n"/>
      <c r="G4" s="17" t="n"/>
      <c r="H4" s="17" t="n"/>
      <c r="I4" s="17" t="n"/>
      <c r="J4" s="17" t="n"/>
      <c r="K4" s="17" t="n"/>
    </row>
    <row r="5" ht="18" customHeight="1">
      <c r="A5" s="91" t="inlineStr">
        <is>
          <t>SODI  —  Solitron Devices, Inc.</t>
        </is>
      </c>
      <c r="C5" s="92" t="inlineStr">
        <is>
          <t>Nano Cap</t>
        </is>
      </c>
      <c r="D5" s="72" t="inlineStr">
        <is>
          <t>Mkt Cap: $57M</t>
        </is>
      </c>
      <c r="E5" s="93" t="n"/>
      <c r="F5" s="93" t="n"/>
      <c r="G5" s="93" t="n"/>
      <c r="H5" s="93" t="n"/>
      <c r="I5" s="93" t="n"/>
      <c r="J5" s="93" t="n"/>
      <c r="K5" s="93" t="n"/>
    </row>
    <row r="6" ht="16" customHeight="1">
      <c r="A6" s="94" t="inlineStr"/>
      <c r="B6" s="18" t="inlineStr">
        <is>
          <t>Quarter</t>
        </is>
      </c>
      <c r="C6" s="18" t="inlineStr">
        <is>
          <t>2024-02-28</t>
        </is>
      </c>
      <c r="D6" s="18" t="inlineStr">
        <is>
          <t>2024-05-31</t>
        </is>
      </c>
      <c r="E6" s="18" t="inlineStr">
        <is>
          <t>2024-08-31</t>
        </is>
      </c>
      <c r="F6" s="18" t="inlineStr">
        <is>
          <t>2024-11-30</t>
        </is>
      </c>
      <c r="G6" s="18" t="inlineStr">
        <is>
          <t>2025-02-28</t>
        </is>
      </c>
      <c r="H6" s="18" t="inlineStr">
        <is>
          <t>2025-05-31</t>
        </is>
      </c>
      <c r="I6" s="18" t="inlineStr">
        <is>
          <t>2025-08-31</t>
        </is>
      </c>
      <c r="J6" s="18" t="inlineStr">
        <is>
          <t>2025-11-30</t>
        </is>
      </c>
    </row>
    <row r="7" ht="16" customHeight="1">
      <c r="A7" s="94" t="inlineStr"/>
      <c r="B7" s="64" t="inlineStr">
        <is>
          <t>Revenue ($M)</t>
        </is>
      </c>
      <c r="C7" s="95" t="n">
        <v>4.004</v>
      </c>
      <c r="D7" s="95" t="n">
        <v>3.967</v>
      </c>
      <c r="E7" s="95" t="n">
        <v>3.581</v>
      </c>
      <c r="F7" s="95" t="n">
        <v>3.369</v>
      </c>
      <c r="G7" s="95" t="n">
        <v>3.132</v>
      </c>
      <c r="H7" s="95" t="n">
        <v>2.7</v>
      </c>
      <c r="I7" s="95" t="n">
        <v>3.986</v>
      </c>
      <c r="J7" s="95" t="n">
        <v>5.022</v>
      </c>
    </row>
    <row r="8" ht="16" customHeight="1">
      <c r="A8" s="94" t="inlineStr"/>
      <c r="B8" s="91" t="inlineStr">
        <is>
          <t>Gross Margin %</t>
        </is>
      </c>
      <c r="C8" s="69" t="n">
        <v>0.306</v>
      </c>
      <c r="D8" s="69" t="n">
        <v>0.422</v>
      </c>
      <c r="E8" s="69" t="n">
        <v>0.206</v>
      </c>
      <c r="F8" s="69" t="n">
        <v>0.297</v>
      </c>
      <c r="G8" s="69" t="n">
        <v>0.185</v>
      </c>
      <c r="H8" s="69" t="n">
        <v>0.144</v>
      </c>
      <c r="I8" s="69" t="n">
        <v>0.209</v>
      </c>
      <c r="J8" s="69" t="n">
        <v>0.343</v>
      </c>
    </row>
    <row r="9" ht="16" customHeight="1">
      <c r="A9" s="94" t="inlineStr"/>
      <c r="B9" s="26" t="inlineStr">
        <is>
          <t>QoQ Rev Growth</t>
        </is>
      </c>
      <c r="C9" s="48" t="n"/>
      <c r="D9" s="73" t="n">
        <v>-0.00924075924075924</v>
      </c>
      <c r="E9" s="73" t="n">
        <v>-0.09730274766826318</v>
      </c>
      <c r="F9" s="73" t="n">
        <v>-0.05920134040770735</v>
      </c>
      <c r="G9" s="73" t="n">
        <v>-0.07034728406055209</v>
      </c>
      <c r="H9" s="73" t="n">
        <v>-0.1379310344827586</v>
      </c>
      <c r="I9" s="73" t="n">
        <v>0.4762962962962963</v>
      </c>
      <c r="J9" s="73" t="n">
        <v>0.2599096838936277</v>
      </c>
    </row>
    <row r="10" ht="16" customHeight="1">
      <c r="A10" s="94" t="inlineStr"/>
      <c r="B10" s="20" t="inlineStr">
        <is>
          <t>YoY Rev Growth</t>
        </is>
      </c>
      <c r="C10" s="45" t="n"/>
      <c r="D10" s="45" t="n"/>
      <c r="E10" s="45" t="n"/>
      <c r="F10" s="45" t="n"/>
      <c r="G10" s="69" t="n">
        <v>-0.2177822177822178</v>
      </c>
      <c r="H10" s="69" t="n">
        <v>-0.3193849256365011</v>
      </c>
      <c r="I10" s="69" t="n">
        <v>0.1130969003071768</v>
      </c>
      <c r="J10" s="69" t="n">
        <v>0.4906500445235975</v>
      </c>
    </row>
    <row r="11" ht="8" customHeight="1"/>
    <row r="12" ht="18" customHeight="1">
      <c r="A12" s="91" t="inlineStr">
        <is>
          <t>CODA  —  Coda Octopus Group, Inc.</t>
        </is>
      </c>
      <c r="C12" s="92" t="inlineStr">
        <is>
          <t>Nano Cap</t>
        </is>
      </c>
      <c r="D12" s="72" t="inlineStr">
        <is>
          <t>Mkt Cap: $124M</t>
        </is>
      </c>
      <c r="E12" s="93" t="n"/>
      <c r="F12" s="93" t="n"/>
      <c r="G12" s="93" t="n"/>
      <c r="H12" s="93" t="n"/>
      <c r="I12" s="93" t="n"/>
      <c r="J12" s="93" t="n"/>
      <c r="K12" s="93" t="n"/>
    </row>
    <row r="13" ht="16" customHeight="1">
      <c r="A13" s="94" t="inlineStr"/>
      <c r="B13" s="18" t="inlineStr">
        <is>
          <t>Quarter</t>
        </is>
      </c>
      <c r="C13" s="18" t="inlineStr">
        <is>
          <t>2024-04-30</t>
        </is>
      </c>
      <c r="D13" s="18" t="inlineStr">
        <is>
          <t>2024-07-31</t>
        </is>
      </c>
      <c r="E13" s="18" t="inlineStr">
        <is>
          <t>2024-10-31</t>
        </is>
      </c>
      <c r="F13" s="18" t="inlineStr">
        <is>
          <t>2025-01-31</t>
        </is>
      </c>
      <c r="G13" s="18" t="inlineStr">
        <is>
          <t>2025-04-30</t>
        </is>
      </c>
      <c r="H13" s="18" t="inlineStr">
        <is>
          <t>2025-07-31</t>
        </is>
      </c>
      <c r="I13" s="18" t="inlineStr">
        <is>
          <t>2025-10-31</t>
        </is>
      </c>
      <c r="J13" s="18" t="inlineStr">
        <is>
          <t>2026-01-31</t>
        </is>
      </c>
    </row>
    <row r="14" ht="16" customHeight="1">
      <c r="A14" s="94" t="inlineStr"/>
      <c r="B14" s="64" t="inlineStr">
        <is>
          <t>Revenue ($M)</t>
        </is>
      </c>
      <c r="C14" s="95" t="n">
        <v>5.323178</v>
      </c>
      <c r="D14" s="95" t="n">
        <v>5.476544</v>
      </c>
      <c r="E14" s="95" t="n">
        <v>5.055248</v>
      </c>
      <c r="F14" s="95" t="n">
        <v>5.209715</v>
      </c>
      <c r="G14" s="95" t="n">
        <v>7.017459</v>
      </c>
      <c r="H14" s="95" t="n">
        <v>7.064795</v>
      </c>
      <c r="I14" s="95" t="n">
        <v>7.271157</v>
      </c>
      <c r="J14" s="95" t="n">
        <v>6.710112</v>
      </c>
    </row>
    <row r="15" ht="16" customHeight="1">
      <c r="A15" s="94" t="inlineStr"/>
      <c r="B15" s="91" t="inlineStr">
        <is>
          <t>Gross Margin %</t>
        </is>
      </c>
      <c r="C15" s="69" t="n">
        <v>0.7020000000000001</v>
      </c>
      <c r="D15" s="69" t="n">
        <v>0.7390000000000001</v>
      </c>
      <c r="E15" s="69" t="n">
        <v>0.653</v>
      </c>
      <c r="F15" s="69" t="n">
        <v>0.6579999999999999</v>
      </c>
      <c r="G15" s="69" t="n">
        <v>0.6409999999999999</v>
      </c>
      <c r="H15" s="69" t="n">
        <v>0.6829999999999999</v>
      </c>
      <c r="I15" s="69" t="n">
        <v>0.6759999999999999</v>
      </c>
      <c r="J15" s="69" t="n">
        <v>0.6509999999999999</v>
      </c>
    </row>
    <row r="16" ht="16" customHeight="1">
      <c r="A16" s="94" t="inlineStr"/>
      <c r="B16" s="26" t="inlineStr">
        <is>
          <t>QoQ Rev Growth</t>
        </is>
      </c>
      <c r="C16" s="48" t="n"/>
      <c r="D16" s="73" t="n">
        <v>0.02881098471627287</v>
      </c>
      <c r="E16" s="73" t="n">
        <v>-0.07692734688153698</v>
      </c>
      <c r="F16" s="73" t="n">
        <v>0.03055577095327469</v>
      </c>
      <c r="G16" s="73" t="n">
        <v>0.3469947972201934</v>
      </c>
      <c r="H16" s="73" t="n">
        <v>0.00674546156949403</v>
      </c>
      <c r="I16" s="73" t="n">
        <v>0.02920990630301375</v>
      </c>
      <c r="J16" s="73" t="n">
        <v>-0.07716034738350444</v>
      </c>
    </row>
    <row r="17" ht="16" customHeight="1">
      <c r="A17" s="94" t="inlineStr"/>
      <c r="B17" s="20" t="inlineStr">
        <is>
          <t>YoY Rev Growth</t>
        </is>
      </c>
      <c r="C17" s="45" t="n"/>
      <c r="D17" s="45" t="n"/>
      <c r="E17" s="45" t="n"/>
      <c r="F17" s="45" t="n"/>
      <c r="G17" s="69" t="n">
        <v>0.318283739525524</v>
      </c>
      <c r="H17" s="69" t="n">
        <v>0.2900097214593729</v>
      </c>
      <c r="I17" s="69" t="n">
        <v>0.438338336714638</v>
      </c>
      <c r="J17" s="69" t="n">
        <v>0.2879998234068467</v>
      </c>
    </row>
    <row r="18" ht="8" customHeight="1"/>
    <row r="19" ht="18" customHeight="1">
      <c r="A19" s="91" t="inlineStr">
        <is>
          <t>SCTQ  —  Spectra Systems Corporation</t>
        </is>
      </c>
      <c r="C19" s="92" t="inlineStr">
        <is>
          <t>Nano Cap</t>
        </is>
      </c>
      <c r="D19" s="72" t="inlineStr">
        <is>
          <t>Mkt Cap: $102M</t>
        </is>
      </c>
      <c r="E19" s="93" t="n"/>
      <c r="F19" s="93" t="n"/>
      <c r="G19" s="93" t="n"/>
      <c r="H19" s="93" t="n"/>
      <c r="I19" s="93" t="n"/>
      <c r="J19" s="93" t="n"/>
      <c r="K19" s="93" t="n"/>
    </row>
    <row r="20" ht="16" customHeight="1">
      <c r="A20" s="94" t="inlineStr"/>
      <c r="B20" s="18" t="inlineStr">
        <is>
          <t>Quarter</t>
        </is>
      </c>
      <c r="C20" s="18" t="inlineStr">
        <is>
          <t>2022-06-30</t>
        </is>
      </c>
      <c r="D20" s="18" t="inlineStr">
        <is>
          <t>2022-12-31</t>
        </is>
      </c>
      <c r="E20" s="18" t="inlineStr">
        <is>
          <t>2023-06-30</t>
        </is>
      </c>
      <c r="F20" s="18" t="inlineStr">
        <is>
          <t>2023-12-31</t>
        </is>
      </c>
      <c r="G20" s="18" t="inlineStr">
        <is>
          <t>2024-06-30</t>
        </is>
      </c>
      <c r="H20" s="18" t="inlineStr">
        <is>
          <t>2024-12-31</t>
        </is>
      </c>
      <c r="I20" s="18" t="inlineStr">
        <is>
          <t>2025-06-30</t>
        </is>
      </c>
    </row>
    <row r="21" ht="16" customHeight="1">
      <c r="A21" s="94" t="inlineStr"/>
      <c r="B21" s="64" t="inlineStr">
        <is>
          <t>Revenue ($M)</t>
        </is>
      </c>
      <c r="C21" s="95" t="n">
        <v>8.699408</v>
      </c>
      <c r="D21" s="95" t="n">
        <v>10.671525</v>
      </c>
      <c r="E21" s="95" t="n">
        <v>5.8105</v>
      </c>
      <c r="F21" s="95" t="n">
        <v>4.3335</v>
      </c>
      <c r="G21" s="95" t="n">
        <v>22.739</v>
      </c>
      <c r="H21" s="95" t="n">
        <v>26.452</v>
      </c>
      <c r="I21" s="95" t="n">
        <v>34.965</v>
      </c>
    </row>
    <row r="22" ht="16" customHeight="1">
      <c r="A22" s="94" t="inlineStr"/>
      <c r="B22" s="91" t="inlineStr">
        <is>
          <t>Gross Margin %</t>
        </is>
      </c>
      <c r="C22" s="69" t="n">
        <v>0.6609999999999999</v>
      </c>
      <c r="D22" s="69" t="n">
        <v>0.594</v>
      </c>
      <c r="E22" s="69" t="n">
        <v>0.6920000000000001</v>
      </c>
      <c r="F22" s="69" t="n">
        <v>0.644</v>
      </c>
      <c r="G22" s="69" t="n">
        <v>0.5589999999999999</v>
      </c>
      <c r="H22" s="69" t="n">
        <v>0.408</v>
      </c>
      <c r="I22" s="69" t="n">
        <v>0.57</v>
      </c>
    </row>
    <row r="23" ht="16" customHeight="1">
      <c r="A23" s="94" t="inlineStr"/>
      <c r="B23" s="26" t="inlineStr">
        <is>
          <t>QoQ Rev Growth</t>
        </is>
      </c>
      <c r="C23" s="48" t="n"/>
      <c r="D23" s="73" t="n">
        <v>0.2266955406620772</v>
      </c>
      <c r="E23" s="73" t="n">
        <v>-0.4555136215301936</v>
      </c>
      <c r="F23" s="73" t="n">
        <v>-0.2541949918251442</v>
      </c>
      <c r="G23" s="73" t="n">
        <v>4.24725972077997</v>
      </c>
      <c r="H23" s="73" t="n">
        <v>0.1632877435243414</v>
      </c>
      <c r="I23" s="73" t="n">
        <v>0.3218282171480417</v>
      </c>
    </row>
    <row r="24" ht="16" customHeight="1">
      <c r="A24" s="94" t="inlineStr"/>
      <c r="B24" s="20" t="inlineStr">
        <is>
          <t>YoY Rev Growth</t>
        </is>
      </c>
      <c r="C24" s="45" t="n"/>
      <c r="D24" s="45" t="n"/>
      <c r="E24" s="45" t="n"/>
      <c r="F24" s="45" t="n"/>
      <c r="G24" s="69" t="n">
        <v>1.613856023306413</v>
      </c>
      <c r="H24" s="69" t="n">
        <v>1.478746008653871</v>
      </c>
      <c r="I24" s="69" t="n">
        <v>5.017554427329834</v>
      </c>
    </row>
    <row r="25" ht="8" customHeight="1"/>
    <row r="26" ht="18" customHeight="1">
      <c r="A26" s="91" t="inlineStr">
        <is>
          <t>OPXS  —  Optex Systems Holdings, Inc</t>
        </is>
      </c>
      <c r="C26" s="92" t="inlineStr">
        <is>
          <t>Nano Cap</t>
        </is>
      </c>
      <c r="D26" s="72" t="inlineStr">
        <is>
          <t>Mkt Cap: $70M</t>
        </is>
      </c>
      <c r="E26" s="93" t="n"/>
      <c r="F26" s="93" t="n"/>
      <c r="G26" s="93" t="n"/>
      <c r="H26" s="93" t="n"/>
      <c r="I26" s="93" t="n"/>
      <c r="J26" s="93" t="n"/>
      <c r="K26" s="93" t="n"/>
    </row>
    <row r="27" ht="16" customHeight="1">
      <c r="A27" s="94" t="inlineStr"/>
      <c r="B27" s="18" t="inlineStr">
        <is>
          <t>Quarter</t>
        </is>
      </c>
      <c r="C27" s="18" t="inlineStr">
        <is>
          <t>2024-03-31</t>
        </is>
      </c>
      <c r="D27" s="18" t="inlineStr">
        <is>
          <t>2024-06-30</t>
        </is>
      </c>
      <c r="E27" s="18" t="inlineStr">
        <is>
          <t>2024-09-29</t>
        </is>
      </c>
      <c r="F27" s="18" t="inlineStr">
        <is>
          <t>2024-12-29</t>
        </is>
      </c>
      <c r="G27" s="18" t="inlineStr">
        <is>
          <t>2025-03-30</t>
        </is>
      </c>
      <c r="H27" s="18" t="inlineStr">
        <is>
          <t>2025-06-29</t>
        </is>
      </c>
      <c r="I27" s="18" t="inlineStr">
        <is>
          <t>2025-09-28</t>
        </is>
      </c>
      <c r="J27" s="18" t="inlineStr">
        <is>
          <t>2025-12-28</t>
        </is>
      </c>
    </row>
    <row r="28" ht="16" customHeight="1">
      <c r="A28" s="94" t="inlineStr"/>
      <c r="B28" s="64" t="inlineStr">
        <is>
          <t>Revenue ($M)</t>
        </is>
      </c>
      <c r="C28" s="95" t="n">
        <v>8.523</v>
      </c>
      <c r="D28" s="95" t="n">
        <v>9.06</v>
      </c>
      <c r="E28" s="95" t="n">
        <v>9.443</v>
      </c>
      <c r="F28" s="95" t="n">
        <v>8.198</v>
      </c>
      <c r="G28" s="95" t="n">
        <v>10.73</v>
      </c>
      <c r="H28" s="95" t="n">
        <v>11.11</v>
      </c>
      <c r="I28" s="95" t="n">
        <v>11.299</v>
      </c>
      <c r="J28" s="95" t="n">
        <v>9.145</v>
      </c>
    </row>
    <row r="29" ht="16" customHeight="1">
      <c r="A29" s="94" t="inlineStr"/>
      <c r="B29" s="91" t="inlineStr">
        <is>
          <t>Gross Margin %</t>
        </is>
      </c>
      <c r="C29" s="69" t="n">
        <v>0.3</v>
      </c>
      <c r="D29" s="69" t="n">
        <v>0.318</v>
      </c>
      <c r="E29" s="69" t="n">
        <v>0.255</v>
      </c>
      <c r="F29" s="69" t="n">
        <v>0.26</v>
      </c>
      <c r="G29" s="69" t="n">
        <v>0.313</v>
      </c>
      <c r="H29" s="69" t="n">
        <v>0.285</v>
      </c>
      <c r="I29" s="69" t="n">
        <v>0.301</v>
      </c>
      <c r="J29" s="69" t="n">
        <v>0.229</v>
      </c>
    </row>
    <row r="30" ht="16" customHeight="1">
      <c r="A30" s="94" t="inlineStr"/>
      <c r="B30" s="26" t="inlineStr">
        <is>
          <t>QoQ Rev Growth</t>
        </is>
      </c>
      <c r="C30" s="48" t="n"/>
      <c r="D30" s="73" t="n">
        <v>0.06300598380851813</v>
      </c>
      <c r="E30" s="73" t="n">
        <v>0.04227373068432671</v>
      </c>
      <c r="F30" s="73" t="n">
        <v>-0.1318436937413957</v>
      </c>
      <c r="G30" s="73" t="n">
        <v>0.3088558184923152</v>
      </c>
      <c r="H30" s="73" t="n">
        <v>0.03541472506989748</v>
      </c>
      <c r="I30" s="73" t="n">
        <v>0.01701170117011701</v>
      </c>
      <c r="J30" s="73" t="n">
        <v>-0.1906363394990707</v>
      </c>
    </row>
    <row r="31" ht="16" customHeight="1">
      <c r="A31" s="94" t="inlineStr"/>
      <c r="B31" s="20" t="inlineStr">
        <is>
          <t>YoY Rev Growth</t>
        </is>
      </c>
      <c r="C31" s="45" t="n"/>
      <c r="D31" s="45" t="n"/>
      <c r="E31" s="45" t="n"/>
      <c r="F31" s="45" t="n"/>
      <c r="G31" s="69" t="n">
        <v>0.2589463803824944</v>
      </c>
      <c r="H31" s="69" t="n">
        <v>0.2262693156732892</v>
      </c>
      <c r="I31" s="69" t="n">
        <v>0.1965477072964101</v>
      </c>
      <c r="J31" s="69" t="n">
        <v>0.1155159795071969</v>
      </c>
    </row>
    <row r="32" ht="8" customHeight="1"/>
    <row r="33" ht="18" customHeight="1">
      <c r="A33" s="91" t="inlineStr">
        <is>
          <t>KVHI  —  KVH Industries, Inc.</t>
        </is>
      </c>
      <c r="C33" s="92" t="inlineStr">
        <is>
          <t>Nano Cap</t>
        </is>
      </c>
      <c r="D33" s="72" t="inlineStr">
        <is>
          <t>Mkt Cap: $176M</t>
        </is>
      </c>
      <c r="E33" s="93" t="n"/>
      <c r="F33" s="93" t="n"/>
      <c r="G33" s="93" t="n"/>
      <c r="H33" s="93" t="n"/>
      <c r="I33" s="93" t="n"/>
      <c r="J33" s="93" t="n"/>
      <c r="K33" s="93" t="n"/>
    </row>
    <row r="34" ht="16" customHeight="1">
      <c r="A34" s="94" t="inlineStr"/>
      <c r="B34" s="18" t="inlineStr">
        <is>
          <t>Quarter</t>
        </is>
      </c>
      <c r="C34" s="18" t="inlineStr">
        <is>
          <t>2024-03-31</t>
        </is>
      </c>
      <c r="D34" s="18" t="inlineStr">
        <is>
          <t>2024-06-30</t>
        </is>
      </c>
      <c r="E34" s="18" t="inlineStr">
        <is>
          <t>2024-09-30</t>
        </is>
      </c>
      <c r="F34" s="18" t="inlineStr">
        <is>
          <t>2024-12-31</t>
        </is>
      </c>
      <c r="G34" s="18" t="inlineStr">
        <is>
          <t>2025-03-31</t>
        </is>
      </c>
      <c r="H34" s="18" t="inlineStr">
        <is>
          <t>2025-06-30</t>
        </is>
      </c>
      <c r="I34" s="18" t="inlineStr">
        <is>
          <t>2025-09-30</t>
        </is>
      </c>
      <c r="J34" s="18" t="inlineStr">
        <is>
          <t>2025-12-31</t>
        </is>
      </c>
    </row>
    <row r="35" ht="16" customHeight="1">
      <c r="A35" s="94" t="inlineStr"/>
      <c r="B35" s="64" t="inlineStr">
        <is>
          <t>Revenue ($M)</t>
        </is>
      </c>
      <c r="C35" s="95" t="n">
        <v>29.267</v>
      </c>
      <c r="D35" s="95" t="n">
        <v>28.673</v>
      </c>
      <c r="E35" s="95" t="n">
        <v>28.971</v>
      </c>
      <c r="F35" s="95" t="n">
        <v>26.917</v>
      </c>
      <c r="G35" s="95" t="n">
        <v>25.414</v>
      </c>
      <c r="H35" s="95" t="n">
        <v>26.623</v>
      </c>
      <c r="I35" s="95" t="n">
        <v>28.453</v>
      </c>
      <c r="J35" s="95" t="n">
        <v>30.519</v>
      </c>
    </row>
    <row r="36" ht="16" customHeight="1">
      <c r="A36" s="94" t="inlineStr"/>
      <c r="B36" s="91" t="inlineStr">
        <is>
          <t>Gross Margin %</t>
        </is>
      </c>
      <c r="C36" s="69" t="n">
        <v>0.339</v>
      </c>
      <c r="D36" s="69" t="n">
        <v>0.311</v>
      </c>
      <c r="E36" s="69" t="n">
        <v>0.32</v>
      </c>
      <c r="F36" s="69" t="n">
        <v>0.265</v>
      </c>
      <c r="G36" s="69" t="n">
        <v>0.293</v>
      </c>
      <c r="H36" s="69" t="n">
        <v>0.343</v>
      </c>
      <c r="I36" s="69" t="n">
        <v>0.067</v>
      </c>
      <c r="J36" s="69" t="n">
        <v>0.295</v>
      </c>
    </row>
    <row r="37" ht="16" customHeight="1">
      <c r="A37" s="94" t="inlineStr"/>
      <c r="B37" s="26" t="inlineStr">
        <is>
          <t>QoQ Rev Growth</t>
        </is>
      </c>
      <c r="C37" s="48" t="n"/>
      <c r="D37" s="73" t="n">
        <v>-0.02029589640209109</v>
      </c>
      <c r="E37" s="73" t="n">
        <v>0.01039305269765982</v>
      </c>
      <c r="F37" s="73" t="n">
        <v>-0.07089848469158815</v>
      </c>
      <c r="G37" s="73" t="n">
        <v>-0.05583831779173013</v>
      </c>
      <c r="H37" s="73" t="n">
        <v>0.04757220429684426</v>
      </c>
      <c r="I37" s="73" t="n">
        <v>0.06873755775081697</v>
      </c>
      <c r="J37" s="73" t="n">
        <v>0.07261097248093347</v>
      </c>
    </row>
    <row r="38" ht="16" customHeight="1">
      <c r="A38" s="94" t="inlineStr"/>
      <c r="B38" s="20" t="inlineStr">
        <is>
          <t>YoY Rev Growth</t>
        </is>
      </c>
      <c r="C38" s="45" t="n"/>
      <c r="D38" s="45" t="n"/>
      <c r="E38" s="45" t="n"/>
      <c r="F38" s="45" t="n"/>
      <c r="G38" s="69" t="n">
        <v>-0.1316499812075033</v>
      </c>
      <c r="H38" s="69" t="n">
        <v>-0.07149583231611621</v>
      </c>
      <c r="I38" s="69" t="n">
        <v>-0.01787994891443167</v>
      </c>
      <c r="J38" s="69" t="n">
        <v>0.1338187762380652</v>
      </c>
    </row>
    <row r="39" ht="8" customHeight="1"/>
    <row r="40" ht="18" customHeight="1">
      <c r="A40" s="91" t="inlineStr">
        <is>
          <t>SSTI  —  SoundThinking, Inc.</t>
        </is>
      </c>
      <c r="C40" s="92" t="inlineStr">
        <is>
          <t>Nano Cap</t>
        </is>
      </c>
      <c r="D40" s="72" t="inlineStr">
        <is>
          <t>Mkt Cap: $88M</t>
        </is>
      </c>
      <c r="E40" s="93" t="n"/>
      <c r="F40" s="93" t="n"/>
      <c r="G40" s="93" t="n"/>
      <c r="H40" s="93" t="n"/>
      <c r="I40" s="93" t="n"/>
      <c r="J40" s="93" t="n"/>
      <c r="K40" s="93" t="n"/>
    </row>
    <row r="41" ht="16" customHeight="1">
      <c r="A41" s="94" t="inlineStr"/>
      <c r="B41" s="18" t="inlineStr">
        <is>
          <t>Quarter</t>
        </is>
      </c>
      <c r="C41" s="18" t="inlineStr">
        <is>
          <t>2024-03-31</t>
        </is>
      </c>
      <c r="D41" s="18" t="inlineStr">
        <is>
          <t>2024-06-30</t>
        </is>
      </c>
      <c r="E41" s="18" t="inlineStr">
        <is>
          <t>2024-09-30</t>
        </is>
      </c>
      <c r="F41" s="18" t="inlineStr">
        <is>
          <t>2024-12-31</t>
        </is>
      </c>
      <c r="G41" s="18" t="inlineStr">
        <is>
          <t>2025-03-31</t>
        </is>
      </c>
      <c r="H41" s="18" t="inlineStr">
        <is>
          <t>2025-06-30</t>
        </is>
      </c>
      <c r="I41" s="18" t="inlineStr">
        <is>
          <t>2025-09-30</t>
        </is>
      </c>
      <c r="J41" s="18" t="inlineStr">
        <is>
          <t>2025-12-31</t>
        </is>
      </c>
    </row>
    <row r="42" ht="16" customHeight="1">
      <c r="A42" s="94" t="inlineStr"/>
      <c r="B42" s="64" t="inlineStr">
        <is>
          <t>Revenue ($M)</t>
        </is>
      </c>
      <c r="C42" s="95" t="n">
        <v>25.41</v>
      </c>
      <c r="D42" s="95" t="n">
        <v>26.96</v>
      </c>
      <c r="E42" s="95" t="n">
        <v>26.25</v>
      </c>
      <c r="F42" s="95" t="n">
        <v>23.411</v>
      </c>
      <c r="G42" s="95" t="n">
        <v>28.349</v>
      </c>
      <c r="H42" s="95" t="n">
        <v>25.889</v>
      </c>
      <c r="I42" s="95" t="n">
        <v>25.1</v>
      </c>
      <c r="J42" s="95" t="n">
        <v>24.789</v>
      </c>
    </row>
    <row r="43" ht="16" customHeight="1">
      <c r="A43" s="94" t="inlineStr"/>
      <c r="B43" s="91" t="inlineStr">
        <is>
          <t>Gross Margin %</t>
        </is>
      </c>
      <c r="C43" s="69" t="n">
        <v>0.586</v>
      </c>
      <c r="D43" s="69" t="n">
        <v>0.6</v>
      </c>
      <c r="E43" s="69" t="n">
        <v>0.58</v>
      </c>
      <c r="F43" s="69" t="n">
        <v>0.508</v>
      </c>
      <c r="G43" s="69" t="n">
        <v>0.585</v>
      </c>
      <c r="H43" s="69" t="n">
        <v>0.5329999999999999</v>
      </c>
      <c r="I43" s="69" t="n">
        <v>0.5429999999999999</v>
      </c>
      <c r="J43" s="69" t="n">
        <v>0.509</v>
      </c>
    </row>
    <row r="44" ht="16" customHeight="1">
      <c r="A44" s="94" t="inlineStr"/>
      <c r="B44" s="26" t="inlineStr">
        <is>
          <t>QoQ Rev Growth</t>
        </is>
      </c>
      <c r="C44" s="48" t="n"/>
      <c r="D44" s="73" t="n">
        <v>0.06099960645415191</v>
      </c>
      <c r="E44" s="73" t="n">
        <v>-0.0263353115727003</v>
      </c>
      <c r="F44" s="73" t="n">
        <v>-0.108152380952381</v>
      </c>
      <c r="G44" s="73" t="n">
        <v>0.2109264875485883</v>
      </c>
      <c r="H44" s="73" t="n">
        <v>-0.08677554763836468</v>
      </c>
      <c r="I44" s="73" t="n">
        <v>-0.03047626405036888</v>
      </c>
      <c r="J44" s="73" t="n">
        <v>-0.01239043824701195</v>
      </c>
    </row>
    <row r="45" ht="16" customHeight="1">
      <c r="A45" s="94" t="inlineStr"/>
      <c r="B45" s="20" t="inlineStr">
        <is>
          <t>YoY Rev Growth</t>
        </is>
      </c>
      <c r="C45" s="45" t="n"/>
      <c r="D45" s="45" t="n"/>
      <c r="E45" s="45" t="n"/>
      <c r="F45" s="45" t="n"/>
      <c r="G45" s="69" t="n">
        <v>0.1156631247540338</v>
      </c>
      <c r="H45" s="69" t="n">
        <v>-0.03972551928783383</v>
      </c>
      <c r="I45" s="69" t="n">
        <v>-0.04380952380952381</v>
      </c>
      <c r="J45" s="69" t="n">
        <v>0.05886121908504549</v>
      </c>
    </row>
    <row r="46" ht="8" customHeight="1"/>
    <row r="47" ht="18" customHeight="1">
      <c r="A47" s="91" t="inlineStr">
        <is>
          <t>SPRU  —  Spruce Power Holding Corporation</t>
        </is>
      </c>
      <c r="C47" s="92" t="inlineStr">
        <is>
          <t>Nano Cap</t>
        </is>
      </c>
      <c r="D47" s="72" t="inlineStr">
        <is>
          <t>Mkt Cap: $61M</t>
        </is>
      </c>
      <c r="E47" s="93" t="n"/>
      <c r="F47" s="93" t="n"/>
      <c r="G47" s="93" t="n"/>
      <c r="H47" s="93" t="n"/>
      <c r="I47" s="93" t="n"/>
      <c r="J47" s="93" t="n"/>
      <c r="K47" s="93" t="n"/>
    </row>
    <row r="48" ht="16" customHeight="1">
      <c r="A48" s="94" t="inlineStr"/>
      <c r="B48" s="18" t="inlineStr">
        <is>
          <t>Quarter</t>
        </is>
      </c>
      <c r="C48" s="18" t="inlineStr">
        <is>
          <t>2024-03-31</t>
        </is>
      </c>
      <c r="D48" s="18" t="inlineStr">
        <is>
          <t>2024-06-30</t>
        </is>
      </c>
      <c r="E48" s="18" t="inlineStr">
        <is>
          <t>2024-09-30</t>
        </is>
      </c>
      <c r="F48" s="18" t="inlineStr">
        <is>
          <t>2024-12-31</t>
        </is>
      </c>
      <c r="G48" s="18" t="inlineStr">
        <is>
          <t>2025-03-31</t>
        </is>
      </c>
      <c r="H48" s="18" t="inlineStr">
        <is>
          <t>2025-06-30</t>
        </is>
      </c>
      <c r="I48" s="18" t="inlineStr">
        <is>
          <t>2025-09-30</t>
        </is>
      </c>
      <c r="J48" s="18" t="inlineStr">
        <is>
          <t>2025-12-31</t>
        </is>
      </c>
    </row>
    <row r="49" ht="16" customHeight="1">
      <c r="A49" s="94" t="inlineStr"/>
      <c r="B49" s="64" t="inlineStr">
        <is>
          <t>Revenue ($M)</t>
        </is>
      </c>
      <c r="C49" s="95" t="n">
        <v>18.287</v>
      </c>
      <c r="D49" s="95" t="n">
        <v>22.481</v>
      </c>
      <c r="E49" s="95" t="n">
        <v>21.378</v>
      </c>
      <c r="F49" s="95" t="n">
        <v>20.226</v>
      </c>
      <c r="G49" s="95" t="n">
        <v>23.818</v>
      </c>
      <c r="H49" s="95" t="n">
        <v>33.239</v>
      </c>
      <c r="I49" s="95" t="n">
        <v>30.727</v>
      </c>
      <c r="J49" s="95" t="n">
        <v>24.028</v>
      </c>
    </row>
    <row r="50" ht="16" customHeight="1">
      <c r="A50" s="94" t="inlineStr"/>
      <c r="B50" s="91" t="inlineStr">
        <is>
          <t>Gross Margin %</t>
        </is>
      </c>
      <c r="C50" s="69" t="n">
        <v>0.515</v>
      </c>
      <c r="D50" s="69" t="n">
        <v>0.5489999999999999</v>
      </c>
      <c r="E50" s="69" t="n">
        <v>0.5479999999999999</v>
      </c>
      <c r="F50" s="69" t="n">
        <v>0.433</v>
      </c>
      <c r="G50" s="69" t="n">
        <v>0.531</v>
      </c>
      <c r="H50" s="69" t="n">
        <v>0.716</v>
      </c>
      <c r="I50" s="69" t="n">
        <v>0.6829999999999999</v>
      </c>
      <c r="J50" s="69" t="n">
        <v>1.05</v>
      </c>
    </row>
    <row r="51" ht="16" customHeight="1">
      <c r="A51" s="94" t="inlineStr"/>
      <c r="B51" s="26" t="inlineStr">
        <is>
          <t>QoQ Rev Growth</t>
        </is>
      </c>
      <c r="C51" s="48" t="n"/>
      <c r="D51" s="73" t="n">
        <v>0.2293432493027834</v>
      </c>
      <c r="E51" s="73" t="n">
        <v>-0.04906365375205729</v>
      </c>
      <c r="F51" s="73" t="n">
        <v>-0.0538871737300028</v>
      </c>
      <c r="G51" s="73" t="n">
        <v>0.177593196875309</v>
      </c>
      <c r="H51" s="73" t="n">
        <v>0.3955411873373079</v>
      </c>
      <c r="I51" s="73" t="n">
        <v>-0.07557387406359999</v>
      </c>
      <c r="J51" s="73" t="n">
        <v>-0.2180167279591239</v>
      </c>
    </row>
    <row r="52" ht="16" customHeight="1">
      <c r="A52" s="94" t="inlineStr"/>
      <c r="B52" s="20" t="inlineStr">
        <is>
          <t>YoY Rev Growth</t>
        </is>
      </c>
      <c r="C52" s="45" t="n"/>
      <c r="D52" s="45" t="n"/>
      <c r="E52" s="45" t="n"/>
      <c r="F52" s="45" t="n"/>
      <c r="G52" s="69" t="n">
        <v>0.3024552961119921</v>
      </c>
      <c r="H52" s="69" t="n">
        <v>0.4785374316089142</v>
      </c>
      <c r="I52" s="69" t="n">
        <v>0.4373187388904481</v>
      </c>
      <c r="J52" s="69" t="n">
        <v>0.1879758726391773</v>
      </c>
    </row>
    <row r="53" ht="8" customHeight="1"/>
    <row r="54" ht="18" customHeight="1">
      <c r="A54" s="91" t="inlineStr">
        <is>
          <t>TAYD  —  Taylor Devices, Inc.</t>
        </is>
      </c>
      <c r="C54" s="92" t="inlineStr">
        <is>
          <t>Nano Cap</t>
        </is>
      </c>
      <c r="D54" s="72" t="inlineStr">
        <is>
          <t>Mkt Cap: $175M</t>
        </is>
      </c>
      <c r="E54" s="93" t="n"/>
      <c r="F54" s="93" t="n"/>
      <c r="G54" s="93" t="n"/>
      <c r="H54" s="93" t="n"/>
      <c r="I54" s="93" t="n"/>
      <c r="J54" s="93" t="n"/>
      <c r="K54" s="93" t="n"/>
    </row>
    <row r="55" ht="16" customHeight="1">
      <c r="A55" s="94" t="inlineStr"/>
      <c r="B55" s="18" t="inlineStr">
        <is>
          <t>Quarter</t>
        </is>
      </c>
      <c r="C55" s="18" t="inlineStr">
        <is>
          <t>2024-05-31</t>
        </is>
      </c>
      <c r="D55" s="18" t="inlineStr">
        <is>
          <t>2024-08-31</t>
        </is>
      </c>
      <c r="E55" s="18" t="inlineStr">
        <is>
          <t>2024-11-30</t>
        </is>
      </c>
      <c r="F55" s="18" t="inlineStr">
        <is>
          <t>2025-02-28</t>
        </is>
      </c>
      <c r="G55" s="18" t="inlineStr">
        <is>
          <t>2025-05-31</t>
        </is>
      </c>
      <c r="H55" s="18" t="inlineStr">
        <is>
          <t>2025-08-31</t>
        </is>
      </c>
      <c r="I55" s="18" t="inlineStr">
        <is>
          <t>2025-11-30</t>
        </is>
      </c>
      <c r="J55" s="18" t="inlineStr">
        <is>
          <t>2026-02-28</t>
        </is>
      </c>
    </row>
    <row r="56" ht="16" customHeight="1">
      <c r="A56" s="94" t="inlineStr"/>
      <c r="B56" s="64" t="inlineStr">
        <is>
          <t>Revenue ($M)</t>
        </is>
      </c>
      <c r="C56" s="95" t="n">
        <v>12.065211</v>
      </c>
      <c r="D56" s="95" t="n">
        <v>11.617856</v>
      </c>
      <c r="E56" s="95" t="n">
        <v>3.8861</v>
      </c>
      <c r="F56" s="95" t="n">
        <v>10.564834</v>
      </c>
      <c r="G56" s="95" t="n">
        <v>15.561154</v>
      </c>
      <c r="H56" s="95" t="n">
        <v>9.91835</v>
      </c>
      <c r="I56" s="95" t="n">
        <v>11.603472</v>
      </c>
      <c r="J56" s="95" t="n">
        <v>11.173201</v>
      </c>
    </row>
    <row r="57" ht="16" customHeight="1">
      <c r="A57" s="94" t="inlineStr"/>
      <c r="B57" s="91" t="inlineStr">
        <is>
          <t>Gross Margin %</t>
        </is>
      </c>
      <c r="C57" s="69" t="n">
        <v>0.488</v>
      </c>
      <c r="D57" s="69" t="n">
        <v>0.474</v>
      </c>
      <c r="E57" s="69" t="n">
        <v>1</v>
      </c>
      <c r="F57" s="69" t="n">
        <v>0.429</v>
      </c>
      <c r="G57" s="69" t="n">
        <v>0.486</v>
      </c>
      <c r="H57" s="69" t="n">
        <v>0.448</v>
      </c>
      <c r="I57" s="69" t="n">
        <v>0.47</v>
      </c>
      <c r="J57" s="69" t="n">
        <v>0.402</v>
      </c>
    </row>
    <row r="58" ht="16" customHeight="1">
      <c r="A58" s="94" t="inlineStr"/>
      <c r="B58" s="26" t="inlineStr">
        <is>
          <t>QoQ Rev Growth</t>
        </is>
      </c>
      <c r="C58" s="48" t="n"/>
      <c r="D58" s="73" t="n">
        <v>-0.03707809171343957</v>
      </c>
      <c r="E58" s="73" t="n">
        <v>-0.665506268970798</v>
      </c>
      <c r="F58" s="73" t="n">
        <v>1.718621239803402</v>
      </c>
      <c r="G58" s="73" t="n">
        <v>0.4729198773970325</v>
      </c>
      <c r="H58" s="73" t="n">
        <v>-0.3626211783521968</v>
      </c>
      <c r="I58" s="73" t="n">
        <v>0.1698994288364496</v>
      </c>
      <c r="J58" s="73" t="n">
        <v>-0.03708122879083088</v>
      </c>
    </row>
    <row r="59" ht="16" customHeight="1">
      <c r="A59" s="94" t="inlineStr"/>
      <c r="B59" s="20" t="inlineStr">
        <is>
          <t>YoY Rev Growth</t>
        </is>
      </c>
      <c r="C59" s="45" t="n"/>
      <c r="D59" s="45" t="n"/>
      <c r="E59" s="45" t="n"/>
      <c r="F59" s="45" t="n"/>
      <c r="G59" s="69" t="n">
        <v>0.2897539877255358</v>
      </c>
      <c r="H59" s="69" t="n">
        <v>-0.1462839615157909</v>
      </c>
      <c r="I59" s="69" t="n">
        <v>1.985891253441754</v>
      </c>
      <c r="J59" s="69" t="n">
        <v>0.05758415134587065</v>
      </c>
    </row>
    <row r="60" ht="8" customHeight="1"/>
    <row r="61" ht="18" customHeight="1">
      <c r="A61" s="91" t="inlineStr">
        <is>
          <t>BYRN  —  Byrna Technologies Inc.</t>
        </is>
      </c>
      <c r="C61" s="92" t="inlineStr">
        <is>
          <t>Nano Cap</t>
        </is>
      </c>
      <c r="D61" s="72" t="inlineStr">
        <is>
          <t>Mkt Cap: $130M</t>
        </is>
      </c>
      <c r="E61" s="93" t="n"/>
      <c r="F61" s="93" t="n"/>
      <c r="G61" s="93" t="n"/>
      <c r="H61" s="93" t="n"/>
      <c r="I61" s="93" t="n"/>
      <c r="J61" s="93" t="n"/>
      <c r="K61" s="93" t="n"/>
    </row>
    <row r="62" ht="16" customHeight="1">
      <c r="A62" s="94" t="inlineStr"/>
      <c r="B62" s="18" t="inlineStr">
        <is>
          <t>Quarter</t>
        </is>
      </c>
      <c r="C62" s="18" t="inlineStr">
        <is>
          <t>2024-05-31</t>
        </is>
      </c>
      <c r="D62" s="18" t="inlineStr">
        <is>
          <t>2024-08-31</t>
        </is>
      </c>
      <c r="E62" s="18" t="inlineStr">
        <is>
          <t>2024-11-30</t>
        </is>
      </c>
      <c r="F62" s="18" t="inlineStr">
        <is>
          <t>2025-02-28</t>
        </is>
      </c>
      <c r="G62" s="18" t="inlineStr">
        <is>
          <t>2025-05-31</t>
        </is>
      </c>
      <c r="H62" s="18" t="inlineStr">
        <is>
          <t>2025-08-31</t>
        </is>
      </c>
      <c r="I62" s="18" t="inlineStr">
        <is>
          <t>2025-11-30</t>
        </is>
      </c>
      <c r="J62" s="18" t="inlineStr">
        <is>
          <t>2026-02-28</t>
        </is>
      </c>
    </row>
    <row r="63" ht="16" customHeight="1">
      <c r="A63" s="94" t="inlineStr"/>
      <c r="B63" s="64" t="inlineStr">
        <is>
          <t>Revenue ($M)</t>
        </is>
      </c>
      <c r="C63" s="95" t="n">
        <v>20.269</v>
      </c>
      <c r="D63" s="95" t="n">
        <v>20.854</v>
      </c>
      <c r="E63" s="95" t="n">
        <v>27.979</v>
      </c>
      <c r="F63" s="95" t="n">
        <v>26.19</v>
      </c>
      <c r="G63" s="95" t="n">
        <v>28.505</v>
      </c>
      <c r="H63" s="95" t="n">
        <v>28.179</v>
      </c>
      <c r="I63" s="95" t="n">
        <v>35.246</v>
      </c>
      <c r="J63" s="95" t="n">
        <v>29.049</v>
      </c>
    </row>
    <row r="64" ht="16" customHeight="1">
      <c r="A64" s="94" t="inlineStr"/>
      <c r="B64" s="91" t="inlineStr">
        <is>
          <t>Gross Margin %</t>
        </is>
      </c>
      <c r="C64" s="69" t="n">
        <v>0.62</v>
      </c>
      <c r="D64" s="69" t="n">
        <v>0.624</v>
      </c>
      <c r="E64" s="69" t="n">
        <v>0.628</v>
      </c>
      <c r="F64" s="69" t="n">
        <v>0.608</v>
      </c>
      <c r="G64" s="69" t="n">
        <v>0.616</v>
      </c>
      <c r="H64" s="69" t="n">
        <v>0.601</v>
      </c>
      <c r="I64" s="69" t="n">
        <v>0.598</v>
      </c>
      <c r="J64" s="69" t="n">
        <v>0.599</v>
      </c>
    </row>
    <row r="65" ht="16" customHeight="1">
      <c r="A65" s="94" t="inlineStr"/>
      <c r="B65" s="26" t="inlineStr">
        <is>
          <t>QoQ Rev Growth</t>
        </is>
      </c>
      <c r="C65" s="48" t="n"/>
      <c r="D65" s="73" t="n">
        <v>0.02886180867334353</v>
      </c>
      <c r="E65" s="73" t="n">
        <v>0.3416610722163614</v>
      </c>
      <c r="F65" s="73" t="n">
        <v>-0.06394081275242146</v>
      </c>
      <c r="G65" s="73" t="n">
        <v>0.08839251622756777</v>
      </c>
      <c r="H65" s="73" t="n">
        <v>-0.01143659007191721</v>
      </c>
      <c r="I65" s="73" t="n">
        <v>0.2507895950885411</v>
      </c>
      <c r="J65" s="73" t="n">
        <v>-0.1758213698008285</v>
      </c>
    </row>
    <row r="66" ht="16" customHeight="1">
      <c r="A66" s="94" t="inlineStr"/>
      <c r="B66" s="20" t="inlineStr">
        <is>
          <t>YoY Rev Growth</t>
        </is>
      </c>
      <c r="C66" s="45" t="n"/>
      <c r="D66" s="45" t="n"/>
      <c r="E66" s="45" t="n"/>
      <c r="F66" s="45" t="n"/>
      <c r="G66" s="69" t="n">
        <v>0.4063347969806108</v>
      </c>
      <c r="H66" s="69" t="n">
        <v>0.3512515584540136</v>
      </c>
      <c r="I66" s="69" t="n">
        <v>0.2597305121698417</v>
      </c>
      <c r="J66" s="69" t="n">
        <v>0.109163802978236</v>
      </c>
    </row>
    <row r="67" ht="8" customHeight="1"/>
    <row r="68" ht="18" customHeight="1">
      <c r="A68" s="91" t="inlineStr">
        <is>
          <t>ULBI  —  Ultralife Corporation</t>
        </is>
      </c>
      <c r="C68" s="92" t="inlineStr">
        <is>
          <t>Nano Cap</t>
        </is>
      </c>
      <c r="D68" s="72" t="inlineStr">
        <is>
          <t>Mkt Cap: $114M</t>
        </is>
      </c>
      <c r="E68" s="93" t="n"/>
      <c r="F68" s="93" t="n"/>
      <c r="G68" s="93" t="n"/>
      <c r="H68" s="93" t="n"/>
      <c r="I68" s="93" t="n"/>
      <c r="J68" s="93" t="n"/>
      <c r="K68" s="93" t="n"/>
    </row>
    <row r="69" ht="16" customHeight="1">
      <c r="A69" s="94" t="inlineStr"/>
      <c r="B69" s="18" t="inlineStr">
        <is>
          <t>Quarter</t>
        </is>
      </c>
      <c r="C69" s="18" t="inlineStr">
        <is>
          <t>2024-03-31</t>
        </is>
      </c>
      <c r="D69" s="18" t="inlineStr">
        <is>
          <t>2024-06-30</t>
        </is>
      </c>
      <c r="E69" s="18" t="inlineStr">
        <is>
          <t>2024-09-30</t>
        </is>
      </c>
      <c r="F69" s="18" t="inlineStr">
        <is>
          <t>2024-12-31</t>
        </is>
      </c>
      <c r="G69" s="18" t="inlineStr">
        <is>
          <t>2025-03-31</t>
        </is>
      </c>
      <c r="H69" s="18" t="inlineStr">
        <is>
          <t>2025-06-30</t>
        </is>
      </c>
      <c r="I69" s="18" t="inlineStr">
        <is>
          <t>2025-09-30</t>
        </is>
      </c>
      <c r="J69" s="18" t="inlineStr">
        <is>
          <t>2025-12-31</t>
        </is>
      </c>
    </row>
    <row r="70" ht="16" customHeight="1">
      <c r="A70" s="94" t="inlineStr"/>
      <c r="B70" s="64" t="inlineStr">
        <is>
          <t>Revenue ($M)</t>
        </is>
      </c>
      <c r="C70" s="95" t="n">
        <v>41.927</v>
      </c>
      <c r="D70" s="95" t="n">
        <v>42.983</v>
      </c>
      <c r="E70" s="95" t="n">
        <v>35.694</v>
      </c>
      <c r="F70" s="95" t="n">
        <v>43.852</v>
      </c>
      <c r="G70" s="95" t="n">
        <v>50.746</v>
      </c>
      <c r="H70" s="95" t="n">
        <v>48.561</v>
      </c>
      <c r="I70" s="95" t="n">
        <v>43.371</v>
      </c>
      <c r="J70" s="95" t="n">
        <v>48.481</v>
      </c>
    </row>
    <row r="71" ht="16" customHeight="1">
      <c r="A71" s="94" t="inlineStr"/>
      <c r="B71" s="91" t="inlineStr">
        <is>
          <t>Gross Margin %</t>
        </is>
      </c>
      <c r="C71" s="69" t="n">
        <v>0.274</v>
      </c>
      <c r="D71" s="69" t="n">
        <v>0.269</v>
      </c>
      <c r="E71" s="69" t="n">
        <v>0.243</v>
      </c>
      <c r="F71" s="69" t="n">
        <v>0.242</v>
      </c>
      <c r="G71" s="69" t="n">
        <v>0.251</v>
      </c>
      <c r="H71" s="69" t="n">
        <v>0.239</v>
      </c>
      <c r="I71" s="69" t="n">
        <v>0.222</v>
      </c>
      <c r="J71" s="69" t="n">
        <v>0.249</v>
      </c>
    </row>
    <row r="72" ht="16" customHeight="1">
      <c r="A72" s="94" t="inlineStr"/>
      <c r="B72" s="26" t="inlineStr">
        <is>
          <t>QoQ Rev Growth</t>
        </is>
      </c>
      <c r="C72" s="48" t="n"/>
      <c r="D72" s="73" t="n">
        <v>0.02518663391132206</v>
      </c>
      <c r="E72" s="73" t="n">
        <v>-0.1695786706372287</v>
      </c>
      <c r="F72" s="73" t="n">
        <v>0.2285538185689472</v>
      </c>
      <c r="G72" s="73" t="n">
        <v>0.1572106175316975</v>
      </c>
      <c r="H72" s="73" t="n">
        <v>-0.04305758089307531</v>
      </c>
      <c r="I72" s="73" t="n">
        <v>-0.1068758880583184</v>
      </c>
      <c r="J72" s="73" t="n">
        <v>0.1178206635770446</v>
      </c>
    </row>
    <row r="73" ht="16" customHeight="1">
      <c r="A73" s="94" t="inlineStr"/>
      <c r="B73" s="20" t="inlineStr">
        <is>
          <t>YoY Rev Growth</t>
        </is>
      </c>
      <c r="C73" s="45" t="n"/>
      <c r="D73" s="45" t="n"/>
      <c r="E73" s="45" t="n"/>
      <c r="F73" s="45" t="n"/>
      <c r="G73" s="69" t="n">
        <v>0.210341784530255</v>
      </c>
      <c r="H73" s="69" t="n">
        <v>0.1297722355349789</v>
      </c>
      <c r="I73" s="69" t="n">
        <v>0.2150781643973777</v>
      </c>
      <c r="J73" s="69" t="n">
        <v>0.1055596095959135</v>
      </c>
    </row>
    <row r="74" ht="8" customHeight="1"/>
    <row r="75" ht="22" customHeight="1">
      <c r="A75" s="16" t="inlineStr">
        <is>
          <t xml:space="preserve">  Small Cap</t>
        </is>
      </c>
      <c r="B75" s="17" t="n"/>
      <c r="C75" s="17" t="n"/>
      <c r="D75" s="17" t="n"/>
      <c r="E75" s="17" t="n"/>
      <c r="F75" s="17" t="n"/>
      <c r="G75" s="17" t="n"/>
      <c r="H75" s="17" t="n"/>
      <c r="I75" s="17" t="n"/>
      <c r="J75" s="17" t="n"/>
      <c r="K75" s="17" t="n"/>
    </row>
    <row r="76" ht="18" customHeight="1">
      <c r="A76" s="91" t="inlineStr">
        <is>
          <t>GOGO  —  Gogo Inc.</t>
        </is>
      </c>
      <c r="C76" s="92" t="inlineStr">
        <is>
          <t>Small Cap</t>
        </is>
      </c>
      <c r="D76" s="72" t="inlineStr">
        <is>
          <t>Mkt Cap: $534M</t>
        </is>
      </c>
      <c r="E76" s="93" t="n"/>
      <c r="F76" s="93" t="n"/>
      <c r="G76" s="93" t="n"/>
      <c r="H76" s="93" t="n"/>
      <c r="I76" s="93" t="n"/>
      <c r="J76" s="93" t="n"/>
      <c r="K76" s="93" t="n"/>
    </row>
    <row r="77" ht="16" customHeight="1">
      <c r="A77" s="94" t="inlineStr"/>
      <c r="B77" s="18" t="inlineStr">
        <is>
          <t>Quarter</t>
        </is>
      </c>
      <c r="C77" s="18" t="inlineStr">
        <is>
          <t>2024-03-31</t>
        </is>
      </c>
      <c r="D77" s="18" t="inlineStr">
        <is>
          <t>2024-06-30</t>
        </is>
      </c>
      <c r="E77" s="18" t="inlineStr">
        <is>
          <t>2024-09-30</t>
        </is>
      </c>
      <c r="F77" s="18" t="inlineStr">
        <is>
          <t>2024-12-31</t>
        </is>
      </c>
      <c r="G77" s="18" t="inlineStr">
        <is>
          <t>2025-03-31</t>
        </is>
      </c>
      <c r="H77" s="18" t="inlineStr">
        <is>
          <t>2025-06-30</t>
        </is>
      </c>
      <c r="I77" s="18" t="inlineStr">
        <is>
          <t>2025-09-30</t>
        </is>
      </c>
      <c r="J77" s="18" t="inlineStr">
        <is>
          <t>2025-12-31</t>
        </is>
      </c>
    </row>
    <row r="78" ht="16" customHeight="1">
      <c r="A78" s="94" t="inlineStr"/>
      <c r="B78" s="64" t="inlineStr">
        <is>
          <t>Revenue ($M)</t>
        </is>
      </c>
      <c r="C78" s="95" t="n">
        <v>104.322</v>
      </c>
      <c r="D78" s="95" t="n">
        <v>102.059</v>
      </c>
      <c r="E78" s="95" t="n">
        <v>100.529</v>
      </c>
      <c r="F78" s="95" t="n">
        <v>137.799</v>
      </c>
      <c r="G78" s="95" t="n">
        <v>230.307</v>
      </c>
      <c r="H78" s="95" t="n">
        <v>226.038</v>
      </c>
      <c r="I78" s="95" t="n">
        <v>223.585</v>
      </c>
      <c r="J78" s="95" t="n">
        <v>230.561</v>
      </c>
    </row>
    <row r="79" ht="16" customHeight="1">
      <c r="A79" s="94" t="inlineStr"/>
      <c r="B79" s="91" t="inlineStr">
        <is>
          <t>Gross Margin %</t>
        </is>
      </c>
      <c r="C79" s="69" t="n">
        <v>0.677</v>
      </c>
      <c r="D79" s="69" t="n">
        <v>0.654</v>
      </c>
      <c r="E79" s="69" t="n">
        <v>0.66</v>
      </c>
      <c r="F79" s="69" t="n">
        <v>0.54</v>
      </c>
      <c r="G79" s="69" t="n">
        <v>0.5920000000000001</v>
      </c>
      <c r="H79" s="69" t="n">
        <v>0.473</v>
      </c>
      <c r="I79" s="69" t="n">
        <v>0.59</v>
      </c>
      <c r="J79" s="69" t="n">
        <v>0.705</v>
      </c>
    </row>
    <row r="80" ht="16" customHeight="1">
      <c r="A80" s="94" t="inlineStr"/>
      <c r="B80" s="26" t="inlineStr">
        <is>
          <t>QoQ Rev Growth</t>
        </is>
      </c>
      <c r="C80" s="48" t="n"/>
      <c r="D80" s="73" t="n">
        <v>-0.02169245221525661</v>
      </c>
      <c r="E80" s="73" t="n">
        <v>-0.01499132854525324</v>
      </c>
      <c r="F80" s="73" t="n">
        <v>0.3707387917914234</v>
      </c>
      <c r="G80" s="73" t="n">
        <v>0.671325626455925</v>
      </c>
      <c r="H80" s="73" t="n">
        <v>-0.01853612786411182</v>
      </c>
      <c r="I80" s="73" t="n">
        <v>-0.01085215760181916</v>
      </c>
      <c r="J80" s="73" t="n">
        <v>0.03120066194064897</v>
      </c>
    </row>
    <row r="81" ht="16" customHeight="1">
      <c r="A81" s="94" t="inlineStr"/>
      <c r="B81" s="20" t="inlineStr">
        <is>
          <t>YoY Rev Growth</t>
        </is>
      </c>
      <c r="C81" s="45" t="n"/>
      <c r="D81" s="45" t="n"/>
      <c r="E81" s="45" t="n"/>
      <c r="F81" s="45" t="n"/>
      <c r="G81" s="69" t="n">
        <v>1.2076551446483</v>
      </c>
      <c r="H81" s="69" t="n">
        <v>1.214777726609118</v>
      </c>
      <c r="I81" s="69" t="n">
        <v>1.224084592505645</v>
      </c>
      <c r="J81" s="69" t="n">
        <v>0.673168890920834</v>
      </c>
    </row>
    <row r="82" ht="8" customHeight="1"/>
    <row r="83" ht="18" customHeight="1">
      <c r="A83" s="91" t="inlineStr">
        <is>
          <t>CLFD  —  Clearfield, Inc.</t>
        </is>
      </c>
      <c r="C83" s="92" t="inlineStr">
        <is>
          <t>Small Cap</t>
        </is>
      </c>
      <c r="D83" s="72" t="inlineStr">
        <is>
          <t>Mkt Cap: $388M</t>
        </is>
      </c>
      <c r="E83" s="93" t="n"/>
      <c r="F83" s="93" t="n"/>
      <c r="G83" s="93" t="n"/>
      <c r="H83" s="93" t="n"/>
      <c r="I83" s="93" t="n"/>
      <c r="J83" s="93" t="n"/>
      <c r="K83" s="93" t="n"/>
    </row>
    <row r="84" ht="16" customHeight="1">
      <c r="A84" s="94" t="inlineStr"/>
      <c r="B84" s="18" t="inlineStr">
        <is>
          <t>Quarter</t>
        </is>
      </c>
      <c r="C84" s="18" t="inlineStr">
        <is>
          <t>2024-03-31</t>
        </is>
      </c>
      <c r="D84" s="18" t="inlineStr">
        <is>
          <t>2024-06-30</t>
        </is>
      </c>
      <c r="E84" s="18" t="inlineStr">
        <is>
          <t>2024-09-30</t>
        </is>
      </c>
      <c r="F84" s="18" t="inlineStr">
        <is>
          <t>2024-12-31</t>
        </is>
      </c>
      <c r="G84" s="18" t="inlineStr">
        <is>
          <t>2025-03-31</t>
        </is>
      </c>
      <c r="H84" s="18" t="inlineStr">
        <is>
          <t>2025-06-30</t>
        </is>
      </c>
      <c r="I84" s="18" t="inlineStr">
        <is>
          <t>2025-09-30</t>
        </is>
      </c>
      <c r="J84" s="18" t="inlineStr">
        <is>
          <t>2025-12-31</t>
        </is>
      </c>
    </row>
    <row r="85" ht="16" customHeight="1">
      <c r="A85" s="94" t="inlineStr"/>
      <c r="B85" s="64" t="inlineStr">
        <is>
          <t>Revenue ($M)</t>
        </is>
      </c>
      <c r="C85" s="95" t="n">
        <v>36.91</v>
      </c>
      <c r="D85" s="95" t="n">
        <v>48.793</v>
      </c>
      <c r="E85" s="95" t="n">
        <v>46.772</v>
      </c>
      <c r="F85" s="95" t="n">
        <v>29.698</v>
      </c>
      <c r="G85" s="95" t="n">
        <v>47.168</v>
      </c>
      <c r="H85" s="95" t="n">
        <v>49.903</v>
      </c>
      <c r="I85" s="95" t="n">
        <v>17.587</v>
      </c>
      <c r="J85" s="95" t="n">
        <v>34.341</v>
      </c>
    </row>
    <row r="86" ht="16" customHeight="1">
      <c r="A86" s="94" t="inlineStr"/>
      <c r="B86" s="91" t="inlineStr">
        <is>
          <t>Gross Margin %</t>
        </is>
      </c>
      <c r="C86" s="69" t="n">
        <v>0.077</v>
      </c>
      <c r="D86" s="69" t="n">
        <v>0.219</v>
      </c>
      <c r="E86" s="69" t="n">
        <v>0.228</v>
      </c>
      <c r="F86" s="69" t="n">
        <v>0.292</v>
      </c>
      <c r="G86" s="69" t="n">
        <v>0.301</v>
      </c>
      <c r="H86" s="69" t="n">
        <v>0.305</v>
      </c>
      <c r="I86" s="69" t="n">
        <v>0.735</v>
      </c>
      <c r="J86" s="69" t="n">
        <v>0.332</v>
      </c>
    </row>
    <row r="87" ht="16" customHeight="1">
      <c r="A87" s="94" t="inlineStr"/>
      <c r="B87" s="26" t="inlineStr">
        <is>
          <t>QoQ Rev Growth</t>
        </is>
      </c>
      <c r="C87" s="48" t="n"/>
      <c r="D87" s="73" t="n">
        <v>0.3219452722839339</v>
      </c>
      <c r="E87" s="73" t="n">
        <v>-0.04141987580185683</v>
      </c>
      <c r="F87" s="73" t="n">
        <v>-0.3650474642948773</v>
      </c>
      <c r="G87" s="73" t="n">
        <v>0.5882551013536265</v>
      </c>
      <c r="H87" s="73" t="n">
        <v>0.05798422659430122</v>
      </c>
      <c r="I87" s="73" t="n">
        <v>-0.6475762980181552</v>
      </c>
      <c r="J87" s="73" t="n">
        <v>0.9526354693807926</v>
      </c>
    </row>
    <row r="88" ht="16" customHeight="1">
      <c r="A88" s="94" t="inlineStr"/>
      <c r="B88" s="20" t="inlineStr">
        <is>
          <t>YoY Rev Growth</t>
        </is>
      </c>
      <c r="C88" s="45" t="n"/>
      <c r="D88" s="45" t="n"/>
      <c r="E88" s="45" t="n"/>
      <c r="F88" s="45" t="n"/>
      <c r="G88" s="69" t="n">
        <v>0.2779192630723381</v>
      </c>
      <c r="H88" s="69" t="n">
        <v>0.02274916483921874</v>
      </c>
      <c r="I88" s="69" t="n">
        <v>-0.6239844351321303</v>
      </c>
      <c r="J88" s="69" t="n">
        <v>0.1563404943093811</v>
      </c>
    </row>
    <row r="89" ht="8" customHeight="1"/>
    <row r="90" ht="18" customHeight="1">
      <c r="A90" s="91" t="inlineStr">
        <is>
          <t>CTLP  —  Cantaloupe, Inc.</t>
        </is>
      </c>
      <c r="C90" s="92" t="inlineStr">
        <is>
          <t>Small Cap</t>
        </is>
      </c>
      <c r="D90" s="72" t="inlineStr">
        <is>
          <t>Mkt Cap: $799M</t>
        </is>
      </c>
      <c r="E90" s="93" t="n"/>
      <c r="F90" s="93" t="n"/>
      <c r="G90" s="93" t="n"/>
      <c r="H90" s="93" t="n"/>
      <c r="I90" s="93" t="n"/>
      <c r="J90" s="93" t="n"/>
      <c r="K90" s="93" t="n"/>
    </row>
    <row r="91" ht="16" customHeight="1">
      <c r="A91" s="94" t="inlineStr"/>
      <c r="B91" s="18" t="inlineStr">
        <is>
          <t>Quarter</t>
        </is>
      </c>
      <c r="C91" s="18" t="inlineStr">
        <is>
          <t>2024-03-31</t>
        </is>
      </c>
      <c r="D91" s="18" t="inlineStr">
        <is>
          <t>2024-06-30</t>
        </is>
      </c>
      <c r="E91" s="18" t="inlineStr">
        <is>
          <t>2024-09-30</t>
        </is>
      </c>
      <c r="F91" s="18" t="inlineStr">
        <is>
          <t>2024-12-31</t>
        </is>
      </c>
      <c r="G91" s="18" t="inlineStr">
        <is>
          <t>2025-03-31</t>
        </is>
      </c>
      <c r="H91" s="18" t="inlineStr">
        <is>
          <t>2025-06-30</t>
        </is>
      </c>
      <c r="I91" s="18" t="inlineStr">
        <is>
          <t>2025-09-30</t>
        </is>
      </c>
      <c r="J91" s="18" t="inlineStr">
        <is>
          <t>2025-12-31</t>
        </is>
      </c>
    </row>
    <row r="92" ht="16" customHeight="1">
      <c r="A92" s="94" t="inlineStr"/>
      <c r="B92" s="64" t="inlineStr">
        <is>
          <t>Revenue ($M)</t>
        </is>
      </c>
      <c r="C92" s="95" t="n">
        <v>67.89700000000001</v>
      </c>
      <c r="D92" s="95" t="n">
        <v>72.657</v>
      </c>
      <c r="E92" s="95" t="n">
        <v>70.836</v>
      </c>
      <c r="F92" s="95" t="n">
        <v>73.72199999999999</v>
      </c>
      <c r="G92" s="95" t="n">
        <v>75.42700000000001</v>
      </c>
      <c r="H92" s="95" t="n">
        <v>82.563</v>
      </c>
      <c r="I92" s="95" t="n">
        <v>80.85299999999999</v>
      </c>
      <c r="J92" s="95" t="n">
        <v>78.712</v>
      </c>
    </row>
    <row r="93" ht="16" customHeight="1">
      <c r="A93" s="94" t="inlineStr"/>
      <c r="B93" s="91" t="inlineStr">
        <is>
          <t>Gross Margin %</t>
        </is>
      </c>
      <c r="C93" s="69" t="n">
        <v>0.396</v>
      </c>
      <c r="D93" s="69" t="n">
        <v>0.373</v>
      </c>
      <c r="E93" s="69" t="n">
        <v>0.407</v>
      </c>
      <c r="F93" s="69" t="n">
        <v>0.417</v>
      </c>
      <c r="G93" s="69" t="n">
        <v>0.416</v>
      </c>
      <c r="H93" s="69" t="n">
        <v>0.398</v>
      </c>
      <c r="I93" s="69" t="n">
        <v>0.415</v>
      </c>
      <c r="J93" s="69" t="n">
        <v>0.33</v>
      </c>
    </row>
    <row r="94" ht="16" customHeight="1">
      <c r="A94" s="94" t="inlineStr"/>
      <c r="B94" s="26" t="inlineStr">
        <is>
          <t>QoQ Rev Growth</t>
        </is>
      </c>
      <c r="C94" s="48" t="n"/>
      <c r="D94" s="73" t="n">
        <v>0.07010619025877432</v>
      </c>
      <c r="E94" s="73" t="n">
        <v>-0.0250629670919526</v>
      </c>
      <c r="F94" s="73" t="n">
        <v>0.04074199559545993</v>
      </c>
      <c r="G94" s="73" t="n">
        <v>0.0231274246493584</v>
      </c>
      <c r="H94" s="73" t="n">
        <v>0.09460803160671907</v>
      </c>
      <c r="I94" s="73" t="n">
        <v>-0.02071145670578831</v>
      </c>
      <c r="J94" s="73" t="n">
        <v>-0.02648015534364835</v>
      </c>
    </row>
    <row r="95" ht="16" customHeight="1">
      <c r="A95" s="94" t="inlineStr"/>
      <c r="B95" s="20" t="inlineStr">
        <is>
          <t>YoY Rev Growth</t>
        </is>
      </c>
      <c r="C95" s="45" t="n"/>
      <c r="D95" s="45" t="n"/>
      <c r="E95" s="45" t="n"/>
      <c r="F95" s="45" t="n"/>
      <c r="G95" s="69" t="n">
        <v>0.1109032799681871</v>
      </c>
      <c r="H95" s="69" t="n">
        <v>0.1363392377885131</v>
      </c>
      <c r="I95" s="69" t="n">
        <v>0.1414111468744706</v>
      </c>
      <c r="J95" s="69" t="n">
        <v>0.06768671495618675</v>
      </c>
    </row>
    <row r="96" ht="8" customHeight="1"/>
    <row r="97" ht="18" customHeight="1">
      <c r="A97" s="91" t="inlineStr">
        <is>
          <t>CMCO  —  Columbus McKinnon Corporation</t>
        </is>
      </c>
      <c r="C97" s="92" t="inlineStr">
        <is>
          <t>Small Cap</t>
        </is>
      </c>
      <c r="D97" s="72" t="inlineStr">
        <is>
          <t>Mkt Cap: $424M</t>
        </is>
      </c>
      <c r="E97" s="93" t="n"/>
      <c r="F97" s="93" t="n"/>
      <c r="G97" s="93" t="n"/>
      <c r="H97" s="93" t="n"/>
      <c r="I97" s="93" t="n"/>
      <c r="J97" s="93" t="n"/>
      <c r="K97" s="93" t="n"/>
    </row>
    <row r="98" ht="16" customHeight="1">
      <c r="A98" s="94" t="inlineStr"/>
      <c r="B98" s="18" t="inlineStr">
        <is>
          <t>Quarter</t>
        </is>
      </c>
      <c r="C98" s="18" t="inlineStr">
        <is>
          <t>2024-03-31</t>
        </is>
      </c>
      <c r="D98" s="18" t="inlineStr">
        <is>
          <t>2024-06-30</t>
        </is>
      </c>
      <c r="E98" s="18" t="inlineStr">
        <is>
          <t>2024-09-30</t>
        </is>
      </c>
      <c r="F98" s="18" t="inlineStr">
        <is>
          <t>2024-12-31</t>
        </is>
      </c>
      <c r="G98" s="18" t="inlineStr">
        <is>
          <t>2025-03-31</t>
        </is>
      </c>
      <c r="H98" s="18" t="inlineStr">
        <is>
          <t>2025-06-30</t>
        </is>
      </c>
      <c r="I98" s="18" t="inlineStr">
        <is>
          <t>2025-09-30</t>
        </is>
      </c>
      <c r="J98" s="18" t="inlineStr">
        <is>
          <t>2025-12-31</t>
        </is>
      </c>
    </row>
    <row r="99" ht="16" customHeight="1">
      <c r="A99" s="94" t="inlineStr"/>
      <c r="B99" s="64" t="inlineStr">
        <is>
          <t>Revenue ($M)</t>
        </is>
      </c>
      <c r="C99" s="95" t="n">
        <v>265.504</v>
      </c>
      <c r="D99" s="95" t="n">
        <v>239.726</v>
      </c>
      <c r="E99" s="95" t="n">
        <v>242.274</v>
      </c>
      <c r="F99" s="95" t="n">
        <v>234.138</v>
      </c>
      <c r="G99" s="95" t="n">
        <v>246.889</v>
      </c>
      <c r="H99" s="95" t="n">
        <v>235.92</v>
      </c>
      <c r="I99" s="95" t="n">
        <v>261.047</v>
      </c>
      <c r="J99" s="95" t="n">
        <v>258.654999</v>
      </c>
    </row>
    <row r="100" ht="16" customHeight="1">
      <c r="A100" s="94" t="inlineStr"/>
      <c r="B100" s="91" t="inlineStr">
        <is>
          <t>Gross Margin %</t>
        </is>
      </c>
      <c r="C100" s="69" t="n">
        <v>0.327</v>
      </c>
      <c r="D100" s="69" t="n">
        <v>0.371</v>
      </c>
      <c r="E100" s="69" t="n">
        <v>0.309</v>
      </c>
      <c r="F100" s="69" t="n">
        <v>0.351</v>
      </c>
      <c r="G100" s="69" t="n">
        <v>0.323</v>
      </c>
      <c r="H100" s="69" t="n">
        <v>0.327</v>
      </c>
      <c r="I100" s="69" t="n">
        <v>0.345</v>
      </c>
      <c r="J100" s="69" t="n">
        <v>0.319</v>
      </c>
    </row>
    <row r="101" ht="16" customHeight="1">
      <c r="A101" s="94" t="inlineStr"/>
      <c r="B101" s="26" t="inlineStr">
        <is>
          <t>QoQ Rev Growth</t>
        </is>
      </c>
      <c r="C101" s="48" t="n"/>
      <c r="D101" s="73" t="n">
        <v>-0.09709081595757503</v>
      </c>
      <c r="E101" s="73" t="n">
        <v>0.01062880121472014</v>
      </c>
      <c r="F101" s="73" t="n">
        <v>-0.03358181232819039</v>
      </c>
      <c r="G101" s="73" t="n">
        <v>0.05445933594717645</v>
      </c>
      <c r="H101" s="73" t="n">
        <v>-0.04442887289429662</v>
      </c>
      <c r="I101" s="73" t="n">
        <v>0.1065064428619871</v>
      </c>
      <c r="J101" s="73" t="n">
        <v>-0.009163104728267323</v>
      </c>
    </row>
    <row r="102" ht="16" customHeight="1">
      <c r="A102" s="94" t="inlineStr"/>
      <c r="B102" s="20" t="inlineStr">
        <is>
          <t>YoY Rev Growth</t>
        </is>
      </c>
      <c r="C102" s="45" t="n"/>
      <c r="D102" s="45" t="n"/>
      <c r="E102" s="45" t="n"/>
      <c r="F102" s="45" t="n"/>
      <c r="G102" s="69" t="n">
        <v>-0.07011193804989756</v>
      </c>
      <c r="H102" s="69" t="n">
        <v>-0.0158764589573096</v>
      </c>
      <c r="I102" s="69" t="n">
        <v>0.07748664734969497</v>
      </c>
      <c r="J102" s="69" t="n">
        <v>0.104711746918484</v>
      </c>
    </row>
    <row r="103" ht="8" customHeight="1"/>
    <row r="104" ht="18" customHeight="1">
      <c r="A104" s="91" t="inlineStr">
        <is>
          <t>CRNC  —  Cerence Inc.</t>
        </is>
      </c>
      <c r="C104" s="92" t="inlineStr">
        <is>
          <t>Small Cap</t>
        </is>
      </c>
      <c r="D104" s="72" t="inlineStr">
        <is>
          <t>Mkt Cap: $385M</t>
        </is>
      </c>
      <c r="E104" s="93" t="n"/>
      <c r="F104" s="93" t="n"/>
      <c r="G104" s="93" t="n"/>
      <c r="H104" s="93" t="n"/>
      <c r="I104" s="93" t="n"/>
      <c r="J104" s="93" t="n"/>
      <c r="K104" s="93" t="n"/>
    </row>
    <row r="105" ht="16" customHeight="1">
      <c r="A105" s="94" t="inlineStr"/>
      <c r="B105" s="18" t="inlineStr">
        <is>
          <t>Quarter</t>
        </is>
      </c>
      <c r="C105" s="18" t="inlineStr">
        <is>
          <t>2024-03-31</t>
        </is>
      </c>
      <c r="D105" s="18" t="inlineStr">
        <is>
          <t>2024-06-30</t>
        </is>
      </c>
      <c r="E105" s="18" t="inlineStr">
        <is>
          <t>2024-09-30</t>
        </is>
      </c>
      <c r="F105" s="18" t="inlineStr">
        <is>
          <t>2024-12-31</t>
        </is>
      </c>
      <c r="G105" s="18" t="inlineStr">
        <is>
          <t>2025-03-31</t>
        </is>
      </c>
      <c r="H105" s="18" t="inlineStr">
        <is>
          <t>2025-06-30</t>
        </is>
      </c>
      <c r="I105" s="18" t="inlineStr">
        <is>
          <t>2025-09-30</t>
        </is>
      </c>
      <c r="J105" s="18" t="inlineStr">
        <is>
          <t>2025-12-31</t>
        </is>
      </c>
    </row>
    <row r="106" ht="16" customHeight="1">
      <c r="A106" s="94" t="inlineStr"/>
      <c r="B106" s="64" t="inlineStr">
        <is>
          <t>Revenue ($M)</t>
        </is>
      </c>
      <c r="C106" s="95" t="n">
        <v>67.825</v>
      </c>
      <c r="D106" s="95" t="n">
        <v>70.539</v>
      </c>
      <c r="E106" s="95" t="n">
        <v>54.805</v>
      </c>
      <c r="F106" s="95" t="n">
        <v>50.896</v>
      </c>
      <c r="G106" s="95" t="n">
        <v>78.01000000000001</v>
      </c>
      <c r="H106" s="95" t="n">
        <v>62.236</v>
      </c>
      <c r="I106" s="95" t="n">
        <v>60.639</v>
      </c>
      <c r="J106" s="95" t="n">
        <v>115.076</v>
      </c>
    </row>
    <row r="107" ht="16" customHeight="1">
      <c r="A107" s="94" t="inlineStr"/>
      <c r="B107" s="91" t="inlineStr">
        <is>
          <t>Gross Margin %</t>
        </is>
      </c>
      <c r="C107" s="69" t="n">
        <v>0.6840000000000001</v>
      </c>
      <c r="D107" s="69" t="n">
        <v>0.7070000000000001</v>
      </c>
      <c r="E107" s="69" t="n">
        <v>0.627</v>
      </c>
      <c r="F107" s="69" t="n">
        <v>0.639</v>
      </c>
      <c r="G107" s="69" t="n">
        <v>0.765</v>
      </c>
      <c r="H107" s="69" t="n">
        <v>0.728</v>
      </c>
      <c r="I107" s="69" t="n">
        <v>0.726</v>
      </c>
      <c r="J107" s="69" t="n">
        <v>0.863</v>
      </c>
    </row>
    <row r="108" ht="16" customHeight="1">
      <c r="A108" s="94" t="inlineStr"/>
      <c r="B108" s="26" t="inlineStr">
        <is>
          <t>QoQ Rev Growth</t>
        </is>
      </c>
      <c r="C108" s="48" t="n"/>
      <c r="D108" s="73" t="n">
        <v>0.04001474382602285</v>
      </c>
      <c r="E108" s="73" t="n">
        <v>-0.2230539134379563</v>
      </c>
      <c r="F108" s="73" t="n">
        <v>-0.0713256089772831</v>
      </c>
      <c r="G108" s="73" t="n">
        <v>0.5327334171644137</v>
      </c>
      <c r="H108" s="73" t="n">
        <v>-0.202204845532624</v>
      </c>
      <c r="I108" s="73" t="n">
        <v>-0.02566038948518542</v>
      </c>
      <c r="J108" s="73" t="n">
        <v>0.8977225877735451</v>
      </c>
    </row>
    <row r="109" ht="16" customHeight="1">
      <c r="A109" s="94" t="inlineStr"/>
      <c r="B109" s="20" t="inlineStr">
        <is>
          <t>YoY Rev Growth</t>
        </is>
      </c>
      <c r="C109" s="45" t="n"/>
      <c r="D109" s="45" t="n"/>
      <c r="E109" s="45" t="n"/>
      <c r="F109" s="45" t="n"/>
      <c r="G109" s="69" t="n">
        <v>0.1501658680427571</v>
      </c>
      <c r="H109" s="69" t="n">
        <v>-0.1177079346177292</v>
      </c>
      <c r="I109" s="69" t="n">
        <v>0.1064501414104553</v>
      </c>
      <c r="J109" s="69" t="n">
        <v>1.261002829298963</v>
      </c>
    </row>
    <row r="110" ht="8" customHeight="1"/>
    <row r="111" ht="18" customHeight="1">
      <c r="A111" s="91" t="inlineStr">
        <is>
          <t>SHLS  —  Shoals Technologies Group, Inc.</t>
        </is>
      </c>
      <c r="C111" s="92" t="inlineStr">
        <is>
          <t>Small Cap</t>
        </is>
      </c>
      <c r="D111" s="72" t="inlineStr">
        <is>
          <t>Mkt Cap: $1218M</t>
        </is>
      </c>
      <c r="E111" s="93" t="n"/>
      <c r="F111" s="93" t="n"/>
      <c r="G111" s="93" t="n"/>
      <c r="H111" s="93" t="n"/>
      <c r="I111" s="93" t="n"/>
      <c r="J111" s="93" t="n"/>
      <c r="K111" s="93" t="n"/>
    </row>
    <row r="112" ht="16" customHeight="1">
      <c r="A112" s="94" t="inlineStr"/>
      <c r="B112" s="18" t="inlineStr">
        <is>
          <t>Quarter</t>
        </is>
      </c>
      <c r="C112" s="18" t="inlineStr">
        <is>
          <t>2024-03-31</t>
        </is>
      </c>
      <c r="D112" s="18" t="inlineStr">
        <is>
          <t>2024-06-30</t>
        </is>
      </c>
      <c r="E112" s="18" t="inlineStr">
        <is>
          <t>2024-09-30</t>
        </is>
      </c>
      <c r="F112" s="18" t="inlineStr">
        <is>
          <t>2024-12-31</t>
        </is>
      </c>
      <c r="G112" s="18" t="inlineStr">
        <is>
          <t>2025-03-31</t>
        </is>
      </c>
      <c r="H112" s="18" t="inlineStr">
        <is>
          <t>2025-06-30</t>
        </is>
      </c>
      <c r="I112" s="18" t="inlineStr">
        <is>
          <t>2025-09-30</t>
        </is>
      </c>
      <c r="J112" s="18" t="inlineStr">
        <is>
          <t>2025-12-31</t>
        </is>
      </c>
    </row>
    <row r="113" ht="16" customHeight="1">
      <c r="A113" s="94" t="inlineStr"/>
      <c r="B113" s="64" t="inlineStr">
        <is>
          <t>Revenue ($M)</t>
        </is>
      </c>
      <c r="C113" s="95" t="n">
        <v>90.807</v>
      </c>
      <c r="D113" s="95" t="n">
        <v>99.249</v>
      </c>
      <c r="E113" s="95" t="n">
        <v>102.165</v>
      </c>
      <c r="F113" s="95" t="n">
        <v>106.987</v>
      </c>
      <c r="G113" s="95" t="n">
        <v>80.361</v>
      </c>
      <c r="H113" s="95" t="n">
        <v>110.841</v>
      </c>
      <c r="I113" s="95" t="n">
        <v>135.804</v>
      </c>
      <c r="J113" s="95" t="n">
        <v>148.325</v>
      </c>
    </row>
    <row r="114" ht="16" customHeight="1">
      <c r="A114" s="94" t="inlineStr"/>
      <c r="B114" s="91" t="inlineStr">
        <is>
          <t>Gross Margin %</t>
        </is>
      </c>
      <c r="C114" s="69" t="n">
        <v>0.402</v>
      </c>
      <c r="D114" s="69" t="n">
        <v>0.403</v>
      </c>
      <c r="E114" s="69" t="n">
        <v>0.248</v>
      </c>
      <c r="F114" s="69" t="n">
        <v>0.376</v>
      </c>
      <c r="G114" s="69" t="n">
        <v>0.35</v>
      </c>
      <c r="H114" s="69" t="n">
        <v>0.3720000000000001</v>
      </c>
      <c r="I114" s="69" t="n">
        <v>0.37</v>
      </c>
      <c r="J114" s="69" t="n">
        <v>0.316</v>
      </c>
    </row>
    <row r="115" ht="16" customHeight="1">
      <c r="A115" s="94" t="inlineStr"/>
      <c r="B115" s="26" t="inlineStr">
        <is>
          <t>QoQ Rev Growth</t>
        </is>
      </c>
      <c r="C115" s="48" t="n"/>
      <c r="D115" s="73" t="n">
        <v>0.09296640126862467</v>
      </c>
      <c r="E115" s="73" t="n">
        <v>0.02938064867152314</v>
      </c>
      <c r="F115" s="73" t="n">
        <v>0.04719815983947536</v>
      </c>
      <c r="G115" s="73" t="n">
        <v>-0.2488713582023984</v>
      </c>
      <c r="H115" s="73" t="n">
        <v>0.3792884608205473</v>
      </c>
      <c r="I115" s="73" t="n">
        <v>0.2252144964408477</v>
      </c>
      <c r="J115" s="73" t="n">
        <v>0.09219905157432771</v>
      </c>
    </row>
    <row r="116" ht="16" customHeight="1">
      <c r="A116" s="94" t="inlineStr"/>
      <c r="B116" s="20" t="inlineStr">
        <is>
          <t>YoY Rev Growth</t>
        </is>
      </c>
      <c r="C116" s="45" t="n"/>
      <c r="D116" s="45" t="n"/>
      <c r="E116" s="45" t="n"/>
      <c r="F116" s="45" t="n"/>
      <c r="G116" s="69" t="n">
        <v>-0.1150351845122072</v>
      </c>
      <c r="H116" s="69" t="n">
        <v>0.1167971465707463</v>
      </c>
      <c r="I116" s="69" t="n">
        <v>0.3292614887681691</v>
      </c>
      <c r="J116" s="69" t="n">
        <v>0.3863833923747745</v>
      </c>
    </row>
    <row r="117" ht="8" customHeight="1"/>
    <row r="118" ht="18" customHeight="1">
      <c r="A118" s="91" t="inlineStr">
        <is>
          <t>ADTN  —  ADTRAN Holdings, Inc.</t>
        </is>
      </c>
      <c r="C118" s="92" t="inlineStr">
        <is>
          <t>Small Cap</t>
        </is>
      </c>
      <c r="D118" s="72" t="inlineStr">
        <is>
          <t>Mkt Cap: $1367M</t>
        </is>
      </c>
      <c r="E118" s="93" t="n"/>
      <c r="F118" s="93" t="n"/>
      <c r="G118" s="93" t="n"/>
      <c r="H118" s="93" t="n"/>
      <c r="I118" s="93" t="n"/>
      <c r="J118" s="93" t="n"/>
      <c r="K118" s="93" t="n"/>
    </row>
    <row r="119" ht="16" customHeight="1">
      <c r="A119" s="94" t="inlineStr"/>
      <c r="B119" s="18" t="inlineStr">
        <is>
          <t>Quarter</t>
        </is>
      </c>
      <c r="C119" s="18" t="inlineStr">
        <is>
          <t>2024-03-31</t>
        </is>
      </c>
      <c r="D119" s="18" t="inlineStr">
        <is>
          <t>2024-06-30</t>
        </is>
      </c>
      <c r="E119" s="18" t="inlineStr">
        <is>
          <t>2024-09-30</t>
        </is>
      </c>
      <c r="F119" s="18" t="inlineStr">
        <is>
          <t>2024-12-31</t>
        </is>
      </c>
      <c r="G119" s="18" t="inlineStr">
        <is>
          <t>2025-03-31</t>
        </is>
      </c>
      <c r="H119" s="18" t="inlineStr">
        <is>
          <t>2025-06-30</t>
        </is>
      </c>
      <c r="I119" s="18" t="inlineStr">
        <is>
          <t>2025-09-30</t>
        </is>
      </c>
      <c r="J119" s="18" t="inlineStr">
        <is>
          <t>2025-12-31</t>
        </is>
      </c>
    </row>
    <row r="120" ht="16" customHeight="1">
      <c r="A120" s="94" t="inlineStr"/>
      <c r="B120" s="64" t="inlineStr">
        <is>
          <t>Revenue ($M)</t>
        </is>
      </c>
      <c r="C120" s="95" t="n">
        <v>226.173</v>
      </c>
      <c r="D120" s="95" t="n">
        <v>225.991</v>
      </c>
      <c r="E120" s="95" t="n">
        <v>227.704</v>
      </c>
      <c r="F120" s="95" t="n">
        <v>242.852</v>
      </c>
      <c r="G120" s="95" t="n">
        <v>247.744</v>
      </c>
      <c r="H120" s="95" t="n">
        <v>265.068</v>
      </c>
      <c r="I120" s="95" t="n">
        <v>279.435</v>
      </c>
      <c r="J120" s="95" t="n">
        <v>291.56</v>
      </c>
    </row>
    <row r="121" ht="16" customHeight="1">
      <c r="A121" s="94" t="inlineStr"/>
      <c r="B121" s="91" t="inlineStr">
        <is>
          <t>Gross Margin %</t>
        </is>
      </c>
      <c r="C121" s="69" t="n">
        <v>0.311</v>
      </c>
      <c r="D121" s="69" t="n">
        <v>0.361</v>
      </c>
      <c r="E121" s="69" t="n">
        <v>0.374</v>
      </c>
      <c r="F121" s="69" t="n">
        <v>0.376</v>
      </c>
      <c r="G121" s="69" t="n">
        <v>0.384</v>
      </c>
      <c r="H121" s="69" t="n">
        <v>0.373</v>
      </c>
      <c r="I121" s="69" t="n">
        <v>0.383</v>
      </c>
      <c r="J121" s="69" t="n">
        <v>0.39</v>
      </c>
    </row>
    <row r="122" ht="16" customHeight="1">
      <c r="A122" s="94" t="inlineStr"/>
      <c r="B122" s="26" t="inlineStr">
        <is>
          <t>QoQ Rev Growth</t>
        </is>
      </c>
      <c r="C122" s="48" t="n"/>
      <c r="D122" s="73" t="n">
        <v>-0.000804693752127796</v>
      </c>
      <c r="E122" s="73" t="n">
        <v>0.007579947874030382</v>
      </c>
      <c r="F122" s="73" t="n">
        <v>0.06652496223166919</v>
      </c>
      <c r="G122" s="73" t="n">
        <v>0.02014395598965625</v>
      </c>
      <c r="H122" s="73" t="n">
        <v>0.06992702144148799</v>
      </c>
      <c r="I122" s="73" t="n">
        <v>0.05420118611073385</v>
      </c>
      <c r="J122" s="73" t="n">
        <v>0.04339112852720668</v>
      </c>
    </row>
    <row r="123" ht="16" customHeight="1">
      <c r="A123" s="94" t="inlineStr"/>
      <c r="B123" s="20" t="inlineStr">
        <is>
          <t>YoY Rev Growth</t>
        </is>
      </c>
      <c r="C123" s="45" t="n"/>
      <c r="D123" s="45" t="n"/>
      <c r="E123" s="45" t="n"/>
      <c r="F123" s="45" t="n"/>
      <c r="G123" s="69" t="n">
        <v>0.09537389520411367</v>
      </c>
      <c r="H123" s="69" t="n">
        <v>0.1729139656004</v>
      </c>
      <c r="I123" s="69" t="n">
        <v>0.2271852931876471</v>
      </c>
      <c r="J123" s="69" t="n">
        <v>0.2005666002338873</v>
      </c>
    </row>
    <row r="124" ht="8" customHeight="1"/>
    <row r="125" ht="18" customHeight="1">
      <c r="A125" s="91" t="inlineStr">
        <is>
          <t>EVLV  —  Evolv Technologies Holdings, Inc.</t>
        </is>
      </c>
      <c r="C125" s="92" t="inlineStr">
        <is>
          <t>Small Cap</t>
        </is>
      </c>
      <c r="D125" s="72" t="inlineStr">
        <is>
          <t>Mkt Cap: $1248M</t>
        </is>
      </c>
      <c r="E125" s="93" t="n"/>
      <c r="F125" s="93" t="n"/>
      <c r="G125" s="93" t="n"/>
      <c r="H125" s="93" t="n"/>
      <c r="I125" s="93" t="n"/>
      <c r="J125" s="93" t="n"/>
      <c r="K125" s="93" t="n"/>
    </row>
    <row r="126" ht="16" customHeight="1">
      <c r="A126" s="94" t="inlineStr"/>
      <c r="B126" s="18" t="inlineStr">
        <is>
          <t>Quarter</t>
        </is>
      </c>
      <c r="C126" s="18" t="inlineStr">
        <is>
          <t>2024-03-31</t>
        </is>
      </c>
      <c r="D126" s="18" t="inlineStr">
        <is>
          <t>2024-06-30</t>
        </is>
      </c>
      <c r="E126" s="18" t="inlineStr">
        <is>
          <t>2024-09-30</t>
        </is>
      </c>
      <c r="F126" s="18" t="inlineStr">
        <is>
          <t>2024-12-31</t>
        </is>
      </c>
      <c r="G126" s="18" t="inlineStr">
        <is>
          <t>2025-03-31</t>
        </is>
      </c>
      <c r="H126" s="18" t="inlineStr">
        <is>
          <t>2025-06-30</t>
        </is>
      </c>
      <c r="I126" s="18" t="inlineStr">
        <is>
          <t>2025-09-30</t>
        </is>
      </c>
      <c r="J126" s="18" t="inlineStr">
        <is>
          <t>2025-12-31</t>
        </is>
      </c>
    </row>
    <row r="127" ht="16" customHeight="1">
      <c r="A127" s="94" t="inlineStr"/>
      <c r="B127" s="64" t="inlineStr">
        <is>
          <t>Revenue ($M)</t>
        </is>
      </c>
      <c r="C127" s="95" t="n">
        <v>22.181</v>
      </c>
      <c r="D127" s="95" t="n">
        <v>25.54</v>
      </c>
      <c r="E127" s="95" t="n">
        <v>27.36</v>
      </c>
      <c r="F127" s="95" t="n">
        <v>29.1</v>
      </c>
      <c r="G127" s="95" t="n">
        <v>32.007</v>
      </c>
      <c r="H127" s="95" t="n">
        <v>32.544</v>
      </c>
      <c r="I127" s="95" t="n">
        <v>42.85</v>
      </c>
      <c r="J127" s="95" t="n">
        <v>38.504</v>
      </c>
    </row>
    <row r="128" ht="16" customHeight="1">
      <c r="A128" s="94" t="inlineStr"/>
      <c r="B128" s="91" t="inlineStr">
        <is>
          <t>Gross Margin %</t>
        </is>
      </c>
      <c r="C128" s="69" t="n">
        <v>0.5479999999999999</v>
      </c>
      <c r="D128" s="69" t="n">
        <v>0.5670000000000001</v>
      </c>
      <c r="E128" s="69" t="n">
        <v>0.578</v>
      </c>
      <c r="F128" s="69" t="n">
        <v>0.575</v>
      </c>
      <c r="G128" s="69" t="n">
        <v>0.598</v>
      </c>
      <c r="H128" s="69" t="n">
        <v>0.498</v>
      </c>
      <c r="I128" s="69" t="n">
        <v>0.4970000000000001</v>
      </c>
      <c r="J128" s="69" t="n">
        <v>0.484</v>
      </c>
    </row>
    <row r="129" ht="16" customHeight="1">
      <c r="A129" s="94" t="inlineStr"/>
      <c r="B129" s="26" t="inlineStr">
        <is>
          <t>QoQ Rev Growth</t>
        </is>
      </c>
      <c r="C129" s="48" t="n"/>
      <c r="D129" s="73" t="n">
        <v>0.1514359136197647</v>
      </c>
      <c r="E129" s="73" t="n">
        <v>0.07126076742364917</v>
      </c>
      <c r="F129" s="73" t="n">
        <v>0.06359649122807018</v>
      </c>
      <c r="G129" s="73" t="n">
        <v>0.09989690721649484</v>
      </c>
      <c r="H129" s="73" t="n">
        <v>0.01677757990439591</v>
      </c>
      <c r="I129" s="73" t="n">
        <v>0.3166789577187807</v>
      </c>
      <c r="J129" s="73" t="n">
        <v>-0.1014235705950992</v>
      </c>
    </row>
    <row r="130" ht="16" customHeight="1">
      <c r="A130" s="94" t="inlineStr"/>
      <c r="B130" s="20" t="inlineStr">
        <is>
          <t>YoY Rev Growth</t>
        </is>
      </c>
      <c r="C130" s="45" t="n"/>
      <c r="D130" s="45" t="n"/>
      <c r="E130" s="45" t="n"/>
      <c r="F130" s="45" t="n"/>
      <c r="G130" s="69" t="n">
        <v>0.4429917496956855</v>
      </c>
      <c r="H130" s="69" t="n">
        <v>0.2742364917776038</v>
      </c>
      <c r="I130" s="69" t="n">
        <v>0.5661549707602339</v>
      </c>
      <c r="J130" s="69" t="n">
        <v>0.3231615120274914</v>
      </c>
    </row>
    <row r="131" ht="8" customHeight="1"/>
    <row r="132" ht="18" customHeight="1">
      <c r="A132" s="91" t="inlineStr">
        <is>
          <t>NVEC  —  NVE Corporation</t>
        </is>
      </c>
      <c r="C132" s="92" t="inlineStr">
        <is>
          <t>Small Cap</t>
        </is>
      </c>
      <c r="D132" s="72" t="inlineStr">
        <is>
          <t>Mkt Cap: $372M</t>
        </is>
      </c>
      <c r="E132" s="93" t="n"/>
      <c r="F132" s="93" t="n"/>
      <c r="G132" s="93" t="n"/>
      <c r="H132" s="93" t="n"/>
      <c r="I132" s="93" t="n"/>
      <c r="J132" s="93" t="n"/>
      <c r="K132" s="93" t="n"/>
    </row>
    <row r="133" ht="16" customHeight="1">
      <c r="A133" s="94" t="inlineStr"/>
      <c r="B133" s="18" t="inlineStr">
        <is>
          <t>Quarter</t>
        </is>
      </c>
      <c r="C133" s="18" t="inlineStr">
        <is>
          <t>2024-03-31</t>
        </is>
      </c>
      <c r="D133" s="18" t="inlineStr">
        <is>
          <t>2024-06-30</t>
        </is>
      </c>
      <c r="E133" s="18" t="inlineStr">
        <is>
          <t>2024-09-30</t>
        </is>
      </c>
      <c r="F133" s="18" t="inlineStr">
        <is>
          <t>2024-12-31</t>
        </is>
      </c>
      <c r="G133" s="18" t="inlineStr">
        <is>
          <t>2025-03-31</t>
        </is>
      </c>
      <c r="H133" s="18" t="inlineStr">
        <is>
          <t>2025-06-30</t>
        </is>
      </c>
      <c r="I133" s="18" t="inlineStr">
        <is>
          <t>2025-09-30</t>
        </is>
      </c>
      <c r="J133" s="18" t="inlineStr">
        <is>
          <t>2025-12-31</t>
        </is>
      </c>
    </row>
    <row r="134" ht="16" customHeight="1">
      <c r="A134" s="94" t="inlineStr"/>
      <c r="B134" s="64" t="inlineStr">
        <is>
          <t>Revenue ($M)</t>
        </is>
      </c>
      <c r="C134" s="95" t="n">
        <v>7.083229</v>
      </c>
      <c r="D134" s="95" t="n">
        <v>6.783244</v>
      </c>
      <c r="E134" s="95" t="n">
        <v>6.75869</v>
      </c>
      <c r="F134" s="95" t="n">
        <v>5.063045</v>
      </c>
      <c r="G134" s="95" t="n">
        <v>7.269715</v>
      </c>
      <c r="H134" s="95" t="n">
        <v>6.104644</v>
      </c>
      <c r="I134" s="95" t="n">
        <v>6.346992</v>
      </c>
      <c r="J134" s="95" t="n">
        <v>6.224776</v>
      </c>
    </row>
    <row r="135" ht="16" customHeight="1">
      <c r="A135" s="94" t="inlineStr"/>
      <c r="B135" s="91" t="inlineStr">
        <is>
          <t>Gross Margin %</t>
        </is>
      </c>
      <c r="C135" s="69" t="n">
        <v>0.755</v>
      </c>
      <c r="D135" s="69" t="n">
        <v>0.856</v>
      </c>
      <c r="E135" s="69" t="n">
        <v>0.86</v>
      </c>
      <c r="F135" s="69" t="n">
        <v>0.8420000000000001</v>
      </c>
      <c r="G135" s="69" t="n">
        <v>0.792</v>
      </c>
      <c r="H135" s="69" t="n">
        <v>0.8059999999999999</v>
      </c>
      <c r="I135" s="69" t="n">
        <v>0.7829999999999999</v>
      </c>
      <c r="J135" s="69" t="n">
        <v>0.7859999999999999</v>
      </c>
    </row>
    <row r="136" ht="16" customHeight="1">
      <c r="A136" s="94" t="inlineStr"/>
      <c r="B136" s="26" t="inlineStr">
        <is>
          <t>QoQ Rev Growth</t>
        </is>
      </c>
      <c r="C136" s="48" t="n"/>
      <c r="D136" s="73" t="n">
        <v>-0.04235144734131849</v>
      </c>
      <c r="E136" s="73" t="n">
        <v>-0.003619801970856422</v>
      </c>
      <c r="F136" s="73" t="n">
        <v>-0.2508836771622903</v>
      </c>
      <c r="G136" s="73" t="n">
        <v>0.4358385121996743</v>
      </c>
      <c r="H136" s="73" t="n">
        <v>-0.1602636416970954</v>
      </c>
      <c r="I136" s="73" t="n">
        <v>0.03969895705630009</v>
      </c>
      <c r="J136" s="73" t="n">
        <v>-0.01925573563035845</v>
      </c>
    </row>
    <row r="137" ht="16" customHeight="1">
      <c r="A137" s="94" t="inlineStr"/>
      <c r="B137" s="20" t="inlineStr">
        <is>
          <t>YoY Rev Growth</t>
        </is>
      </c>
      <c r="C137" s="45" t="n"/>
      <c r="D137" s="45" t="n"/>
      <c r="E137" s="45" t="n"/>
      <c r="F137" s="45" t="n"/>
      <c r="G137" s="69" t="n">
        <v>0.02632782308746477</v>
      </c>
      <c r="H137" s="69" t="n">
        <v>-0.1000406295277009</v>
      </c>
      <c r="I137" s="69" t="n">
        <v>-0.06091387532199287</v>
      </c>
      <c r="J137" s="69" t="n">
        <v>0.2294530267852646</v>
      </c>
    </row>
    <row r="138" ht="8" customHeight="1"/>
    <row r="139" ht="18" customHeight="1">
      <c r="A139" s="91" t="inlineStr">
        <is>
          <t>SWBI  —  Smith &amp; Wesson Brands, Inc.</t>
        </is>
      </c>
      <c r="C139" s="92" t="inlineStr">
        <is>
          <t>Small Cap</t>
        </is>
      </c>
      <c r="D139" s="72" t="inlineStr">
        <is>
          <t>Mkt Cap: $688M</t>
        </is>
      </c>
      <c r="E139" s="93" t="n"/>
      <c r="F139" s="93" t="n"/>
      <c r="G139" s="93" t="n"/>
      <c r="H139" s="93" t="n"/>
      <c r="I139" s="93" t="n"/>
      <c r="J139" s="93" t="n"/>
      <c r="K139" s="93" t="n"/>
    </row>
    <row r="140" ht="16" customHeight="1">
      <c r="A140" s="94" t="inlineStr"/>
      <c r="B140" s="18" t="inlineStr">
        <is>
          <t>Quarter</t>
        </is>
      </c>
      <c r="C140" s="18" t="inlineStr">
        <is>
          <t>2024-04-30</t>
        </is>
      </c>
      <c r="D140" s="18" t="inlineStr">
        <is>
          <t>2024-07-31</t>
        </is>
      </c>
      <c r="E140" s="18" t="inlineStr">
        <is>
          <t>2024-10-31</t>
        </is>
      </c>
      <c r="F140" s="18" t="inlineStr">
        <is>
          <t>2025-01-31</t>
        </is>
      </c>
      <c r="G140" s="18" t="inlineStr">
        <is>
          <t>2025-04-30</t>
        </is>
      </c>
      <c r="H140" s="18" t="inlineStr">
        <is>
          <t>2025-07-31</t>
        </is>
      </c>
      <c r="I140" s="18" t="inlineStr">
        <is>
          <t>2025-10-31</t>
        </is>
      </c>
      <c r="J140" s="18" t="inlineStr">
        <is>
          <t>2026-01-31</t>
        </is>
      </c>
    </row>
    <row r="141" ht="16" customHeight="1">
      <c r="A141" s="94" t="inlineStr"/>
      <c r="B141" s="64" t="inlineStr">
        <is>
          <t>Revenue ($M)</t>
        </is>
      </c>
      <c r="C141" s="95" t="n">
        <v>159.147</v>
      </c>
      <c r="D141" s="95" t="n">
        <v>88.334</v>
      </c>
      <c r="E141" s="95" t="n">
        <v>129.679</v>
      </c>
      <c r="F141" s="95" t="n">
        <v>115.885</v>
      </c>
      <c r="G141" s="95" t="n">
        <v>140.762</v>
      </c>
      <c r="H141" s="95" t="n">
        <v>85.077</v>
      </c>
      <c r="I141" s="95" t="n">
        <v>124.67</v>
      </c>
      <c r="J141" s="95" t="n">
        <v>135.71</v>
      </c>
    </row>
    <row r="142" ht="16" customHeight="1">
      <c r="A142" s="94" t="inlineStr"/>
      <c r="B142" s="91" t="inlineStr">
        <is>
          <t>Gross Margin %</t>
        </is>
      </c>
      <c r="C142" s="69" t="n">
        <v>0.356</v>
      </c>
      <c r="D142" s="69" t="n">
        <v>0.274</v>
      </c>
      <c r="E142" s="69" t="n">
        <v>0.266</v>
      </c>
      <c r="F142" s="69" t="n">
        <v>0.241</v>
      </c>
      <c r="G142" s="69" t="n">
        <v>0.288</v>
      </c>
      <c r="H142" s="69" t="n">
        <v>0.259</v>
      </c>
      <c r="I142" s="69" t="n">
        <v>0.243</v>
      </c>
      <c r="J142" s="69" t="n">
        <v>0.262</v>
      </c>
    </row>
    <row r="143" ht="16" customHeight="1">
      <c r="A143" s="94" t="inlineStr"/>
      <c r="B143" s="26" t="inlineStr">
        <is>
          <t>QoQ Rev Growth</t>
        </is>
      </c>
      <c r="C143" s="48" t="n"/>
      <c r="D143" s="73" t="n">
        <v>-0.4449534078556303</v>
      </c>
      <c r="E143" s="73" t="n">
        <v>0.4680530712975751</v>
      </c>
      <c r="F143" s="73" t="n">
        <v>-0.1063703452370854</v>
      </c>
      <c r="G143" s="73" t="n">
        <v>0.2146697156663934</v>
      </c>
      <c r="H143" s="73" t="n">
        <v>-0.3955968230062091</v>
      </c>
      <c r="I143" s="73" t="n">
        <v>0.465378421900161</v>
      </c>
      <c r="J143" s="73" t="n">
        <v>0.08855378198443892</v>
      </c>
    </row>
    <row r="144" ht="16" customHeight="1">
      <c r="A144" s="94" t="inlineStr"/>
      <c r="B144" s="20" t="inlineStr">
        <is>
          <t>YoY Rev Growth</t>
        </is>
      </c>
      <c r="C144" s="45" t="n"/>
      <c r="D144" s="45" t="n"/>
      <c r="E144" s="45" t="n"/>
      <c r="F144" s="45" t="n"/>
      <c r="G144" s="69" t="n">
        <v>-0.1155221273413888</v>
      </c>
      <c r="H144" s="69" t="n">
        <v>-0.03687141983834084</v>
      </c>
      <c r="I144" s="69" t="n">
        <v>-0.03862614609921421</v>
      </c>
      <c r="J144" s="69" t="n">
        <v>0.1710747724036761</v>
      </c>
    </row>
    <row r="145" ht="8" customHeight="1"/>
    <row r="146" ht="22" customHeight="1">
      <c r="A146" s="16" t="inlineStr">
        <is>
          <t xml:space="preserve">  Breakout</t>
        </is>
      </c>
      <c r="B146" s="17" t="n"/>
      <c r="C146" s="17" t="n"/>
      <c r="D146" s="17" t="n"/>
      <c r="E146" s="17" t="n"/>
      <c r="F146" s="17" t="n"/>
      <c r="G146" s="17" t="n"/>
      <c r="H146" s="17" t="n"/>
      <c r="I146" s="17" t="n"/>
      <c r="J146" s="17" t="n"/>
      <c r="K146" s="17" t="n"/>
    </row>
    <row r="147" ht="18" customHeight="1">
      <c r="A147" s="91" t="inlineStr">
        <is>
          <t>XMTR  —  Xometry, Inc.</t>
        </is>
      </c>
      <c r="C147" s="92" t="inlineStr">
        <is>
          <t>Breakout</t>
        </is>
      </c>
      <c r="D147" s="72" t="inlineStr">
        <is>
          <t>Mkt Cap: $2278M</t>
        </is>
      </c>
      <c r="E147" s="93" t="n"/>
      <c r="F147" s="93" t="n"/>
      <c r="G147" s="93" t="n"/>
      <c r="H147" s="93" t="n"/>
      <c r="I147" s="93" t="n"/>
      <c r="J147" s="93" t="n"/>
      <c r="K147" s="93" t="n"/>
    </row>
    <row r="148" ht="16" customHeight="1">
      <c r="A148" s="94" t="inlineStr"/>
      <c r="B148" s="18" t="inlineStr">
        <is>
          <t>Quarter</t>
        </is>
      </c>
      <c r="C148" s="18" t="inlineStr">
        <is>
          <t>2024-03-31</t>
        </is>
      </c>
      <c r="D148" s="18" t="inlineStr">
        <is>
          <t>2024-06-30</t>
        </is>
      </c>
      <c r="E148" s="18" t="inlineStr">
        <is>
          <t>2024-09-30</t>
        </is>
      </c>
      <c r="F148" s="18" t="inlineStr">
        <is>
          <t>2024-12-31</t>
        </is>
      </c>
      <c r="G148" s="18" t="inlineStr">
        <is>
          <t>2025-03-31</t>
        </is>
      </c>
      <c r="H148" s="18" t="inlineStr">
        <is>
          <t>2025-06-30</t>
        </is>
      </c>
      <c r="I148" s="18" t="inlineStr">
        <is>
          <t>2025-09-30</t>
        </is>
      </c>
      <c r="J148" s="18" t="inlineStr">
        <is>
          <t>2025-12-31</t>
        </is>
      </c>
    </row>
    <row r="149" ht="16" customHeight="1">
      <c r="A149" s="94" t="inlineStr"/>
      <c r="B149" s="64" t="inlineStr">
        <is>
          <t>Revenue ($M)</t>
        </is>
      </c>
      <c r="C149" s="95" t="n">
        <v>122.69</v>
      </c>
      <c r="D149" s="95" t="n">
        <v>132.595</v>
      </c>
      <c r="E149" s="95" t="n">
        <v>141.698</v>
      </c>
      <c r="F149" s="95" t="n">
        <v>148.546</v>
      </c>
      <c r="G149" s="95" t="n">
        <v>150.971</v>
      </c>
      <c r="H149" s="95" t="n">
        <v>162.547</v>
      </c>
      <c r="I149" s="95" t="n">
        <v>180.715</v>
      </c>
      <c r="J149" s="95" t="n">
        <v>192.398</v>
      </c>
    </row>
    <row r="150" ht="16" customHeight="1">
      <c r="A150" s="94" t="inlineStr"/>
      <c r="B150" s="91" t="inlineStr">
        <is>
          <t>Gross Margin %</t>
        </is>
      </c>
      <c r="C150" s="69" t="n">
        <v>0.39</v>
      </c>
      <c r="D150" s="69" t="n">
        <v>0.399</v>
      </c>
      <c r="E150" s="69" t="n">
        <v>0.394</v>
      </c>
      <c r="F150" s="69" t="n">
        <v>0.397</v>
      </c>
      <c r="G150" s="69" t="n">
        <v>0.373</v>
      </c>
      <c r="H150" s="69" t="n">
        <v>0.401</v>
      </c>
      <c r="I150" s="69" t="n">
        <v>0.399</v>
      </c>
      <c r="J150" s="69" t="n">
        <v>0.391</v>
      </c>
    </row>
    <row r="151" ht="16" customHeight="1">
      <c r="A151" s="94" t="inlineStr"/>
      <c r="B151" s="26" t="inlineStr">
        <is>
          <t>QoQ Rev Growth</t>
        </is>
      </c>
      <c r="C151" s="48" t="n"/>
      <c r="D151" s="73" t="n">
        <v>0.08073192599233842</v>
      </c>
      <c r="E151" s="73" t="n">
        <v>0.06865266412760662</v>
      </c>
      <c r="F151" s="73" t="n">
        <v>0.04832813448319666</v>
      </c>
      <c r="G151" s="73" t="n">
        <v>0.01632490945565683</v>
      </c>
      <c r="H151" s="73" t="n">
        <v>0.07667697769770353</v>
      </c>
      <c r="I151" s="73" t="n">
        <v>0.1117707493832553</v>
      </c>
      <c r="J151" s="73" t="n">
        <v>0.06464875632902636</v>
      </c>
    </row>
    <row r="152" ht="16" customHeight="1">
      <c r="A152" s="94" t="inlineStr"/>
      <c r="B152" s="20" t="inlineStr">
        <is>
          <t>YoY Rev Growth</t>
        </is>
      </c>
      <c r="C152" s="45" t="n"/>
      <c r="D152" s="45" t="n"/>
      <c r="E152" s="45" t="n"/>
      <c r="F152" s="45" t="n"/>
      <c r="G152" s="69" t="n">
        <v>0.2305077838454642</v>
      </c>
      <c r="H152" s="69" t="n">
        <v>0.2258908706964818</v>
      </c>
      <c r="I152" s="69" t="n">
        <v>0.27535321599458</v>
      </c>
      <c r="J152" s="69" t="n">
        <v>0.2952082183296756</v>
      </c>
    </row>
    <row r="153" ht="8" customHeight="1"/>
    <row r="154" ht="18" customHeight="1">
      <c r="A154" s="91" t="inlineStr">
        <is>
          <t>RUN  —  Sunrun Inc.</t>
        </is>
      </c>
      <c r="C154" s="92" t="inlineStr">
        <is>
          <t>Breakout</t>
        </is>
      </c>
      <c r="D154" s="72" t="inlineStr">
        <is>
          <t>Mkt Cap: $2773M</t>
        </is>
      </c>
      <c r="E154" s="93" t="n"/>
      <c r="F154" s="93" t="n"/>
      <c r="G154" s="93" t="n"/>
      <c r="H154" s="93" t="n"/>
      <c r="I154" s="93" t="n"/>
      <c r="J154" s="93" t="n"/>
      <c r="K154" s="93" t="n"/>
    </row>
    <row r="155" ht="16" customHeight="1">
      <c r="A155" s="94" t="inlineStr"/>
      <c r="B155" s="18" t="inlineStr">
        <is>
          <t>Quarter</t>
        </is>
      </c>
      <c r="C155" s="18" t="inlineStr">
        <is>
          <t>2024-03-31</t>
        </is>
      </c>
      <c r="D155" s="18" t="inlineStr">
        <is>
          <t>2024-06-30</t>
        </is>
      </c>
      <c r="E155" s="18" t="inlineStr">
        <is>
          <t>2024-09-30</t>
        </is>
      </c>
      <c r="F155" s="18" t="inlineStr">
        <is>
          <t>2024-12-31</t>
        </is>
      </c>
      <c r="G155" s="18" t="inlineStr">
        <is>
          <t>2025-03-31</t>
        </is>
      </c>
      <c r="H155" s="18" t="inlineStr">
        <is>
          <t>2025-06-30</t>
        </is>
      </c>
      <c r="I155" s="18" t="inlineStr">
        <is>
          <t>2025-09-30</t>
        </is>
      </c>
      <c r="J155" s="18" t="inlineStr">
        <is>
          <t>2025-12-31</t>
        </is>
      </c>
    </row>
    <row r="156" ht="16" customHeight="1">
      <c r="A156" s="94" t="inlineStr"/>
      <c r="B156" s="64" t="inlineStr">
        <is>
          <t>Revenue ($M)</t>
        </is>
      </c>
      <c r="C156" s="95" t="n">
        <v>458.188</v>
      </c>
      <c r="D156" s="95" t="n">
        <v>523.866</v>
      </c>
      <c r="E156" s="95" t="n">
        <v>537.173</v>
      </c>
      <c r="F156" s="95" t="n">
        <v>518.492</v>
      </c>
      <c r="G156" s="95" t="n">
        <v>504.271</v>
      </c>
      <c r="H156" s="95" t="n">
        <v>569.336</v>
      </c>
      <c r="I156" s="95" t="n">
        <v>724.557</v>
      </c>
      <c r="J156" s="95" t="n">
        <v>1158.833</v>
      </c>
    </row>
    <row r="157" ht="16" customHeight="1">
      <c r="A157" s="94" t="inlineStr"/>
      <c r="B157" s="91" t="inlineStr">
        <is>
          <t>Gross Margin %</t>
        </is>
      </c>
      <c r="C157" s="69" t="n">
        <v>0.07099999999999999</v>
      </c>
      <c r="D157" s="69" t="n">
        <v>0.181</v>
      </c>
      <c r="E157" s="69" t="n">
        <v>0.193</v>
      </c>
      <c r="F157" s="69" t="n">
        <v>0.188</v>
      </c>
      <c r="G157" s="69" t="n">
        <v>0.196</v>
      </c>
      <c r="H157" s="69" t="n">
        <v>0.166</v>
      </c>
      <c r="I157" s="69" t="n">
        <v>0.336</v>
      </c>
      <c r="J157" s="69" t="n">
        <v>0.353</v>
      </c>
    </row>
    <row r="158" ht="16" customHeight="1">
      <c r="A158" s="94" t="inlineStr"/>
      <c r="B158" s="26" t="inlineStr">
        <is>
          <t>QoQ Rev Growth</t>
        </is>
      </c>
      <c r="C158" s="48" t="n"/>
      <c r="D158" s="73" t="n">
        <v>0.1433429072782351</v>
      </c>
      <c r="E158" s="73" t="n">
        <v>0.0254015339800636</v>
      </c>
      <c r="F158" s="73" t="n">
        <v>-0.0347765058928874</v>
      </c>
      <c r="G158" s="73" t="n">
        <v>-0.02742761701241292</v>
      </c>
      <c r="H158" s="73" t="n">
        <v>0.1290278441552261</v>
      </c>
      <c r="I158" s="73" t="n">
        <v>0.2726351398822488</v>
      </c>
      <c r="J158" s="73" t="n">
        <v>0.5993676135900972</v>
      </c>
    </row>
    <row r="159" ht="16" customHeight="1">
      <c r="A159" s="94" t="inlineStr"/>
      <c r="B159" s="20" t="inlineStr">
        <is>
          <t>YoY Rev Growth</t>
        </is>
      </c>
      <c r="C159" s="45" t="n"/>
      <c r="D159" s="45" t="n"/>
      <c r="E159" s="45" t="n"/>
      <c r="F159" s="45" t="n"/>
      <c r="G159" s="69" t="n">
        <v>0.1005766192043441</v>
      </c>
      <c r="H159" s="69" t="n">
        <v>0.0867970053410605</v>
      </c>
      <c r="I159" s="69" t="n">
        <v>0.3488336159859114</v>
      </c>
      <c r="J159" s="69" t="n">
        <v>1.235006518904824</v>
      </c>
    </row>
    <row r="160" ht="8" customHeight="1"/>
    <row r="161" ht="18" customHeight="1">
      <c r="A161" s="91" t="inlineStr">
        <is>
          <t>FELE  —  Franklin Electric Co., Inc.</t>
        </is>
      </c>
      <c r="C161" s="92" t="inlineStr">
        <is>
          <t>Breakout</t>
        </is>
      </c>
      <c r="D161" s="72" t="inlineStr">
        <is>
          <t>Mkt Cap: $4515M</t>
        </is>
      </c>
      <c r="E161" s="93" t="n"/>
      <c r="F161" s="93" t="n"/>
      <c r="G161" s="93" t="n"/>
      <c r="H161" s="93" t="n"/>
      <c r="I161" s="93" t="n"/>
      <c r="J161" s="93" t="n"/>
      <c r="K161" s="93" t="n"/>
    </row>
    <row r="162" ht="16" customHeight="1">
      <c r="A162" s="94" t="inlineStr"/>
      <c r="B162" s="18" t="inlineStr">
        <is>
          <t>Quarter</t>
        </is>
      </c>
      <c r="C162" s="18" t="inlineStr">
        <is>
          <t>2024-06-30</t>
        </is>
      </c>
      <c r="D162" s="18" t="inlineStr">
        <is>
          <t>2024-09-30</t>
        </is>
      </c>
      <c r="E162" s="18" t="inlineStr">
        <is>
          <t>2024-12-31</t>
        </is>
      </c>
      <c r="F162" s="18" t="inlineStr">
        <is>
          <t>2025-03-31</t>
        </is>
      </c>
      <c r="G162" s="18" t="inlineStr">
        <is>
          <t>2025-06-30</t>
        </is>
      </c>
      <c r="H162" s="18" t="inlineStr">
        <is>
          <t>2025-09-30</t>
        </is>
      </c>
      <c r="I162" s="18" t="inlineStr">
        <is>
          <t>2025-12-31</t>
        </is>
      </c>
      <c r="J162" s="18" t="inlineStr">
        <is>
          <t>2026-03-31</t>
        </is>
      </c>
    </row>
    <row r="163" ht="16" customHeight="1">
      <c r="A163" s="94" t="inlineStr"/>
      <c r="B163" s="64" t="inlineStr">
        <is>
          <t>Revenue ($M)</t>
        </is>
      </c>
      <c r="C163" s="95" t="n">
        <v>543.258</v>
      </c>
      <c r="D163" s="95" t="n">
        <v>531.438</v>
      </c>
      <c r="E163" s="95" t="n">
        <v>485.745</v>
      </c>
      <c r="F163" s="95" t="n">
        <v>455.247</v>
      </c>
      <c r="G163" s="95" t="n">
        <v>587.434</v>
      </c>
      <c r="H163" s="95" t="n">
        <v>581.7140000000001</v>
      </c>
      <c r="I163" s="95" t="n">
        <v>506.855</v>
      </c>
      <c r="J163" s="95" t="n">
        <v>500.437</v>
      </c>
    </row>
    <row r="164" ht="16" customHeight="1">
      <c r="A164" s="94" t="inlineStr"/>
      <c r="B164" s="91" t="inlineStr">
        <is>
          <t>Gross Margin %</t>
        </is>
      </c>
      <c r="C164" s="69" t="n">
        <v>0.368</v>
      </c>
      <c r="D164" s="69" t="n">
        <v>0.357</v>
      </c>
      <c r="E164" s="69" t="n">
        <v>0.338</v>
      </c>
      <c r="F164" s="69" t="n">
        <v>0.36</v>
      </c>
      <c r="G164" s="69" t="n">
        <v>0.361</v>
      </c>
      <c r="H164" s="69" t="n">
        <v>0.359</v>
      </c>
      <c r="I164" s="69" t="n">
        <v>0.338</v>
      </c>
      <c r="J164" s="69" t="n">
        <v>0.35</v>
      </c>
    </row>
    <row r="165" ht="16" customHeight="1">
      <c r="A165" s="94" t="inlineStr"/>
      <c r="B165" s="26" t="inlineStr">
        <is>
          <t>QoQ Rev Growth</t>
        </is>
      </c>
      <c r="C165" s="48" t="n"/>
      <c r="D165" s="73" t="n">
        <v>-0.02175761792739361</v>
      </c>
      <c r="E165" s="73" t="n">
        <v>-0.08597992616260033</v>
      </c>
      <c r="F165" s="73" t="n">
        <v>-0.062786029706945</v>
      </c>
      <c r="G165" s="73" t="n">
        <v>0.2903632533547723</v>
      </c>
      <c r="H165" s="73" t="n">
        <v>-0.009737264101158598</v>
      </c>
      <c r="I165" s="73" t="n">
        <v>-0.1286869492568513</v>
      </c>
      <c r="J165" s="73" t="n">
        <v>-0.01266239851634096</v>
      </c>
    </row>
    <row r="166" ht="16" customHeight="1">
      <c r="A166" s="94" t="inlineStr"/>
      <c r="B166" s="20" t="inlineStr">
        <is>
          <t>YoY Rev Growth</t>
        </is>
      </c>
      <c r="C166" s="45" t="n"/>
      <c r="D166" s="45" t="n"/>
      <c r="E166" s="45" t="n"/>
      <c r="F166" s="45" t="n"/>
      <c r="G166" s="69" t="n">
        <v>0.0813167960711117</v>
      </c>
      <c r="H166" s="69" t="n">
        <v>0.0946036978913815</v>
      </c>
      <c r="I166" s="69" t="n">
        <v>0.04345901656218798</v>
      </c>
      <c r="J166" s="69" t="n">
        <v>0.09926479471583557</v>
      </c>
    </row>
    <row r="167" ht="8" customHeight="1"/>
    <row r="168" ht="18" customHeight="1">
      <c r="A168" s="91" t="inlineStr">
        <is>
          <t>QRVO  —  Qorvo, Inc.</t>
        </is>
      </c>
      <c r="C168" s="92" t="inlineStr">
        <is>
          <t>Breakout</t>
        </is>
      </c>
      <c r="D168" s="72" t="inlineStr">
        <is>
          <t>Mkt Cap: $8063M</t>
        </is>
      </c>
      <c r="E168" s="93" t="n"/>
      <c r="F168" s="93" t="n"/>
      <c r="G168" s="93" t="n"/>
      <c r="H168" s="93" t="n"/>
      <c r="I168" s="93" t="n"/>
      <c r="J168" s="93" t="n"/>
      <c r="K168" s="93" t="n"/>
    </row>
    <row r="169" ht="16" customHeight="1">
      <c r="A169" s="94" t="inlineStr"/>
      <c r="B169" s="18" t="inlineStr">
        <is>
          <t>Quarter</t>
        </is>
      </c>
      <c r="C169" s="18" t="inlineStr">
        <is>
          <t>2024-03-30</t>
        </is>
      </c>
      <c r="D169" s="18" t="inlineStr">
        <is>
          <t>2024-06-29</t>
        </is>
      </c>
      <c r="E169" s="18" t="inlineStr">
        <is>
          <t>2024-09-28</t>
        </is>
      </c>
      <c r="F169" s="18" t="inlineStr">
        <is>
          <t>2024-12-28</t>
        </is>
      </c>
      <c r="G169" s="18" t="inlineStr">
        <is>
          <t>2025-03-29</t>
        </is>
      </c>
      <c r="H169" s="18" t="inlineStr">
        <is>
          <t>2025-06-28</t>
        </is>
      </c>
      <c r="I169" s="18" t="inlineStr">
        <is>
          <t>2025-09-27</t>
        </is>
      </c>
      <c r="J169" s="18" t="inlineStr">
        <is>
          <t>2025-12-27</t>
        </is>
      </c>
    </row>
    <row r="170" ht="16" customHeight="1">
      <c r="A170" s="94" t="inlineStr"/>
      <c r="B170" s="64" t="inlineStr">
        <is>
          <t>Revenue ($M)</t>
        </is>
      </c>
      <c r="C170" s="95" t="n">
        <v>940.9880000000001</v>
      </c>
      <c r="D170" s="95" t="n">
        <v>886.671</v>
      </c>
      <c r="E170" s="95" t="n">
        <v>1046.509</v>
      </c>
      <c r="F170" s="95" t="n">
        <v>916.317</v>
      </c>
      <c r="G170" s="95" t="n">
        <v>869.474</v>
      </c>
      <c r="H170" s="95" t="n">
        <v>818.778</v>
      </c>
      <c r="I170" s="95" t="n">
        <v>1058.503</v>
      </c>
      <c r="J170" s="95" t="n">
        <v>992.9589999999999</v>
      </c>
    </row>
    <row r="171" ht="16" customHeight="1">
      <c r="A171" s="94" t="inlineStr"/>
      <c r="B171" s="91" t="inlineStr">
        <is>
          <t>Gross Margin %</t>
        </is>
      </c>
      <c r="C171" s="69" t="n">
        <v>0.406</v>
      </c>
      <c r="D171" s="69" t="n">
        <v>0.375</v>
      </c>
      <c r="E171" s="69" t="n">
        <v>0.426</v>
      </c>
      <c r="F171" s="69" t="n">
        <v>0.427</v>
      </c>
      <c r="G171" s="69" t="n">
        <v>0.422</v>
      </c>
      <c r="H171" s="69" t="n">
        <v>0.405</v>
      </c>
      <c r="I171" s="69" t="n">
        <v>0.47</v>
      </c>
      <c r="J171" s="69" t="n">
        <v>0.467</v>
      </c>
    </row>
    <row r="172" ht="16" customHeight="1">
      <c r="A172" s="94" t="inlineStr"/>
      <c r="B172" s="26" t="inlineStr">
        <is>
          <t>QoQ Rev Growth</t>
        </is>
      </c>
      <c r="C172" s="48" t="n"/>
      <c r="D172" s="73" t="n">
        <v>-0.05772337160516394</v>
      </c>
      <c r="E172" s="73" t="n">
        <v>0.1802675400458569</v>
      </c>
      <c r="F172" s="73" t="n">
        <v>-0.124406001286181</v>
      </c>
      <c r="G172" s="73" t="n">
        <v>-0.05112095486605618</v>
      </c>
      <c r="H172" s="73" t="n">
        <v>-0.05830651635356549</v>
      </c>
      <c r="I172" s="73" t="n">
        <v>0.2927838803680607</v>
      </c>
      <c r="J172" s="73" t="n">
        <v>-0.06192141165400571</v>
      </c>
    </row>
    <row r="173" ht="16" customHeight="1">
      <c r="A173" s="94" t="inlineStr"/>
      <c r="B173" s="20" t="inlineStr">
        <is>
          <t>YoY Rev Growth</t>
        </is>
      </c>
      <c r="C173" s="45" t="n"/>
      <c r="D173" s="45" t="n"/>
      <c r="E173" s="45" t="n"/>
      <c r="F173" s="45" t="n"/>
      <c r="G173" s="69" t="n">
        <v>-0.07599884376846464</v>
      </c>
      <c r="H173" s="69" t="n">
        <v>-0.07657067841397767</v>
      </c>
      <c r="I173" s="69" t="n">
        <v>0.01146096211308264</v>
      </c>
      <c r="J173" s="69" t="n">
        <v>0.08364135992238494</v>
      </c>
    </row>
    <row r="174" ht="8" customHeight="1"/>
    <row r="175" ht="18" customHeight="1">
      <c r="A175" s="91" t="inlineStr">
        <is>
          <t>ESI  —  Element Solutions Inc</t>
        </is>
      </c>
      <c r="C175" s="92" t="inlineStr">
        <is>
          <t>Breakout</t>
        </is>
      </c>
      <c r="D175" s="72" t="inlineStr">
        <is>
          <t>Mkt Cap: $10372M</t>
        </is>
      </c>
      <c r="E175" s="93" t="n"/>
      <c r="F175" s="93" t="n"/>
      <c r="G175" s="93" t="n"/>
      <c r="H175" s="93" t="n"/>
      <c r="I175" s="93" t="n"/>
      <c r="J175" s="93" t="n"/>
      <c r="K175" s="93" t="n"/>
    </row>
    <row r="176" ht="16" customHeight="1">
      <c r="A176" s="94" t="inlineStr"/>
      <c r="B176" s="18" t="inlineStr">
        <is>
          <t>Quarter</t>
        </is>
      </c>
      <c r="C176" s="18" t="inlineStr">
        <is>
          <t>2024-06-30</t>
        </is>
      </c>
      <c r="D176" s="18" t="inlineStr">
        <is>
          <t>2024-09-30</t>
        </is>
      </c>
      <c r="E176" s="18" t="inlineStr">
        <is>
          <t>2024-12-31</t>
        </is>
      </c>
      <c r="F176" s="18" t="inlineStr">
        <is>
          <t>2025-03-31</t>
        </is>
      </c>
      <c r="G176" s="18" t="inlineStr">
        <is>
          <t>2025-06-30</t>
        </is>
      </c>
      <c r="H176" s="18" t="inlineStr">
        <is>
          <t>2025-09-30</t>
        </is>
      </c>
      <c r="I176" s="18" t="inlineStr">
        <is>
          <t>2025-12-31</t>
        </is>
      </c>
      <c r="J176" s="18" t="inlineStr">
        <is>
          <t>2026-03-31</t>
        </is>
      </c>
    </row>
    <row r="177" ht="16" customHeight="1">
      <c r="A177" s="94" t="inlineStr"/>
      <c r="B177" s="64" t="inlineStr">
        <is>
          <t>Revenue ($M)</t>
        </is>
      </c>
      <c r="C177" s="95" t="n">
        <v>612.7</v>
      </c>
      <c r="D177" s="95" t="n">
        <v>645</v>
      </c>
      <c r="E177" s="95" t="n">
        <v>624.2</v>
      </c>
      <c r="F177" s="95" t="n">
        <v>593.7</v>
      </c>
      <c r="G177" s="95" t="n">
        <v>625.2</v>
      </c>
      <c r="H177" s="95" t="n">
        <v>656.1</v>
      </c>
      <c r="I177" s="95" t="n">
        <v>676.2</v>
      </c>
      <c r="J177" s="95" t="n">
        <v>840</v>
      </c>
    </row>
    <row r="178" ht="16" customHeight="1">
      <c r="A178" s="94" t="inlineStr"/>
      <c r="B178" s="91" t="inlineStr">
        <is>
          <t>Gross Margin %</t>
        </is>
      </c>
      <c r="C178" s="69" t="n">
        <v>0.436</v>
      </c>
      <c r="D178" s="69" t="n">
        <v>0.415</v>
      </c>
      <c r="E178" s="69" t="n">
        <v>0.41</v>
      </c>
      <c r="F178" s="69" t="n">
        <v>0.422</v>
      </c>
      <c r="G178" s="69" t="n">
        <v>0.426</v>
      </c>
      <c r="H178" s="69" t="n">
        <v>0.422</v>
      </c>
      <c r="I178" s="69" t="n">
        <v>0.409</v>
      </c>
      <c r="J178" s="69" t="n">
        <v>0.384</v>
      </c>
    </row>
    <row r="179" ht="16" customHeight="1">
      <c r="A179" s="94" t="inlineStr"/>
      <c r="B179" s="26" t="inlineStr">
        <is>
          <t>QoQ Rev Growth</t>
        </is>
      </c>
      <c r="C179" s="48" t="n"/>
      <c r="D179" s="73" t="n">
        <v>0.05271748000652848</v>
      </c>
      <c r="E179" s="73" t="n">
        <v>-0.03224806201550388</v>
      </c>
      <c r="F179" s="73" t="n">
        <v>-0.04886254405639218</v>
      </c>
      <c r="G179" s="73" t="n">
        <v>0.05305709954522486</v>
      </c>
      <c r="H179" s="73" t="n">
        <v>0.04942418426103647</v>
      </c>
      <c r="I179" s="73" t="n">
        <v>0.03063557384545039</v>
      </c>
      <c r="J179" s="73" t="n">
        <v>0.2422360248447205</v>
      </c>
    </row>
    <row r="180" ht="16" customHeight="1">
      <c r="A180" s="94" t="inlineStr"/>
      <c r="B180" s="20" t="inlineStr">
        <is>
          <t>YoY Rev Growth</t>
        </is>
      </c>
      <c r="C180" s="45" t="n"/>
      <c r="D180" s="45" t="n"/>
      <c r="E180" s="45" t="n"/>
      <c r="F180" s="45" t="n"/>
      <c r="G180" s="69" t="n">
        <v>0.02040150155051412</v>
      </c>
      <c r="H180" s="69" t="n">
        <v>0.01720930232558139</v>
      </c>
      <c r="I180" s="69" t="n">
        <v>0.08330663248958667</v>
      </c>
      <c r="J180" s="69" t="n">
        <v>0.414855987872663</v>
      </c>
    </row>
    <row r="181" ht="8" customHeight="1"/>
    <row r="182" ht="18" customHeight="1">
      <c r="A182" s="91" t="inlineStr">
        <is>
          <t>BETA  —  BETA Technologies, Inc.</t>
        </is>
      </c>
      <c r="C182" s="92" t="inlineStr">
        <is>
          <t>Breakout</t>
        </is>
      </c>
      <c r="D182" s="72" t="inlineStr">
        <is>
          <t>Mkt Cap: $3230M</t>
        </is>
      </c>
      <c r="E182" s="93" t="n"/>
      <c r="F182" s="93" t="n"/>
      <c r="G182" s="93" t="n"/>
      <c r="H182" s="93" t="n"/>
      <c r="I182" s="93" t="n"/>
      <c r="J182" s="93" t="n"/>
      <c r="K182" s="93" t="n"/>
    </row>
    <row r="183" ht="16" customHeight="1">
      <c r="A183" s="94" t="inlineStr"/>
      <c r="B183" s="18" t="inlineStr">
        <is>
          <t>Quarter</t>
        </is>
      </c>
      <c r="C183" s="18" t="inlineStr">
        <is>
          <t>2024-12-31</t>
        </is>
      </c>
      <c r="D183" s="18" t="inlineStr">
        <is>
          <t>2025-03-31</t>
        </is>
      </c>
      <c r="E183" s="18" t="inlineStr">
        <is>
          <t>2025-06-30</t>
        </is>
      </c>
      <c r="F183" s="18" t="inlineStr">
        <is>
          <t>2025-09-30</t>
        </is>
      </c>
      <c r="G183" s="18" t="inlineStr">
        <is>
          <t>2025-12-31</t>
        </is>
      </c>
    </row>
    <row r="184" ht="16" customHeight="1">
      <c r="A184" s="94" t="inlineStr"/>
      <c r="B184" s="64" t="inlineStr">
        <is>
          <t>Revenue ($M)</t>
        </is>
      </c>
      <c r="C184" s="95" t="n">
        <v>4.437</v>
      </c>
      <c r="D184" s="95" t="n">
        <v>7.7825</v>
      </c>
      <c r="E184" s="95" t="n">
        <v>7.7825</v>
      </c>
      <c r="F184" s="95" t="n">
        <v>8.917999999999999</v>
      </c>
      <c r="G184" s="95" t="n">
        <v>11.133</v>
      </c>
    </row>
    <row r="185" ht="16" customHeight="1">
      <c r="A185" s="94" t="inlineStr"/>
      <c r="B185" s="91" t="inlineStr">
        <is>
          <t>Gross Margin %</t>
        </is>
      </c>
      <c r="C185" s="69" t="n">
        <v>-0.436</v>
      </c>
      <c r="D185" s="69" t="n">
        <v>0.8120000000000001</v>
      </c>
      <c r="E185" s="69" t="n">
        <v>0.8120000000000001</v>
      </c>
      <c r="F185" s="69" t="n">
        <v>0.6929999999999999</v>
      </c>
      <c r="G185" s="69" t="n">
        <v>0.363</v>
      </c>
    </row>
    <row r="186" ht="16" customHeight="1">
      <c r="A186" s="94" t="inlineStr"/>
      <c r="B186" s="26" t="inlineStr">
        <is>
          <t>QoQ Rev Growth</t>
        </is>
      </c>
      <c r="C186" s="48" t="n"/>
      <c r="D186" s="73" t="n">
        <v>0.7540004507550147</v>
      </c>
      <c r="E186" s="73" t="n">
        <v>0</v>
      </c>
      <c r="F186" s="73" t="n">
        <v>0.1459042724060392</v>
      </c>
      <c r="G186" s="73" t="n">
        <v>0.2483740749046872</v>
      </c>
    </row>
    <row r="187" ht="16" customHeight="1">
      <c r="A187" s="94" t="inlineStr"/>
      <c r="B187" s="20" t="inlineStr">
        <is>
          <t>YoY Rev Growth</t>
        </is>
      </c>
      <c r="C187" s="45" t="n"/>
      <c r="D187" s="45" t="n"/>
      <c r="E187" s="45" t="n"/>
      <c r="F187" s="45" t="n"/>
      <c r="G187" s="69" t="n">
        <v>1.509127789046653</v>
      </c>
    </row>
    <row r="188" ht="8" customHeight="1"/>
    <row r="189" ht="18" customHeight="1">
      <c r="A189" s="91" t="inlineStr">
        <is>
          <t>ESAB  —  ESAB Corporation</t>
        </is>
      </c>
      <c r="C189" s="92" t="inlineStr">
        <is>
          <t>Breakout</t>
        </is>
      </c>
      <c r="D189" s="72" t="inlineStr">
        <is>
          <t>Mkt Cap: $5828M</t>
        </is>
      </c>
      <c r="E189" s="93" t="n"/>
      <c r="F189" s="93" t="n"/>
      <c r="G189" s="93" t="n"/>
      <c r="H189" s="93" t="n"/>
      <c r="I189" s="93" t="n"/>
      <c r="J189" s="93" t="n"/>
      <c r="K189" s="93" t="n"/>
    </row>
    <row r="190" ht="16" customHeight="1">
      <c r="A190" s="94" t="inlineStr"/>
      <c r="B190" s="18" t="inlineStr">
        <is>
          <t>Quarter</t>
        </is>
      </c>
      <c r="C190" s="18" t="inlineStr">
        <is>
          <t>2024-03-29</t>
        </is>
      </c>
      <c r="D190" s="18" t="inlineStr">
        <is>
          <t>2024-06-28</t>
        </is>
      </c>
      <c r="E190" s="18" t="inlineStr">
        <is>
          <t>2024-09-27</t>
        </is>
      </c>
      <c r="F190" s="18" t="inlineStr">
        <is>
          <t>2024-12-31</t>
        </is>
      </c>
      <c r="G190" s="18" t="inlineStr">
        <is>
          <t>2025-04-04</t>
        </is>
      </c>
      <c r="H190" s="18" t="inlineStr">
        <is>
          <t>2025-07-04</t>
        </is>
      </c>
      <c r="I190" s="18" t="inlineStr">
        <is>
          <t>2025-10-03</t>
        </is>
      </c>
      <c r="J190" s="18" t="inlineStr">
        <is>
          <t>2025-12-31</t>
        </is>
      </c>
    </row>
    <row r="191" ht="16" customHeight="1">
      <c r="A191" s="94" t="inlineStr"/>
      <c r="B191" s="64" t="inlineStr">
        <is>
          <t>Revenue ($M)</t>
        </is>
      </c>
      <c r="C191" s="95" t="n">
        <v>689.744</v>
      </c>
      <c r="D191" s="95" t="n">
        <v>707.053</v>
      </c>
      <c r="E191" s="95" t="n">
        <v>673.25</v>
      </c>
      <c r="F191" s="95" t="n">
        <v>670.756</v>
      </c>
      <c r="G191" s="95" t="n">
        <v>678.138</v>
      </c>
      <c r="H191" s="95" t="n">
        <v>715.586</v>
      </c>
      <c r="I191" s="95" t="n">
        <v>727.845</v>
      </c>
      <c r="J191" s="95" t="n">
        <v>720.986</v>
      </c>
    </row>
    <row r="192" ht="16" customHeight="1">
      <c r="A192" s="94" t="inlineStr"/>
      <c r="B192" s="91" t="inlineStr">
        <is>
          <t>Gross Margin %</t>
        </is>
      </c>
      <c r="C192" s="69" t="n">
        <v>0.37</v>
      </c>
      <c r="D192" s="69" t="n">
        <v>0.382</v>
      </c>
      <c r="E192" s="69" t="n">
        <v>0.377</v>
      </c>
      <c r="F192" s="69" t="n">
        <v>0.385</v>
      </c>
      <c r="G192" s="69" t="n">
        <v>0.376</v>
      </c>
      <c r="H192" s="69" t="n">
        <v>0.3720000000000001</v>
      </c>
      <c r="I192" s="69" t="n">
        <v>0.37</v>
      </c>
      <c r="J192" s="69" t="n">
        <v>0.305</v>
      </c>
    </row>
    <row r="193" ht="16" customHeight="1">
      <c r="A193" s="94" t="inlineStr"/>
      <c r="B193" s="26" t="inlineStr">
        <is>
          <t>QoQ Rev Growth</t>
        </is>
      </c>
      <c r="C193" s="48" t="n"/>
      <c r="D193" s="73" t="n">
        <v>0.02509481778746897</v>
      </c>
      <c r="E193" s="73" t="n">
        <v>-0.04780829725635843</v>
      </c>
      <c r="F193" s="73" t="n">
        <v>-0.003704418863720757</v>
      </c>
      <c r="G193" s="73" t="n">
        <v>0.01100549231016942</v>
      </c>
      <c r="H193" s="73" t="n">
        <v>0.05522179851298703</v>
      </c>
      <c r="I193" s="73" t="n">
        <v>0.01713141397400173</v>
      </c>
      <c r="J193" s="73" t="n">
        <v>-0.009423709718415323</v>
      </c>
    </row>
    <row r="194" ht="16" customHeight="1">
      <c r="A194" s="94" t="inlineStr"/>
      <c r="B194" s="20" t="inlineStr">
        <is>
          <t>YoY Rev Growth</t>
        </is>
      </c>
      <c r="C194" s="45" t="n"/>
      <c r="D194" s="45" t="n"/>
      <c r="E194" s="45" t="n"/>
      <c r="F194" s="45" t="n"/>
      <c r="G194" s="69" t="n">
        <v>-0.01682653274258275</v>
      </c>
      <c r="H194" s="69" t="n">
        <v>0.01206840222727292</v>
      </c>
      <c r="I194" s="69" t="n">
        <v>0.08109171927218715</v>
      </c>
      <c r="J194" s="69" t="n">
        <v>0.07488565141422514</v>
      </c>
    </row>
    <row r="195" ht="8" customHeight="1"/>
    <row r="196" ht="18" customHeight="1">
      <c r="A196" s="91" t="inlineStr">
        <is>
          <t>EXLS  —  ExlService Holdings, Inc.</t>
        </is>
      </c>
      <c r="C196" s="92" t="inlineStr">
        <is>
          <t>Breakout</t>
        </is>
      </c>
      <c r="D196" s="72" t="inlineStr">
        <is>
          <t>Mkt Cap: $4840M</t>
        </is>
      </c>
      <c r="E196" s="93" t="n"/>
      <c r="F196" s="93" t="n"/>
      <c r="G196" s="93" t="n"/>
      <c r="H196" s="93" t="n"/>
      <c r="I196" s="93" t="n"/>
      <c r="J196" s="93" t="n"/>
      <c r="K196" s="93" t="n"/>
    </row>
    <row r="197" ht="16" customHeight="1">
      <c r="A197" s="94" t="inlineStr"/>
      <c r="B197" s="18" t="inlineStr">
        <is>
          <t>Quarter</t>
        </is>
      </c>
      <c r="C197" s="18" t="inlineStr">
        <is>
          <t>2024-06-30</t>
        </is>
      </c>
      <c r="D197" s="18" t="inlineStr">
        <is>
          <t>2024-09-30</t>
        </is>
      </c>
      <c r="E197" s="18" t="inlineStr">
        <is>
          <t>2024-12-31</t>
        </is>
      </c>
      <c r="F197" s="18" t="inlineStr">
        <is>
          <t>2025-03-31</t>
        </is>
      </c>
      <c r="G197" s="18" t="inlineStr">
        <is>
          <t>2025-06-30</t>
        </is>
      </c>
      <c r="H197" s="18" t="inlineStr">
        <is>
          <t>2025-09-30</t>
        </is>
      </c>
      <c r="I197" s="18" t="inlineStr">
        <is>
          <t>2025-12-31</t>
        </is>
      </c>
      <c r="J197" s="18" t="inlineStr">
        <is>
          <t>2026-03-31</t>
        </is>
      </c>
    </row>
    <row r="198" ht="16" customHeight="1">
      <c r="A198" s="94" t="inlineStr"/>
      <c r="B198" s="64" t="inlineStr">
        <is>
          <t>Revenue ($M)</t>
        </is>
      </c>
      <c r="C198" s="95" t="n">
        <v>448.366</v>
      </c>
      <c r="D198" s="95" t="n">
        <v>472.073</v>
      </c>
      <c r="E198" s="95" t="n">
        <v>481.426</v>
      </c>
      <c r="F198" s="95" t="n">
        <v>501.019</v>
      </c>
      <c r="G198" s="95" t="n">
        <v>514.46</v>
      </c>
      <c r="H198" s="95" t="n">
        <v>529.585</v>
      </c>
      <c r="I198" s="95" t="n">
        <v>542.615</v>
      </c>
      <c r="J198" s="95" t="n">
        <v>570.351</v>
      </c>
    </row>
    <row r="199" ht="16" customHeight="1">
      <c r="A199" s="94" t="inlineStr"/>
      <c r="B199" s="91" t="inlineStr">
        <is>
          <t>Gross Margin %</t>
        </is>
      </c>
      <c r="C199" s="69" t="n">
        <v>0.371</v>
      </c>
      <c r="D199" s="69" t="n">
        <v>0.3779999999999999</v>
      </c>
      <c r="E199" s="69" t="n">
        <v>0.381</v>
      </c>
      <c r="F199" s="69" t="n">
        <v>0.386</v>
      </c>
      <c r="G199" s="69" t="n">
        <v>0.377</v>
      </c>
      <c r="H199" s="69" t="n">
        <v>0.385</v>
      </c>
      <c r="I199" s="69" t="n">
        <v>0.386</v>
      </c>
      <c r="J199" s="69" t="n">
        <v>0.389</v>
      </c>
    </row>
    <row r="200" ht="16" customHeight="1">
      <c r="A200" s="94" t="inlineStr"/>
      <c r="B200" s="26" t="inlineStr">
        <is>
          <t>QoQ Rev Growth</t>
        </is>
      </c>
      <c r="C200" s="48" t="n"/>
      <c r="D200" s="73" t="n">
        <v>0.05287421436951063</v>
      </c>
      <c r="E200" s="73" t="n">
        <v>0.01981261372711424</v>
      </c>
      <c r="F200" s="73" t="n">
        <v>0.04069784348996523</v>
      </c>
      <c r="G200" s="73" t="n">
        <v>0.02682732590979583</v>
      </c>
      <c r="H200" s="73" t="n">
        <v>0.02939975897057108</v>
      </c>
      <c r="I200" s="73" t="n">
        <v>0.02460417119064928</v>
      </c>
      <c r="J200" s="73" t="n">
        <v>0.05111543175179455</v>
      </c>
    </row>
    <row r="201" ht="16" customHeight="1">
      <c r="A201" s="94" t="inlineStr"/>
      <c r="B201" s="20" t="inlineStr">
        <is>
          <t>YoY Rev Growth</t>
        </is>
      </c>
      <c r="C201" s="45" t="n"/>
      <c r="D201" s="45" t="n"/>
      <c r="E201" s="45" t="n"/>
      <c r="F201" s="45" t="n"/>
      <c r="G201" s="69" t="n">
        <v>0.1474108206242222</v>
      </c>
      <c r="H201" s="69" t="n">
        <v>0.1218286154895535</v>
      </c>
      <c r="I201" s="69" t="n">
        <v>0.1270994919260696</v>
      </c>
      <c r="J201" s="69" t="n">
        <v>0.1383819775297943</v>
      </c>
    </row>
    <row r="202" ht="8" customHeight="1"/>
    <row r="203" ht="18" customHeight="1">
      <c r="A203" s="91" t="inlineStr">
        <is>
          <t>RVTY  —  Revvity, Inc.</t>
        </is>
      </c>
      <c r="C203" s="92" t="inlineStr">
        <is>
          <t>Breakout</t>
        </is>
      </c>
      <c r="D203" s="72" t="inlineStr">
        <is>
          <t>Mkt Cap: $9161M</t>
        </is>
      </c>
      <c r="E203" s="93" t="n"/>
      <c r="F203" s="93" t="n"/>
      <c r="G203" s="93" t="n"/>
      <c r="H203" s="93" t="n"/>
      <c r="I203" s="93" t="n"/>
      <c r="J203" s="93" t="n"/>
      <c r="K203" s="93" t="n"/>
    </row>
    <row r="204" ht="16" customHeight="1">
      <c r="A204" s="94" t="inlineStr"/>
      <c r="B204" s="18" t="inlineStr">
        <is>
          <t>Quarter</t>
        </is>
      </c>
      <c r="C204" s="18" t="inlineStr">
        <is>
          <t>2024-03-31</t>
        </is>
      </c>
      <c r="D204" s="18" t="inlineStr">
        <is>
          <t>2024-06-30</t>
        </is>
      </c>
      <c r="E204" s="18" t="inlineStr">
        <is>
          <t>2024-09-29</t>
        </is>
      </c>
      <c r="F204" s="18" t="inlineStr">
        <is>
          <t>2024-12-29</t>
        </is>
      </c>
      <c r="G204" s="18" t="inlineStr">
        <is>
          <t>2025-03-30</t>
        </is>
      </c>
      <c r="H204" s="18" t="inlineStr">
        <is>
          <t>2025-06-29</t>
        </is>
      </c>
      <c r="I204" s="18" t="inlineStr">
        <is>
          <t>2025-09-28</t>
        </is>
      </c>
      <c r="J204" s="18" t="inlineStr">
        <is>
          <t>2025-12-28</t>
        </is>
      </c>
    </row>
    <row r="205" ht="16" customHeight="1">
      <c r="A205" s="94" t="inlineStr"/>
      <c r="B205" s="64" t="inlineStr">
        <is>
          <t>Revenue ($M)</t>
        </is>
      </c>
      <c r="C205" s="95" t="n">
        <v>649.92</v>
      </c>
      <c r="D205" s="95" t="n">
        <v>691.6849999999999</v>
      </c>
      <c r="E205" s="95" t="n">
        <v>684.049</v>
      </c>
      <c r="F205" s="95" t="n">
        <v>729.372</v>
      </c>
      <c r="G205" s="95" t="n">
        <v>664.7619999999999</v>
      </c>
      <c r="H205" s="95" t="n">
        <v>720.284</v>
      </c>
      <c r="I205" s="95" t="n">
        <v>698.949</v>
      </c>
      <c r="J205" s="95" t="n">
        <v>772.056</v>
      </c>
    </row>
    <row r="206" ht="16" customHeight="1">
      <c r="A206" s="94" t="inlineStr"/>
      <c r="B206" s="91" t="inlineStr">
        <is>
          <t>Gross Margin %</t>
        </is>
      </c>
      <c r="C206" s="69" t="n">
        <v>0.546</v>
      </c>
      <c r="D206" s="69" t="n">
        <v>0.5570000000000001</v>
      </c>
      <c r="E206" s="69" t="n">
        <v>0.5629999999999999</v>
      </c>
      <c r="F206" s="69" t="n">
        <v>0.493</v>
      </c>
      <c r="G206" s="69" t="n">
        <v>0.492</v>
      </c>
      <c r="H206" s="69" t="n">
        <v>0.545</v>
      </c>
      <c r="I206" s="69" t="n">
        <v>0.536</v>
      </c>
      <c r="J206" s="69" t="n">
        <v>0.4379999999999999</v>
      </c>
    </row>
    <row r="207" ht="16" customHeight="1">
      <c r="A207" s="94" t="inlineStr"/>
      <c r="B207" s="26" t="inlineStr">
        <is>
          <t>QoQ Rev Growth</t>
        </is>
      </c>
      <c r="C207" s="48" t="n"/>
      <c r="D207" s="73" t="n">
        <v>0.06426175529295913</v>
      </c>
      <c r="E207" s="73" t="n">
        <v>-0.01103970738125013</v>
      </c>
      <c r="F207" s="73" t="n">
        <v>0.06625694942906137</v>
      </c>
      <c r="G207" s="73" t="n">
        <v>-0.0885830550117087</v>
      </c>
      <c r="H207" s="73" t="n">
        <v>0.08352162127197403</v>
      </c>
      <c r="I207" s="73" t="n">
        <v>-0.02962026089709059</v>
      </c>
      <c r="J207" s="73" t="n">
        <v>0.104595614272286</v>
      </c>
    </row>
    <row r="208" ht="16" customHeight="1">
      <c r="A208" s="94" t="inlineStr"/>
      <c r="B208" s="20" t="inlineStr">
        <is>
          <t>YoY Rev Growth</t>
        </is>
      </c>
      <c r="C208" s="45" t="n"/>
      <c r="D208" s="45" t="n"/>
      <c r="E208" s="45" t="n"/>
      <c r="F208" s="45" t="n"/>
      <c r="G208" s="69" t="n">
        <v>0.02283665681930084</v>
      </c>
      <c r="H208" s="69" t="n">
        <v>0.04134685586647101</v>
      </c>
      <c r="I208" s="69" t="n">
        <v>0.02178206531988205</v>
      </c>
      <c r="J208" s="69" t="n">
        <v>0.05852157746664254</v>
      </c>
    </row>
    <row r="209" ht="8" customHeight="1"/>
    <row r="210" ht="18" customHeight="1">
      <c r="A210" s="91" t="inlineStr">
        <is>
          <t>NWSA  —  News Corporation</t>
        </is>
      </c>
      <c r="C210" s="92" t="inlineStr">
        <is>
          <t>Breakout</t>
        </is>
      </c>
      <c r="D210" s="72" t="inlineStr">
        <is>
          <t>Mkt Cap: $14792M</t>
        </is>
      </c>
      <c r="E210" s="93" t="n"/>
      <c r="F210" s="93" t="n"/>
      <c r="G210" s="93" t="n"/>
      <c r="H210" s="93" t="n"/>
      <c r="I210" s="93" t="n"/>
      <c r="J210" s="93" t="n"/>
      <c r="K210" s="93" t="n"/>
    </row>
    <row r="211" ht="16" customHeight="1">
      <c r="A211" s="94" t="inlineStr"/>
      <c r="B211" s="18" t="inlineStr">
        <is>
          <t>Quarter</t>
        </is>
      </c>
      <c r="C211" s="18" t="inlineStr">
        <is>
          <t>2024-03-31</t>
        </is>
      </c>
      <c r="D211" s="18" t="inlineStr">
        <is>
          <t>2024-06-30</t>
        </is>
      </c>
      <c r="E211" s="18" t="inlineStr">
        <is>
          <t>2024-09-30</t>
        </is>
      </c>
      <c r="F211" s="18" t="inlineStr">
        <is>
          <t>2024-12-31</t>
        </is>
      </c>
      <c r="G211" s="18" t="inlineStr">
        <is>
          <t>2025-03-31</t>
        </is>
      </c>
      <c r="H211" s="18" t="inlineStr">
        <is>
          <t>2025-06-30</t>
        </is>
      </c>
      <c r="I211" s="18" t="inlineStr">
        <is>
          <t>2025-09-30</t>
        </is>
      </c>
      <c r="J211" s="18" t="inlineStr">
        <is>
          <t>2025-12-31</t>
        </is>
      </c>
    </row>
    <row r="212" ht="16" customHeight="1">
      <c r="A212" s="94" t="inlineStr"/>
      <c r="B212" s="64" t="inlineStr">
        <is>
          <t>Revenue ($M)</t>
        </is>
      </c>
      <c r="C212" s="95" t="n">
        <v>1994</v>
      </c>
      <c r="D212" s="95" t="n">
        <v>2577</v>
      </c>
      <c r="E212" s="95" t="n">
        <v>2096</v>
      </c>
      <c r="F212" s="95" t="n">
        <v>2238</v>
      </c>
      <c r="G212" s="95" t="n">
        <v>2009</v>
      </c>
      <c r="H212" s="95" t="n">
        <v>2109</v>
      </c>
      <c r="I212" s="95" t="n">
        <v>2144</v>
      </c>
      <c r="J212" s="95" t="n">
        <v>2590</v>
      </c>
    </row>
    <row r="213" ht="16" customHeight="1">
      <c r="A213" s="94" t="inlineStr"/>
      <c r="B213" s="91" t="inlineStr">
        <is>
          <t>Gross Margin %</t>
        </is>
      </c>
      <c r="C213" s="69" t="n">
        <v>1</v>
      </c>
      <c r="D213" s="69" t="n">
        <v>1</v>
      </c>
      <c r="E213" s="69" t="n">
        <v>1</v>
      </c>
      <c r="F213" s="69" t="n">
        <v>1</v>
      </c>
      <c r="G213" s="69" t="n">
        <v>1</v>
      </c>
      <c r="H213" s="69" t="n">
        <v>1</v>
      </c>
      <c r="I213" s="69" t="n">
        <v>1</v>
      </c>
      <c r="J213" s="69" t="n">
        <v>0.506</v>
      </c>
    </row>
    <row r="214" ht="16" customHeight="1">
      <c r="A214" s="94" t="inlineStr"/>
      <c r="B214" s="26" t="inlineStr">
        <is>
          <t>QoQ Rev Growth</t>
        </is>
      </c>
      <c r="C214" s="48" t="n"/>
      <c r="D214" s="73" t="n">
        <v>0.2923771313941825</v>
      </c>
      <c r="E214" s="73" t="n">
        <v>-0.186651144741948</v>
      </c>
      <c r="F214" s="73" t="n">
        <v>0.06774809160305344</v>
      </c>
      <c r="G214" s="73" t="n">
        <v>-0.1023235031277927</v>
      </c>
      <c r="H214" s="73" t="n">
        <v>0.04977600796416128</v>
      </c>
      <c r="I214" s="73" t="n">
        <v>0.01659554291133239</v>
      </c>
      <c r="J214" s="73" t="n">
        <v>0.2080223880597015</v>
      </c>
    </row>
    <row r="215" ht="16" customHeight="1">
      <c r="A215" s="94" t="inlineStr"/>
      <c r="B215" s="20" t="inlineStr">
        <is>
          <t>YoY Rev Growth</t>
        </is>
      </c>
      <c r="C215" s="45" t="n"/>
      <c r="D215" s="45" t="n"/>
      <c r="E215" s="45" t="n"/>
      <c r="F215" s="45" t="n"/>
      <c r="G215" s="69" t="n">
        <v>0.007522567703109328</v>
      </c>
      <c r="H215" s="69" t="n">
        <v>-0.1816065192083818</v>
      </c>
      <c r="I215" s="69" t="n">
        <v>0.02290076335877863</v>
      </c>
      <c r="J215" s="69" t="n">
        <v>0.1572832886505809</v>
      </c>
    </row>
    <row r="216" ht="8" customHeight="1"/>
  </sheetData>
  <mergeCells count="35">
    <mergeCell ref="A182:B182"/>
    <mergeCell ref="A132:B132"/>
    <mergeCell ref="A61:B61"/>
    <mergeCell ref="A1:K1"/>
    <mergeCell ref="A168:B168"/>
    <mergeCell ref="A146:K146"/>
    <mergeCell ref="A54:B54"/>
    <mergeCell ref="A196:B196"/>
    <mergeCell ref="A90:B90"/>
    <mergeCell ref="A118:B118"/>
    <mergeCell ref="A189:B189"/>
    <mergeCell ref="A75:K75"/>
    <mergeCell ref="A154:B154"/>
    <mergeCell ref="A12:B12"/>
    <mergeCell ref="A26:B26"/>
    <mergeCell ref="A139:B139"/>
    <mergeCell ref="A210:B210"/>
    <mergeCell ref="A104:B104"/>
    <mergeCell ref="A175:B175"/>
    <mergeCell ref="A76:B76"/>
    <mergeCell ref="A33:B33"/>
    <mergeCell ref="A47:B47"/>
    <mergeCell ref="A5:B5"/>
    <mergeCell ref="A2:K2"/>
    <mergeCell ref="A203:B203"/>
    <mergeCell ref="A97:B97"/>
    <mergeCell ref="A125:B125"/>
    <mergeCell ref="A4:K4"/>
    <mergeCell ref="A147:B147"/>
    <mergeCell ref="A19:B19"/>
    <mergeCell ref="A68:B68"/>
    <mergeCell ref="A161:B161"/>
    <mergeCell ref="A111:B111"/>
    <mergeCell ref="A40:B40"/>
    <mergeCell ref="A83:B83"/>
  </mergeCells>
  <conditionalFormatting sqref="C8:J8">
    <cfRule type="colorScale" priority="1">
      <colorScale>
        <cfvo type="min"/>
        <cfvo type="max"/>
        <color rgb="00FFFFFF"/>
        <color rgb="002A9D8F"/>
      </colorScale>
    </cfRule>
  </conditionalFormatting>
  <conditionalFormatting sqref="D9:J9">
    <cfRule type="colorScale" priority="2">
      <colorScale>
        <cfvo type="min"/>
        <cfvo type="num" val="0"/>
        <cfvo type="max"/>
        <color rgb="00E76F51"/>
        <color rgb="00FFFFFF"/>
        <color rgb="002A9D8F"/>
      </colorScale>
    </cfRule>
  </conditionalFormatting>
  <conditionalFormatting sqref="C15:J15">
    <cfRule type="colorScale" priority="3">
      <colorScale>
        <cfvo type="min"/>
        <cfvo type="max"/>
        <color rgb="00FFFFFF"/>
        <color rgb="002A9D8F"/>
      </colorScale>
    </cfRule>
  </conditionalFormatting>
  <conditionalFormatting sqref="D16:J16">
    <cfRule type="colorScale" priority="4">
      <colorScale>
        <cfvo type="min"/>
        <cfvo type="num" val="0"/>
        <cfvo type="max"/>
        <color rgb="00E76F51"/>
        <color rgb="00FFFFFF"/>
        <color rgb="002A9D8F"/>
      </colorScale>
    </cfRule>
  </conditionalFormatting>
  <conditionalFormatting sqref="C22:I22">
    <cfRule type="colorScale" priority="5">
      <colorScale>
        <cfvo type="min"/>
        <cfvo type="max"/>
        <color rgb="00FFFFFF"/>
        <color rgb="002A9D8F"/>
      </colorScale>
    </cfRule>
  </conditionalFormatting>
  <conditionalFormatting sqref="D23:I23">
    <cfRule type="colorScale" priority="6">
      <colorScale>
        <cfvo type="min"/>
        <cfvo type="num" val="0"/>
        <cfvo type="max"/>
        <color rgb="00E76F51"/>
        <color rgb="00FFFFFF"/>
        <color rgb="002A9D8F"/>
      </colorScale>
    </cfRule>
  </conditionalFormatting>
  <conditionalFormatting sqref="C29:J29">
    <cfRule type="colorScale" priority="7">
      <colorScale>
        <cfvo type="min"/>
        <cfvo type="max"/>
        <color rgb="00FFFFFF"/>
        <color rgb="002A9D8F"/>
      </colorScale>
    </cfRule>
  </conditionalFormatting>
  <conditionalFormatting sqref="D30:J30">
    <cfRule type="colorScale" priority="8">
      <colorScale>
        <cfvo type="min"/>
        <cfvo type="num" val="0"/>
        <cfvo type="max"/>
        <color rgb="00E76F51"/>
        <color rgb="00FFFFFF"/>
        <color rgb="002A9D8F"/>
      </colorScale>
    </cfRule>
  </conditionalFormatting>
  <conditionalFormatting sqref="C36:J36">
    <cfRule type="colorScale" priority="9">
      <colorScale>
        <cfvo type="min"/>
        <cfvo type="max"/>
        <color rgb="00FFFFFF"/>
        <color rgb="002A9D8F"/>
      </colorScale>
    </cfRule>
  </conditionalFormatting>
  <conditionalFormatting sqref="D37:J37">
    <cfRule type="colorScale" priority="10">
      <colorScale>
        <cfvo type="min"/>
        <cfvo type="num" val="0"/>
        <cfvo type="max"/>
        <color rgb="00E76F51"/>
        <color rgb="00FFFFFF"/>
        <color rgb="002A9D8F"/>
      </colorScale>
    </cfRule>
  </conditionalFormatting>
  <conditionalFormatting sqref="C43:J43">
    <cfRule type="colorScale" priority="11">
      <colorScale>
        <cfvo type="min"/>
        <cfvo type="max"/>
        <color rgb="00FFFFFF"/>
        <color rgb="002A9D8F"/>
      </colorScale>
    </cfRule>
  </conditionalFormatting>
  <conditionalFormatting sqref="D44:J44">
    <cfRule type="colorScale" priority="12">
      <colorScale>
        <cfvo type="min"/>
        <cfvo type="num" val="0"/>
        <cfvo type="max"/>
        <color rgb="00E76F51"/>
        <color rgb="00FFFFFF"/>
        <color rgb="002A9D8F"/>
      </colorScale>
    </cfRule>
  </conditionalFormatting>
  <conditionalFormatting sqref="C50:J50">
    <cfRule type="colorScale" priority="13">
      <colorScale>
        <cfvo type="min"/>
        <cfvo type="max"/>
        <color rgb="00FFFFFF"/>
        <color rgb="002A9D8F"/>
      </colorScale>
    </cfRule>
  </conditionalFormatting>
  <conditionalFormatting sqref="D51:J51">
    <cfRule type="colorScale" priority="14">
      <colorScale>
        <cfvo type="min"/>
        <cfvo type="num" val="0"/>
        <cfvo type="max"/>
        <color rgb="00E76F51"/>
        <color rgb="00FFFFFF"/>
        <color rgb="002A9D8F"/>
      </colorScale>
    </cfRule>
  </conditionalFormatting>
  <conditionalFormatting sqref="C57:J57">
    <cfRule type="colorScale" priority="15">
      <colorScale>
        <cfvo type="min"/>
        <cfvo type="max"/>
        <color rgb="00FFFFFF"/>
        <color rgb="002A9D8F"/>
      </colorScale>
    </cfRule>
  </conditionalFormatting>
  <conditionalFormatting sqref="D58:J58">
    <cfRule type="colorScale" priority="16">
      <colorScale>
        <cfvo type="min"/>
        <cfvo type="num" val="0"/>
        <cfvo type="max"/>
        <color rgb="00E76F51"/>
        <color rgb="00FFFFFF"/>
        <color rgb="002A9D8F"/>
      </colorScale>
    </cfRule>
  </conditionalFormatting>
  <conditionalFormatting sqref="C64:J64">
    <cfRule type="colorScale" priority="17">
      <colorScale>
        <cfvo type="min"/>
        <cfvo type="max"/>
        <color rgb="00FFFFFF"/>
        <color rgb="002A9D8F"/>
      </colorScale>
    </cfRule>
  </conditionalFormatting>
  <conditionalFormatting sqref="D65:J65">
    <cfRule type="colorScale" priority="18">
      <colorScale>
        <cfvo type="min"/>
        <cfvo type="num" val="0"/>
        <cfvo type="max"/>
        <color rgb="00E76F51"/>
        <color rgb="00FFFFFF"/>
        <color rgb="002A9D8F"/>
      </colorScale>
    </cfRule>
  </conditionalFormatting>
  <conditionalFormatting sqref="C71:J71">
    <cfRule type="colorScale" priority="19">
      <colorScale>
        <cfvo type="min"/>
        <cfvo type="max"/>
        <color rgb="00FFFFFF"/>
        <color rgb="002A9D8F"/>
      </colorScale>
    </cfRule>
  </conditionalFormatting>
  <conditionalFormatting sqref="D72:J72">
    <cfRule type="colorScale" priority="20">
      <colorScale>
        <cfvo type="min"/>
        <cfvo type="num" val="0"/>
        <cfvo type="max"/>
        <color rgb="00E76F51"/>
        <color rgb="00FFFFFF"/>
        <color rgb="002A9D8F"/>
      </colorScale>
    </cfRule>
  </conditionalFormatting>
  <conditionalFormatting sqref="C79:J79">
    <cfRule type="colorScale" priority="21">
      <colorScale>
        <cfvo type="min"/>
        <cfvo type="max"/>
        <color rgb="00FFFFFF"/>
        <color rgb="002A9D8F"/>
      </colorScale>
    </cfRule>
  </conditionalFormatting>
  <conditionalFormatting sqref="D80:J80">
    <cfRule type="colorScale" priority="22">
      <colorScale>
        <cfvo type="min"/>
        <cfvo type="num" val="0"/>
        <cfvo type="max"/>
        <color rgb="00E76F51"/>
        <color rgb="00FFFFFF"/>
        <color rgb="002A9D8F"/>
      </colorScale>
    </cfRule>
  </conditionalFormatting>
  <conditionalFormatting sqref="C86:J86">
    <cfRule type="colorScale" priority="23">
      <colorScale>
        <cfvo type="min"/>
        <cfvo type="max"/>
        <color rgb="00FFFFFF"/>
        <color rgb="002A9D8F"/>
      </colorScale>
    </cfRule>
  </conditionalFormatting>
  <conditionalFormatting sqref="D87:J87">
    <cfRule type="colorScale" priority="24">
      <colorScale>
        <cfvo type="min"/>
        <cfvo type="num" val="0"/>
        <cfvo type="max"/>
        <color rgb="00E76F51"/>
        <color rgb="00FFFFFF"/>
        <color rgb="002A9D8F"/>
      </colorScale>
    </cfRule>
  </conditionalFormatting>
  <conditionalFormatting sqref="C93:J93">
    <cfRule type="colorScale" priority="25">
      <colorScale>
        <cfvo type="min"/>
        <cfvo type="max"/>
        <color rgb="00FFFFFF"/>
        <color rgb="002A9D8F"/>
      </colorScale>
    </cfRule>
  </conditionalFormatting>
  <conditionalFormatting sqref="D94:J94">
    <cfRule type="colorScale" priority="26">
      <colorScale>
        <cfvo type="min"/>
        <cfvo type="num" val="0"/>
        <cfvo type="max"/>
        <color rgb="00E76F51"/>
        <color rgb="00FFFFFF"/>
        <color rgb="002A9D8F"/>
      </colorScale>
    </cfRule>
  </conditionalFormatting>
  <conditionalFormatting sqref="C100:J100">
    <cfRule type="colorScale" priority="27">
      <colorScale>
        <cfvo type="min"/>
        <cfvo type="max"/>
        <color rgb="00FFFFFF"/>
        <color rgb="002A9D8F"/>
      </colorScale>
    </cfRule>
  </conditionalFormatting>
  <conditionalFormatting sqref="D101:J101">
    <cfRule type="colorScale" priority="28">
      <colorScale>
        <cfvo type="min"/>
        <cfvo type="num" val="0"/>
        <cfvo type="max"/>
        <color rgb="00E76F51"/>
        <color rgb="00FFFFFF"/>
        <color rgb="002A9D8F"/>
      </colorScale>
    </cfRule>
  </conditionalFormatting>
  <conditionalFormatting sqref="C107:J107">
    <cfRule type="colorScale" priority="29">
      <colorScale>
        <cfvo type="min"/>
        <cfvo type="max"/>
        <color rgb="00FFFFFF"/>
        <color rgb="002A9D8F"/>
      </colorScale>
    </cfRule>
  </conditionalFormatting>
  <conditionalFormatting sqref="D108:J108">
    <cfRule type="colorScale" priority="30">
      <colorScale>
        <cfvo type="min"/>
        <cfvo type="num" val="0"/>
        <cfvo type="max"/>
        <color rgb="00E76F51"/>
        <color rgb="00FFFFFF"/>
        <color rgb="002A9D8F"/>
      </colorScale>
    </cfRule>
  </conditionalFormatting>
  <conditionalFormatting sqref="C114:J114">
    <cfRule type="colorScale" priority="31">
      <colorScale>
        <cfvo type="min"/>
        <cfvo type="max"/>
        <color rgb="00FFFFFF"/>
        <color rgb="002A9D8F"/>
      </colorScale>
    </cfRule>
  </conditionalFormatting>
  <conditionalFormatting sqref="D115:J115">
    <cfRule type="colorScale" priority="32">
      <colorScale>
        <cfvo type="min"/>
        <cfvo type="num" val="0"/>
        <cfvo type="max"/>
        <color rgb="00E76F51"/>
        <color rgb="00FFFFFF"/>
        <color rgb="002A9D8F"/>
      </colorScale>
    </cfRule>
  </conditionalFormatting>
  <conditionalFormatting sqref="C121:J121">
    <cfRule type="colorScale" priority="33">
      <colorScale>
        <cfvo type="min"/>
        <cfvo type="max"/>
        <color rgb="00FFFFFF"/>
        <color rgb="002A9D8F"/>
      </colorScale>
    </cfRule>
  </conditionalFormatting>
  <conditionalFormatting sqref="D122:J122">
    <cfRule type="colorScale" priority="34">
      <colorScale>
        <cfvo type="min"/>
        <cfvo type="num" val="0"/>
        <cfvo type="max"/>
        <color rgb="00E76F51"/>
        <color rgb="00FFFFFF"/>
        <color rgb="002A9D8F"/>
      </colorScale>
    </cfRule>
  </conditionalFormatting>
  <conditionalFormatting sqref="C128:J128">
    <cfRule type="colorScale" priority="35">
      <colorScale>
        <cfvo type="min"/>
        <cfvo type="max"/>
        <color rgb="00FFFFFF"/>
        <color rgb="002A9D8F"/>
      </colorScale>
    </cfRule>
  </conditionalFormatting>
  <conditionalFormatting sqref="D129:J129">
    <cfRule type="colorScale" priority="36">
      <colorScale>
        <cfvo type="min"/>
        <cfvo type="num" val="0"/>
        <cfvo type="max"/>
        <color rgb="00E76F51"/>
        <color rgb="00FFFFFF"/>
        <color rgb="002A9D8F"/>
      </colorScale>
    </cfRule>
  </conditionalFormatting>
  <conditionalFormatting sqref="C135:J135">
    <cfRule type="colorScale" priority="37">
      <colorScale>
        <cfvo type="min"/>
        <cfvo type="max"/>
        <color rgb="00FFFFFF"/>
        <color rgb="002A9D8F"/>
      </colorScale>
    </cfRule>
  </conditionalFormatting>
  <conditionalFormatting sqref="D136:J136">
    <cfRule type="colorScale" priority="38">
      <colorScale>
        <cfvo type="min"/>
        <cfvo type="num" val="0"/>
        <cfvo type="max"/>
        <color rgb="00E76F51"/>
        <color rgb="00FFFFFF"/>
        <color rgb="002A9D8F"/>
      </colorScale>
    </cfRule>
  </conditionalFormatting>
  <conditionalFormatting sqref="C142:J142">
    <cfRule type="colorScale" priority="39">
      <colorScale>
        <cfvo type="min"/>
        <cfvo type="max"/>
        <color rgb="00FFFFFF"/>
        <color rgb="002A9D8F"/>
      </colorScale>
    </cfRule>
  </conditionalFormatting>
  <conditionalFormatting sqref="D143:J143">
    <cfRule type="colorScale" priority="40">
      <colorScale>
        <cfvo type="min"/>
        <cfvo type="num" val="0"/>
        <cfvo type="max"/>
        <color rgb="00E76F51"/>
        <color rgb="00FFFFFF"/>
        <color rgb="002A9D8F"/>
      </colorScale>
    </cfRule>
  </conditionalFormatting>
  <conditionalFormatting sqref="C150:J150">
    <cfRule type="colorScale" priority="41">
      <colorScale>
        <cfvo type="min"/>
        <cfvo type="max"/>
        <color rgb="00FFFFFF"/>
        <color rgb="002A9D8F"/>
      </colorScale>
    </cfRule>
  </conditionalFormatting>
  <conditionalFormatting sqref="D151:J151">
    <cfRule type="colorScale" priority="42">
      <colorScale>
        <cfvo type="min"/>
        <cfvo type="num" val="0"/>
        <cfvo type="max"/>
        <color rgb="00E76F51"/>
        <color rgb="00FFFFFF"/>
        <color rgb="002A9D8F"/>
      </colorScale>
    </cfRule>
  </conditionalFormatting>
  <conditionalFormatting sqref="C157:J157">
    <cfRule type="colorScale" priority="43">
      <colorScale>
        <cfvo type="min"/>
        <cfvo type="max"/>
        <color rgb="00FFFFFF"/>
        <color rgb="002A9D8F"/>
      </colorScale>
    </cfRule>
  </conditionalFormatting>
  <conditionalFormatting sqref="D158:J158">
    <cfRule type="colorScale" priority="44">
      <colorScale>
        <cfvo type="min"/>
        <cfvo type="num" val="0"/>
        <cfvo type="max"/>
        <color rgb="00E76F51"/>
        <color rgb="00FFFFFF"/>
        <color rgb="002A9D8F"/>
      </colorScale>
    </cfRule>
  </conditionalFormatting>
  <conditionalFormatting sqref="C164:J164">
    <cfRule type="colorScale" priority="45">
      <colorScale>
        <cfvo type="min"/>
        <cfvo type="max"/>
        <color rgb="00FFFFFF"/>
        <color rgb="002A9D8F"/>
      </colorScale>
    </cfRule>
  </conditionalFormatting>
  <conditionalFormatting sqref="D165:J165">
    <cfRule type="colorScale" priority="46">
      <colorScale>
        <cfvo type="min"/>
        <cfvo type="num" val="0"/>
        <cfvo type="max"/>
        <color rgb="00E76F51"/>
        <color rgb="00FFFFFF"/>
        <color rgb="002A9D8F"/>
      </colorScale>
    </cfRule>
  </conditionalFormatting>
  <conditionalFormatting sqref="C171:J171">
    <cfRule type="colorScale" priority="47">
      <colorScale>
        <cfvo type="min"/>
        <cfvo type="max"/>
        <color rgb="00FFFFFF"/>
        <color rgb="002A9D8F"/>
      </colorScale>
    </cfRule>
  </conditionalFormatting>
  <conditionalFormatting sqref="D172:J172">
    <cfRule type="colorScale" priority="48">
      <colorScale>
        <cfvo type="min"/>
        <cfvo type="num" val="0"/>
        <cfvo type="max"/>
        <color rgb="00E76F51"/>
        <color rgb="00FFFFFF"/>
        <color rgb="002A9D8F"/>
      </colorScale>
    </cfRule>
  </conditionalFormatting>
  <conditionalFormatting sqref="C178:J178">
    <cfRule type="colorScale" priority="49">
      <colorScale>
        <cfvo type="min"/>
        <cfvo type="max"/>
        <color rgb="00FFFFFF"/>
        <color rgb="002A9D8F"/>
      </colorScale>
    </cfRule>
  </conditionalFormatting>
  <conditionalFormatting sqref="D179:J179">
    <cfRule type="colorScale" priority="50">
      <colorScale>
        <cfvo type="min"/>
        <cfvo type="num" val="0"/>
        <cfvo type="max"/>
        <color rgb="00E76F51"/>
        <color rgb="00FFFFFF"/>
        <color rgb="002A9D8F"/>
      </colorScale>
    </cfRule>
  </conditionalFormatting>
  <conditionalFormatting sqref="C185:G185">
    <cfRule type="colorScale" priority="51">
      <colorScale>
        <cfvo type="min"/>
        <cfvo type="max"/>
        <color rgb="00FFFFFF"/>
        <color rgb="002A9D8F"/>
      </colorScale>
    </cfRule>
  </conditionalFormatting>
  <conditionalFormatting sqref="D186:G186">
    <cfRule type="colorScale" priority="52">
      <colorScale>
        <cfvo type="min"/>
        <cfvo type="num" val="0"/>
        <cfvo type="max"/>
        <color rgb="00E76F51"/>
        <color rgb="00FFFFFF"/>
        <color rgb="002A9D8F"/>
      </colorScale>
    </cfRule>
  </conditionalFormatting>
  <conditionalFormatting sqref="C192:J192">
    <cfRule type="colorScale" priority="53">
      <colorScale>
        <cfvo type="min"/>
        <cfvo type="max"/>
        <color rgb="00FFFFFF"/>
        <color rgb="002A9D8F"/>
      </colorScale>
    </cfRule>
  </conditionalFormatting>
  <conditionalFormatting sqref="D193:J193">
    <cfRule type="colorScale" priority="54">
      <colorScale>
        <cfvo type="min"/>
        <cfvo type="num" val="0"/>
        <cfvo type="max"/>
        <color rgb="00E76F51"/>
        <color rgb="00FFFFFF"/>
        <color rgb="002A9D8F"/>
      </colorScale>
    </cfRule>
  </conditionalFormatting>
  <conditionalFormatting sqref="C199:J199">
    <cfRule type="colorScale" priority="55">
      <colorScale>
        <cfvo type="min"/>
        <cfvo type="max"/>
        <color rgb="00FFFFFF"/>
        <color rgb="002A9D8F"/>
      </colorScale>
    </cfRule>
  </conditionalFormatting>
  <conditionalFormatting sqref="D200:J200">
    <cfRule type="colorScale" priority="56">
      <colorScale>
        <cfvo type="min"/>
        <cfvo type="num" val="0"/>
        <cfvo type="max"/>
        <color rgb="00E76F51"/>
        <color rgb="00FFFFFF"/>
        <color rgb="002A9D8F"/>
      </colorScale>
    </cfRule>
  </conditionalFormatting>
  <conditionalFormatting sqref="C206:J206">
    <cfRule type="colorScale" priority="57">
      <colorScale>
        <cfvo type="min"/>
        <cfvo type="max"/>
        <color rgb="00FFFFFF"/>
        <color rgb="002A9D8F"/>
      </colorScale>
    </cfRule>
  </conditionalFormatting>
  <conditionalFormatting sqref="D207:J207">
    <cfRule type="colorScale" priority="58">
      <colorScale>
        <cfvo type="min"/>
        <cfvo type="num" val="0"/>
        <cfvo type="max"/>
        <color rgb="00E76F51"/>
        <color rgb="00FFFFFF"/>
        <color rgb="002A9D8F"/>
      </colorScale>
    </cfRule>
  </conditionalFormatting>
  <conditionalFormatting sqref="C213:J213">
    <cfRule type="colorScale" priority="59">
      <colorScale>
        <cfvo type="min"/>
        <cfvo type="max"/>
        <color rgb="00FFFFFF"/>
        <color rgb="002A9D8F"/>
      </colorScale>
    </cfRule>
  </conditionalFormatting>
  <conditionalFormatting sqref="D214:J214">
    <cfRule type="colorScale" priority="60">
      <colorScale>
        <cfvo type="min"/>
        <cfvo type="num" val="0"/>
        <cfvo type="max"/>
        <color rgb="00E76F51"/>
        <color rgb="00FFFFFF"/>
        <color rgb="002A9D8F"/>
      </colorScale>
    </cfRule>
  </conditionalFormatting>
  <pageMargins left="0.75" right="0.75" top="1" bottom="1" header="0.5" footer="0.5"/>
  <pageSetup orientation="landscape" fitToWidth="1"/>
</worksheet>
</file>

<file path=xl/worksheets/sheet12.xml><?xml version="1.0" encoding="utf-8"?>
<worksheet xmlns="http://schemas.openxmlformats.org/spreadsheetml/2006/main">
  <sheetPr>
    <tabColor rgb="00C9A84C"/>
    <outlinePr summaryBelow="1" summaryRight="1"/>
    <pageSetUpPr fitToPage="1"/>
  </sheetPr>
  <dimension ref="A1:Q65"/>
  <sheetViews>
    <sheetView showGridLines="0" workbookViewId="0">
      <pane ySplit="4" topLeftCell="A5" activePane="bottomLeft" state="frozen"/>
      <selection pane="bottomLeft" activeCell="A1" sqref="A1"/>
    </sheetView>
  </sheetViews>
  <sheetFormatPr baseColWidth="8" defaultRowHeight="15"/>
  <cols>
    <col width="1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s>
  <sheetData>
    <row r="1" ht="28" customHeight="1">
      <c r="A1" s="15" t="inlineStr">
        <is>
          <t>THE FINGERPRINT — Pre-Run Profiles of 10x Stocks</t>
        </is>
      </c>
    </row>
    <row r="2" ht="20" customHeight="1"/>
    <row r="3" ht="20" customHeight="1">
      <c r="A3" s="32" t="inlineStr">
        <is>
          <t>Historical winners at their pre-run inflection point — the benchmark for scoring</t>
        </is>
      </c>
    </row>
    <row r="4" ht="8" customHeight="1"/>
    <row r="5" ht="22" customHeight="1">
      <c r="A5" s="16" t="inlineStr">
        <is>
          <t>REFERENCE STOCK PROFILES</t>
        </is>
      </c>
      <c r="B5" s="17" t="n"/>
      <c r="C5" s="17" t="n"/>
      <c r="D5" s="17" t="n"/>
      <c r="E5" s="17" t="n"/>
      <c r="F5" s="17" t="n"/>
      <c r="G5" s="17" t="n"/>
      <c r="H5" s="17" t="n"/>
      <c r="I5" s="17" t="n"/>
      <c r="J5" s="17" t="n"/>
      <c r="K5" s="17" t="n"/>
      <c r="L5" s="17" t="n"/>
      <c r="M5" s="17" t="n"/>
      <c r="N5" s="17" t="n"/>
      <c r="O5" s="17" t="n"/>
      <c r="P5" s="17" t="n"/>
      <c r="Q5" s="17" t="n"/>
    </row>
    <row r="6">
      <c r="A6" s="96" t="inlineStr">
        <is>
          <t>LITE  —  Lumentum Holdings</t>
        </is>
      </c>
      <c r="B6" s="78" t="n"/>
      <c r="C6" s="78" t="n"/>
      <c r="D6" s="78" t="n"/>
      <c r="E6" s="97" t="n"/>
      <c r="G6" s="96" t="inlineStr">
        <is>
          <t>COHR  —  Coherent Corp (formerly II-VI)</t>
        </is>
      </c>
      <c r="H6" s="78" t="n"/>
      <c r="I6" s="78" t="n"/>
      <c r="J6" s="78" t="n"/>
      <c r="K6" s="97" t="n"/>
      <c r="M6" s="96" t="inlineStr">
        <is>
          <t>AAOI  —  Applied Optoelectronics</t>
        </is>
      </c>
      <c r="N6" s="78" t="n"/>
      <c r="O6" s="78" t="n"/>
      <c r="P6" s="78" t="n"/>
      <c r="Q6" s="97" t="n"/>
    </row>
    <row r="7">
      <c r="A7" s="98" t="inlineStr">
        <is>
          <t>Run Period: 2017   ▲ 850%</t>
        </is>
      </c>
      <c r="B7" s="93" t="n"/>
      <c r="C7" s="93" t="n"/>
      <c r="D7" s="93" t="n"/>
      <c r="E7" s="99" t="n"/>
      <c r="G7" s="98" t="inlineStr">
        <is>
          <t>Run Period: 2016   ▲ 600%</t>
        </is>
      </c>
      <c r="H7" s="93" t="n"/>
      <c r="I7" s="93" t="n"/>
      <c r="J7" s="93" t="n"/>
      <c r="K7" s="99" t="n"/>
      <c r="M7" s="98" t="inlineStr">
        <is>
          <t>Run Period: 2017   ▲ 1,200%</t>
        </is>
      </c>
      <c r="N7" s="93" t="n"/>
      <c r="O7" s="93" t="n"/>
      <c r="P7" s="93" t="n"/>
      <c r="Q7" s="99" t="n"/>
    </row>
    <row r="8">
      <c r="A8" s="100" t="inlineStr">
        <is>
          <t>Market Cap</t>
        </is>
      </c>
      <c r="B8" s="91" t="inlineStr">
        <is>
          <t>$1200M</t>
        </is>
      </c>
      <c r="C8" s="93" t="n"/>
      <c r="D8" s="93" t="n"/>
      <c r="E8" s="99" t="n"/>
      <c r="G8" s="100" t="inlineStr">
        <is>
          <t>Market Cap</t>
        </is>
      </c>
      <c r="H8" s="91" t="inlineStr">
        <is>
          <t>$900M</t>
        </is>
      </c>
      <c r="I8" s="93" t="n"/>
      <c r="J8" s="93" t="n"/>
      <c r="K8" s="99" t="n"/>
      <c r="M8" s="100" t="inlineStr">
        <is>
          <t>Market Cap</t>
        </is>
      </c>
      <c r="N8" s="91" t="inlineStr">
        <is>
          <t>$300M</t>
        </is>
      </c>
      <c r="O8" s="93" t="n"/>
      <c r="P8" s="93" t="n"/>
      <c r="Q8" s="99" t="n"/>
    </row>
    <row r="9">
      <c r="A9" s="100" t="inlineStr">
        <is>
          <t>Revenue Growth</t>
        </is>
      </c>
      <c r="B9" s="91" t="inlineStr">
        <is>
          <t>38%</t>
        </is>
      </c>
      <c r="C9" s="93" t="n"/>
      <c r="D9" s="93" t="n"/>
      <c r="E9" s="99" t="n"/>
      <c r="G9" s="100" t="inlineStr">
        <is>
          <t>Revenue Growth</t>
        </is>
      </c>
      <c r="H9" s="91" t="inlineStr">
        <is>
          <t>22%</t>
        </is>
      </c>
      <c r="I9" s="93" t="n"/>
      <c r="J9" s="93" t="n"/>
      <c r="K9" s="99" t="n"/>
      <c r="M9" s="100" t="inlineStr">
        <is>
          <t>Revenue Growth</t>
        </is>
      </c>
      <c r="N9" s="91" t="inlineStr">
        <is>
          <t>95%</t>
        </is>
      </c>
      <c r="O9" s="93" t="n"/>
      <c r="P9" s="93" t="n"/>
      <c r="Q9" s="99" t="n"/>
    </row>
    <row r="10">
      <c r="A10" s="100" t="inlineStr">
        <is>
          <t>Gross Margin</t>
        </is>
      </c>
      <c r="B10" s="91" t="inlineStr">
        <is>
          <t>44%</t>
        </is>
      </c>
      <c r="C10" s="93" t="n"/>
      <c r="D10" s="93" t="n"/>
      <c r="E10" s="99" t="n"/>
      <c r="G10" s="100" t="inlineStr">
        <is>
          <t>Gross Margin</t>
        </is>
      </c>
      <c r="H10" s="91" t="inlineStr">
        <is>
          <t>50%</t>
        </is>
      </c>
      <c r="I10" s="93" t="n"/>
      <c r="J10" s="93" t="n"/>
      <c r="K10" s="99" t="n"/>
      <c r="M10" s="100" t="inlineStr">
        <is>
          <t>Gross Margin</t>
        </is>
      </c>
      <c r="N10" s="91" t="inlineStr">
        <is>
          <t>38%</t>
        </is>
      </c>
      <c r="O10" s="93" t="n"/>
      <c r="P10" s="93" t="n"/>
      <c r="Q10" s="99" t="n"/>
    </row>
    <row r="11">
      <c r="A11" s="100" t="inlineStr">
        <is>
          <t>Insider Ownership</t>
        </is>
      </c>
      <c r="B11" s="91" t="inlineStr">
        <is>
          <t>8%</t>
        </is>
      </c>
      <c r="C11" s="93" t="n"/>
      <c r="D11" s="93" t="n"/>
      <c r="E11" s="99" t="n"/>
      <c r="G11" s="100" t="inlineStr">
        <is>
          <t>Insider Ownership</t>
        </is>
      </c>
      <c r="H11" s="91" t="inlineStr">
        <is>
          <t>12%</t>
        </is>
      </c>
      <c r="I11" s="93" t="n"/>
      <c r="J11" s="93" t="n"/>
      <c r="K11" s="99" t="n"/>
      <c r="M11" s="100" t="inlineStr">
        <is>
          <t>Insider Ownership</t>
        </is>
      </c>
      <c r="N11" s="91" t="inlineStr">
        <is>
          <t>20%</t>
        </is>
      </c>
      <c r="O11" s="93" t="n"/>
      <c r="P11" s="93" t="n"/>
      <c r="Q11" s="99" t="n"/>
    </row>
    <row r="12">
      <c r="A12" s="100" t="inlineStr">
        <is>
          <t>Dilution 3yr</t>
        </is>
      </c>
      <c r="B12" s="91" t="inlineStr">
        <is>
          <t>4%</t>
        </is>
      </c>
      <c r="C12" s="93" t="n"/>
      <c r="D12" s="93" t="n"/>
      <c r="E12" s="99" t="n"/>
      <c r="G12" s="100" t="inlineStr">
        <is>
          <t>Dilution 3yr</t>
        </is>
      </c>
      <c r="H12" s="91" t="inlineStr">
        <is>
          <t>6%</t>
        </is>
      </c>
      <c r="I12" s="93" t="n"/>
      <c r="J12" s="93" t="n"/>
      <c r="K12" s="99" t="n"/>
      <c r="M12" s="100" t="inlineStr">
        <is>
          <t>Dilution 3yr</t>
        </is>
      </c>
      <c r="N12" s="91" t="inlineStr">
        <is>
          <t>3%</t>
        </is>
      </c>
      <c r="O12" s="93" t="n"/>
      <c r="P12" s="93" t="n"/>
      <c r="Q12" s="99" t="n"/>
    </row>
    <row r="13">
      <c r="A13" s="101" t="inlineStr">
        <is>
          <t>Data center optical interconnects</t>
        </is>
      </c>
      <c r="B13" s="93" t="n"/>
      <c r="C13" s="93" t="n"/>
      <c r="D13" s="93" t="n"/>
      <c r="E13" s="99" t="n"/>
      <c r="G13" s="101" t="inlineStr">
        <is>
          <t>Optical networking + vertical integration</t>
        </is>
      </c>
      <c r="H13" s="93" t="n"/>
      <c r="I13" s="93" t="n"/>
      <c r="J13" s="93" t="n"/>
      <c r="K13" s="99" t="n"/>
      <c r="M13" s="101" t="inlineStr">
        <is>
          <t>Hyperscaler data center buildout</t>
        </is>
      </c>
      <c r="N13" s="93" t="n"/>
      <c r="O13" s="93" t="n"/>
      <c r="P13" s="93" t="n"/>
      <c r="Q13" s="99" t="n"/>
    </row>
    <row r="19">
      <c r="A19" s="96" t="inlineStr">
        <is>
          <t>KTOS  —  Kratos Defense &amp; Security</t>
        </is>
      </c>
      <c r="B19" s="78" t="n"/>
      <c r="C19" s="78" t="n"/>
      <c r="D19" s="78" t="n"/>
      <c r="E19" s="97" t="n"/>
      <c r="G19" s="96" t="inlineStr">
        <is>
          <t>RKLB  —  Rocket Lab USA</t>
        </is>
      </c>
      <c r="H19" s="78" t="n"/>
      <c r="I19" s="78" t="n"/>
      <c r="J19" s="78" t="n"/>
      <c r="K19" s="97" t="n"/>
      <c r="M19" s="96" t="inlineStr">
        <is>
          <t>MVIS  —  MicroVision</t>
        </is>
      </c>
      <c r="N19" s="78" t="n"/>
      <c r="O19" s="78" t="n"/>
      <c r="P19" s="78" t="n"/>
      <c r="Q19" s="97" t="n"/>
    </row>
    <row r="20">
      <c r="A20" s="98" t="inlineStr">
        <is>
          <t>Run Period: 2019   ▲ 500%</t>
        </is>
      </c>
      <c r="B20" s="93" t="n"/>
      <c r="C20" s="93" t="n"/>
      <c r="D20" s="93" t="n"/>
      <c r="E20" s="99" t="n"/>
      <c r="G20" s="98" t="inlineStr">
        <is>
          <t>Run Period: 2023   ▲ 400%</t>
        </is>
      </c>
      <c r="H20" s="93" t="n"/>
      <c r="I20" s="93" t="n"/>
      <c r="J20" s="93" t="n"/>
      <c r="K20" s="99" t="n"/>
      <c r="M20" s="98" t="inlineStr">
        <is>
          <t>Run Period: 2021   ▲ 700%</t>
        </is>
      </c>
      <c r="N20" s="93" t="n"/>
      <c r="O20" s="93" t="n"/>
      <c r="P20" s="93" t="n"/>
      <c r="Q20" s="99" t="n"/>
    </row>
    <row r="21">
      <c r="A21" s="100" t="inlineStr">
        <is>
          <t>Market Cap</t>
        </is>
      </c>
      <c r="B21" s="91" t="inlineStr">
        <is>
          <t>$700M</t>
        </is>
      </c>
      <c r="C21" s="93" t="n"/>
      <c r="D21" s="93" t="n"/>
      <c r="E21" s="99" t="n"/>
      <c r="G21" s="100" t="inlineStr">
        <is>
          <t>Market Cap</t>
        </is>
      </c>
      <c r="H21" s="91" t="inlineStr">
        <is>
          <t>$1200M</t>
        </is>
      </c>
      <c r="I21" s="93" t="n"/>
      <c r="J21" s="93" t="n"/>
      <c r="K21" s="99" t="n"/>
      <c r="M21" s="100" t="inlineStr">
        <is>
          <t>Market Cap</t>
        </is>
      </c>
      <c r="N21" s="91" t="inlineStr">
        <is>
          <t>$150M</t>
        </is>
      </c>
      <c r="O21" s="93" t="n"/>
      <c r="P21" s="93" t="n"/>
      <c r="Q21" s="99" t="n"/>
    </row>
    <row r="22">
      <c r="A22" s="100" t="inlineStr">
        <is>
          <t>Revenue Growth</t>
        </is>
      </c>
      <c r="B22" s="91" t="inlineStr">
        <is>
          <t>18%</t>
        </is>
      </c>
      <c r="C22" s="93" t="n"/>
      <c r="D22" s="93" t="n"/>
      <c r="E22" s="99" t="n"/>
      <c r="G22" s="100" t="inlineStr">
        <is>
          <t>Revenue Growth</t>
        </is>
      </c>
      <c r="H22" s="91" t="inlineStr">
        <is>
          <t>55%</t>
        </is>
      </c>
      <c r="I22" s="93" t="n"/>
      <c r="J22" s="93" t="n"/>
      <c r="K22" s="99" t="n"/>
      <c r="M22" s="100" t="inlineStr">
        <is>
          <t>Revenue Growth</t>
        </is>
      </c>
      <c r="N22" s="91" t="inlineStr">
        <is>
          <t>12%</t>
        </is>
      </c>
      <c r="O22" s="93" t="n"/>
      <c r="P22" s="93" t="n"/>
      <c r="Q22" s="99" t="n"/>
    </row>
    <row r="23">
      <c r="A23" s="100" t="inlineStr">
        <is>
          <t>Gross Margin</t>
        </is>
      </c>
      <c r="B23" s="91" t="inlineStr">
        <is>
          <t>25%</t>
        </is>
      </c>
      <c r="C23" s="93" t="n"/>
      <c r="D23" s="93" t="n"/>
      <c r="E23" s="99" t="n"/>
      <c r="G23" s="100" t="inlineStr">
        <is>
          <t>Gross Margin</t>
        </is>
      </c>
      <c r="H23" s="91" t="inlineStr">
        <is>
          <t>28%</t>
        </is>
      </c>
      <c r="I23" s="93" t="n"/>
      <c r="J23" s="93" t="n"/>
      <c r="K23" s="99" t="n"/>
      <c r="M23" s="100" t="inlineStr">
        <is>
          <t>Gross Margin</t>
        </is>
      </c>
      <c r="N23" s="91" t="inlineStr">
        <is>
          <t>35%</t>
        </is>
      </c>
      <c r="O23" s="93" t="n"/>
      <c r="P23" s="93" t="n"/>
      <c r="Q23" s="99" t="n"/>
    </row>
    <row r="24">
      <c r="A24" s="100" t="inlineStr">
        <is>
          <t>Insider Ownership</t>
        </is>
      </c>
      <c r="B24" s="91" t="inlineStr">
        <is>
          <t>5%</t>
        </is>
      </c>
      <c r="C24" s="93" t="n"/>
      <c r="D24" s="93" t="n"/>
      <c r="E24" s="99" t="n"/>
      <c r="G24" s="100" t="inlineStr">
        <is>
          <t>Insider Ownership</t>
        </is>
      </c>
      <c r="H24" s="91" t="inlineStr">
        <is>
          <t>30%</t>
        </is>
      </c>
      <c r="I24" s="93" t="n"/>
      <c r="J24" s="93" t="n"/>
      <c r="K24" s="99" t="n"/>
      <c r="M24" s="100" t="inlineStr">
        <is>
          <t>Insider Ownership</t>
        </is>
      </c>
      <c r="N24" s="91" t="inlineStr">
        <is>
          <t>6%</t>
        </is>
      </c>
      <c r="O24" s="93" t="n"/>
      <c r="P24" s="93" t="n"/>
      <c r="Q24" s="99" t="n"/>
    </row>
    <row r="25">
      <c r="A25" s="100" t="inlineStr">
        <is>
          <t>Dilution 3yr</t>
        </is>
      </c>
      <c r="B25" s="91" t="inlineStr">
        <is>
          <t>8%</t>
        </is>
      </c>
      <c r="C25" s="93" t="n"/>
      <c r="D25" s="93" t="n"/>
      <c r="E25" s="99" t="n"/>
      <c r="G25" s="100" t="inlineStr">
        <is>
          <t>Dilution 3yr</t>
        </is>
      </c>
      <c r="H25" s="91" t="inlineStr">
        <is>
          <t>15%</t>
        </is>
      </c>
      <c r="I25" s="93" t="n"/>
      <c r="J25" s="93" t="n"/>
      <c r="K25" s="99" t="n"/>
      <c r="M25" s="100" t="inlineStr">
        <is>
          <t>Dilution 3yr</t>
        </is>
      </c>
      <c r="N25" s="91" t="inlineStr">
        <is>
          <t>25%</t>
        </is>
      </c>
      <c r="O25" s="93" t="n"/>
      <c r="P25" s="93" t="n"/>
      <c r="Q25" s="99" t="n"/>
    </row>
    <row r="26">
      <c r="A26" s="101" t="inlineStr">
        <is>
          <t>Drone warfare + affordable attritable aircraft</t>
        </is>
      </c>
      <c r="B26" s="93" t="n"/>
      <c r="C26" s="93" t="n"/>
      <c r="D26" s="93" t="n"/>
      <c r="E26" s="99" t="n"/>
      <c r="G26" s="101" t="inlineStr">
        <is>
          <t>Small sat launch + space systems vertical integration</t>
        </is>
      </c>
      <c r="H26" s="93" t="n"/>
      <c r="I26" s="93" t="n"/>
      <c r="J26" s="93" t="n"/>
      <c r="K26" s="99" t="n"/>
      <c r="M26" s="101" t="inlineStr">
        <is>
          <t>Autonomous vehicle sensor infrastructure</t>
        </is>
      </c>
      <c r="N26" s="93" t="n"/>
      <c r="O26" s="93" t="n"/>
      <c r="P26" s="93" t="n"/>
      <c r="Q26" s="99" t="n"/>
    </row>
    <row r="34" ht="22" customHeight="1">
      <c r="A34" s="16" t="inlineStr">
        <is>
          <t>COMPARATIVE RADAR — All Reference Stocks</t>
        </is>
      </c>
      <c r="B34" s="17" t="n"/>
      <c r="C34" s="17" t="n"/>
      <c r="D34" s="17" t="n"/>
      <c r="E34" s="17" t="n"/>
      <c r="F34" s="17" t="n"/>
      <c r="G34" s="17" t="n"/>
      <c r="H34" s="17" t="n"/>
      <c r="I34" s="17" t="n"/>
      <c r="J34" s="17" t="n"/>
      <c r="K34" s="17" t="n"/>
      <c r="L34" s="17" t="n"/>
      <c r="M34" s="17" t="n"/>
      <c r="N34" s="17" t="n"/>
      <c r="O34" s="17" t="n"/>
      <c r="P34" s="17" t="n"/>
      <c r="Q34" s="17" t="n"/>
    </row>
    <row r="35">
      <c r="A35" t="inlineStr">
        <is>
          <t>Metric</t>
        </is>
      </c>
      <c r="B35" t="inlineStr">
        <is>
          <t>LITE</t>
        </is>
      </c>
      <c r="C35" t="inlineStr">
        <is>
          <t>COHR</t>
        </is>
      </c>
      <c r="D35" t="inlineStr">
        <is>
          <t>AAOI</t>
        </is>
      </c>
      <c r="E35" t="inlineStr">
        <is>
          <t>KTOS</t>
        </is>
      </c>
      <c r="F35" t="inlineStr">
        <is>
          <t>RKLB</t>
        </is>
      </c>
      <c r="G35" t="inlineStr">
        <is>
          <t>MVIS</t>
        </is>
      </c>
    </row>
    <row r="36">
      <c r="A36" t="inlineStr">
        <is>
          <t>Revenue Growth</t>
        </is>
      </c>
      <c r="B36" t="n">
        <v>40</v>
      </c>
      <c r="C36" t="n">
        <v>23.15789473684211</v>
      </c>
      <c r="D36" t="n">
        <v>100</v>
      </c>
      <c r="E36" t="n">
        <v>18.94736842105263</v>
      </c>
      <c r="F36" t="n">
        <v>57.89473684210526</v>
      </c>
      <c r="G36" t="n">
        <v>12.63157894736842</v>
      </c>
    </row>
    <row r="37">
      <c r="A37" t="inlineStr">
        <is>
          <t>Gross Margin</t>
        </is>
      </c>
      <c r="B37" t="n">
        <v>88</v>
      </c>
      <c r="C37" t="n">
        <v>100</v>
      </c>
      <c r="D37" t="n">
        <v>76</v>
      </c>
      <c r="E37" t="n">
        <v>50</v>
      </c>
      <c r="F37" t="n">
        <v>56</v>
      </c>
      <c r="G37" t="n">
        <v>70</v>
      </c>
    </row>
    <row r="38">
      <c r="A38" t="inlineStr">
        <is>
          <t>Insider %</t>
        </is>
      </c>
      <c r="B38" t="n">
        <v>26.66666666666667</v>
      </c>
      <c r="C38" t="n">
        <v>40</v>
      </c>
      <c r="D38" t="n">
        <v>66.66666666666667</v>
      </c>
      <c r="E38" t="n">
        <v>16.66666666666667</v>
      </c>
      <c r="F38" t="n">
        <v>100</v>
      </c>
      <c r="G38" t="n">
        <v>20</v>
      </c>
    </row>
    <row r="39">
      <c r="A39" t="inlineStr">
        <is>
          <t>Low Dilution</t>
        </is>
      </c>
      <c r="B39" t="n">
        <v>84</v>
      </c>
      <c r="C39" t="n">
        <v>76</v>
      </c>
      <c r="D39" t="n">
        <v>88</v>
      </c>
      <c r="E39" t="n">
        <v>68</v>
      </c>
      <c r="F39" t="n">
        <v>40</v>
      </c>
      <c r="G39" t="n">
        <v>0</v>
      </c>
    </row>
    <row r="40">
      <c r="A40" t="inlineStr">
        <is>
          <t>Mkt Cap Score</t>
        </is>
      </c>
      <c r="B40" t="n">
        <v>0</v>
      </c>
      <c r="C40" t="n">
        <v>25</v>
      </c>
      <c r="D40" t="n">
        <v>75</v>
      </c>
      <c r="E40" t="n">
        <v>41.66666666666666</v>
      </c>
      <c r="F40" t="n">
        <v>0</v>
      </c>
      <c r="G40" t="n">
        <v>87.5</v>
      </c>
    </row>
    <row r="60" ht="22" customHeight="1">
      <c r="A60" s="16" t="inlineStr">
        <is>
          <t>DERIVED IDEAL RANGES</t>
        </is>
      </c>
      <c r="B60" s="17" t="n"/>
      <c r="C60" s="17" t="n"/>
      <c r="D60" s="17" t="n"/>
      <c r="E60" s="17" t="n"/>
      <c r="F60" s="17" t="n"/>
      <c r="G60" s="17" t="n"/>
      <c r="H60" s="17" t="n"/>
      <c r="I60" s="17" t="n"/>
      <c r="J60" s="17" t="n"/>
    </row>
    <row r="61" ht="18" customHeight="1">
      <c r="A61" s="18" t="inlineStr">
        <is>
          <t>Metric</t>
        </is>
      </c>
      <c r="B61" s="18" t="inlineStr">
        <is>
          <t>Min</t>
        </is>
      </c>
      <c r="C61" s="18" t="inlineStr">
        <is>
          <t>Median</t>
        </is>
      </c>
      <c r="D61" s="18" t="inlineStr">
        <is>
          <t>Max</t>
        </is>
      </c>
      <c r="E61" s="18" t="inlineStr">
        <is>
          <t>Screener Threshold</t>
        </is>
      </c>
      <c r="F61" s="18" t="inlineStr">
        <is>
          <t>Status</t>
        </is>
      </c>
    </row>
    <row r="62" ht="16" customHeight="1">
      <c r="A62" s="91" t="inlineStr">
        <is>
          <t>Revenue Growth %</t>
        </is>
      </c>
      <c r="B62" s="36" t="n">
        <v>12</v>
      </c>
      <c r="C62" s="36" t="n">
        <v>30</v>
      </c>
      <c r="D62" s="36" t="n">
        <v>95</v>
      </c>
      <c r="E62" s="20" t="inlineStr">
        <is>
          <t>5% (floor)</t>
        </is>
      </c>
      <c r="F62" s="102" t="inlineStr">
        <is>
          <t>✓ Aligned</t>
        </is>
      </c>
    </row>
    <row r="63" ht="16" customHeight="1">
      <c r="A63" s="64" t="inlineStr">
        <is>
          <t>Gross Margin %</t>
        </is>
      </c>
      <c r="B63" s="41" t="n">
        <v>25</v>
      </c>
      <c r="C63" s="41" t="n">
        <v>36.5</v>
      </c>
      <c r="D63" s="41" t="n">
        <v>50</v>
      </c>
      <c r="E63" s="26" t="inlineStr">
        <is>
          <t>20% (floor)</t>
        </is>
      </c>
      <c r="F63" s="102" t="inlineStr">
        <is>
          <t>✓ Aligned</t>
        </is>
      </c>
    </row>
    <row r="64" ht="16" customHeight="1">
      <c r="A64" s="91" t="inlineStr">
        <is>
          <t>Insider Ownership %</t>
        </is>
      </c>
      <c r="B64" s="36" t="n">
        <v>5</v>
      </c>
      <c r="C64" s="36" t="n">
        <v>10</v>
      </c>
      <c r="D64" s="36" t="n">
        <v>30</v>
      </c>
      <c r="E64" s="20" t="inlineStr">
        <is>
          <t>N/A</t>
        </is>
      </c>
      <c r="F64" s="103" t="inlineStr">
        <is>
          <t>⚠ Loose</t>
        </is>
      </c>
    </row>
    <row r="65" ht="16" customHeight="1">
      <c r="A65" s="64" t="inlineStr">
        <is>
          <t>Dilution 3yr %</t>
        </is>
      </c>
      <c r="B65" s="41" t="n">
        <v>3</v>
      </c>
      <c r="C65" s="41" t="n">
        <v>7</v>
      </c>
      <c r="D65" s="41" t="n">
        <v>25</v>
      </c>
      <c r="E65" s="26" t="inlineStr">
        <is>
          <t>30% (ceiling)</t>
        </is>
      </c>
      <c r="F65" s="102" t="inlineStr">
        <is>
          <t>✓ Aligned</t>
        </is>
      </c>
    </row>
  </sheetData>
  <mergeCells count="53">
    <mergeCell ref="H22:K22"/>
    <mergeCell ref="B9:E9"/>
    <mergeCell ref="A34:Q34"/>
    <mergeCell ref="N9:Q9"/>
    <mergeCell ref="H12:K12"/>
    <mergeCell ref="B24:E24"/>
    <mergeCell ref="H24:K24"/>
    <mergeCell ref="N24:Q24"/>
    <mergeCell ref="A6:E6"/>
    <mergeCell ref="H23:K23"/>
    <mergeCell ref="G7:K7"/>
    <mergeCell ref="M20:Q20"/>
    <mergeCell ref="H8:K8"/>
    <mergeCell ref="A7:E7"/>
    <mergeCell ref="N11:Q11"/>
    <mergeCell ref="B25:E25"/>
    <mergeCell ref="G13:K13"/>
    <mergeCell ref="G19:K19"/>
    <mergeCell ref="G6:K6"/>
    <mergeCell ref="M13:Q13"/>
    <mergeCell ref="H10:K10"/>
    <mergeCell ref="B22:E22"/>
    <mergeCell ref="M7:Q7"/>
    <mergeCell ref="N25:Q25"/>
    <mergeCell ref="A60:J60"/>
    <mergeCell ref="A26:E26"/>
    <mergeCell ref="H9:K9"/>
    <mergeCell ref="A3:Q3"/>
    <mergeCell ref="N22:Q22"/>
    <mergeCell ref="B12:E12"/>
    <mergeCell ref="M6:Q6"/>
    <mergeCell ref="H25:K25"/>
    <mergeCell ref="B21:E21"/>
    <mergeCell ref="N21:Q21"/>
    <mergeCell ref="B11:E11"/>
    <mergeCell ref="N12:Q12"/>
    <mergeCell ref="H21:K21"/>
    <mergeCell ref="A5:Q5"/>
    <mergeCell ref="A1:Q2"/>
    <mergeCell ref="G26:K26"/>
    <mergeCell ref="M26:Q26"/>
    <mergeCell ref="B23:E23"/>
    <mergeCell ref="N23:Q23"/>
    <mergeCell ref="B8:E8"/>
    <mergeCell ref="A20:E20"/>
    <mergeCell ref="N8:Q8"/>
    <mergeCell ref="G20:K20"/>
    <mergeCell ref="H11:K11"/>
    <mergeCell ref="A19:E19"/>
    <mergeCell ref="A13:E13"/>
    <mergeCell ref="M19:Q19"/>
    <mergeCell ref="B10:E10"/>
    <mergeCell ref="N10:Q10"/>
  </mergeCells>
  <pageMargins left="0.75" right="0.75" top="1" bottom="1" header="0.5" footer="0.5"/>
  <pageSetup orientation="landscape" fitToWidth="1"/>
  <drawing xmlns:r="http://schemas.openxmlformats.org/officeDocument/2006/relationships" r:id="rId1"/>
</worksheet>
</file>

<file path=xl/worksheets/sheet13.xml><?xml version="1.0" encoding="utf-8"?>
<worksheet xmlns="http://schemas.openxmlformats.org/spreadsheetml/2006/main">
  <sheetPr>
    <tabColor rgb="001B2A3B"/>
    <outlinePr summaryBelow="1" summaryRight="1"/>
    <pageSetUpPr fitToPage="1"/>
  </sheetPr>
  <dimension ref="A1:C62"/>
  <sheetViews>
    <sheetView showGridLines="0" workbookViewId="0">
      <pane ySplit="3" topLeftCell="A4" activePane="bottomLeft" state="frozen"/>
      <selection pane="bottomLeft" activeCell="A1" sqref="A1"/>
    </sheetView>
  </sheetViews>
  <sheetFormatPr baseColWidth="8" defaultRowHeight="15"/>
  <cols>
    <col width="3" customWidth="1" min="1" max="1"/>
    <col width="28" customWidth="1" min="2" max="2"/>
    <col width="55" customWidth="1" min="3" max="3"/>
  </cols>
  <sheetData>
    <row r="1" ht="28" customHeight="1">
      <c r="A1" s="31" t="inlineStr">
        <is>
          <t>SCREENING METHODOLOGY</t>
        </is>
      </c>
      <c r="B1" s="11" t="n"/>
      <c r="C1" s="11" t="n"/>
    </row>
    <row r="2" ht="22" customHeight="1">
      <c r="A2" s="32" t="inlineStr">
        <is>
          <t>Technical documentation for the structural growth equity screener</t>
        </is>
      </c>
      <c r="B2" s="12" t="n"/>
      <c r="C2" s="12" t="n"/>
    </row>
    <row r="3" ht="8" customHeight="1"/>
    <row r="4" ht="22" customHeight="1">
      <c r="B4" s="16" t="inlineStr">
        <is>
          <t>Screening Universe</t>
        </is>
      </c>
      <c r="C4" s="17" t="n"/>
    </row>
    <row r="5" ht="16" customHeight="1">
      <c r="B5" s="104" t="inlineStr"/>
      <c r="C5" s="49" t="inlineStr">
        <is>
          <t>US-listed equities across three market cap tiers:</t>
        </is>
      </c>
    </row>
    <row r="6" ht="16" customHeight="1">
      <c r="B6" s="104" t="inlineStr"/>
      <c r="C6" s="49" t="inlineStr">
        <is>
          <t xml:space="preserve">  Nano Cap: $50M–$300M (highest risk, highest upside)</t>
        </is>
      </c>
    </row>
    <row r="7" ht="16" customHeight="1">
      <c r="B7" s="104" t="inlineStr"/>
      <c r="C7" s="49" t="inlineStr">
        <is>
          <t xml:space="preserve">  Small Cap: $300M–$2B (the sweet spot — proven enough to have real revenue)</t>
        </is>
      </c>
    </row>
    <row r="8" ht="16" customHeight="1">
      <c r="B8" s="104" t="inlineStr"/>
      <c r="C8" s="49" t="inlineStr">
        <is>
          <t xml:space="preserve">  Breakout: $2B–$15B (validated, growth re-accelerating)</t>
        </is>
      </c>
    </row>
    <row r="9" ht="8" customHeight="1"/>
    <row r="10" ht="16" customHeight="1">
      <c r="B10" s="104" t="inlineStr"/>
      <c r="C10" s="49" t="inlineStr">
        <is>
          <t>Focus themes: Aerospace/Defense, Semiconductors, AI Infrastructure,</t>
        </is>
      </c>
    </row>
    <row r="11" ht="16" customHeight="1">
      <c r="B11" s="104" t="inlineStr"/>
      <c r="C11" s="49" t="inlineStr">
        <is>
          <t>Photonics, Quantum Computing, Space, New Energy, Gene Editing</t>
        </is>
      </c>
    </row>
    <row r="12" ht="8" customHeight="1"/>
    <row r="13" ht="22" customHeight="1">
      <c r="B13" s="16" t="inlineStr">
        <is>
          <t>Hard Filters</t>
        </is>
      </c>
      <c r="C13" s="17" t="n"/>
    </row>
    <row r="14" ht="16" customHeight="1">
      <c r="B14" s="104" t="inlineStr"/>
      <c r="C14" s="49" t="inlineStr">
        <is>
          <t>Must be US-domiciled and actively trading on a major exchange</t>
        </is>
      </c>
    </row>
    <row r="15" ht="16" customHeight="1">
      <c r="B15" s="104" t="inlineStr"/>
      <c r="C15" s="49" t="inlineStr">
        <is>
          <t>Excludes: Biotech/Pharma (unless gene editing keywords in description)</t>
        </is>
      </c>
    </row>
    <row r="16" ht="16" customHeight="1">
      <c r="B16" s="104" t="inlineStr"/>
      <c r="C16" s="49" t="inlineStr">
        <is>
          <t>Excludes: Oil &amp; Gas, Warrants, Units, Preferred shares</t>
        </is>
      </c>
    </row>
    <row r="17" ht="16" customHeight="1">
      <c r="B17" s="104" t="inlineStr"/>
      <c r="C17" s="49" t="inlineStr">
        <is>
          <t>Must match industry whitelist OR description keywords in target themes</t>
        </is>
      </c>
    </row>
    <row r="18" ht="16" customHeight="1">
      <c r="B18" s="104" t="inlineStr"/>
      <c r="C18" s="49" t="inlineStr">
        <is>
          <t>No OTC/pink sheet securities</t>
        </is>
      </c>
    </row>
    <row r="19" ht="8" customHeight="1"/>
    <row r="20" ht="22" customHeight="1">
      <c r="B20" s="16" t="inlineStr">
        <is>
          <t>Quality Floor</t>
        </is>
      </c>
      <c r="C20" s="17" t="n"/>
    </row>
    <row r="21" ht="16" customHeight="1">
      <c r="B21" s="104" t="inlineStr"/>
      <c r="C21" s="49" t="inlineStr">
        <is>
          <t>Revenue growth must exceed 5% YoY</t>
        </is>
      </c>
    </row>
    <row r="22" ht="16" customHeight="1">
      <c r="B22" s="104" t="inlineStr"/>
      <c r="C22" s="49" t="inlineStr">
        <is>
          <t>Gross margin must exceed 20%</t>
        </is>
      </c>
    </row>
    <row r="23" ht="16" customHeight="1">
      <c r="B23" s="104" t="inlineStr"/>
      <c r="C23" s="49" t="inlineStr">
        <is>
          <t>3-year share dilution must be below 30%</t>
        </is>
      </c>
    </row>
    <row r="24" ht="16" customHeight="1">
      <c r="B24" s="104" t="inlineStr"/>
      <c r="C24" s="49" t="inlineStr">
        <is>
          <t>Stocks failing any of these thresholds are excluded entirely</t>
        </is>
      </c>
    </row>
    <row r="25" ht="8" customHeight="1"/>
    <row r="26" ht="22" customHeight="1">
      <c r="B26" s="16" t="inlineStr">
        <is>
          <t>Composite Score (60%)</t>
        </is>
      </c>
      <c r="C26" s="17" t="n"/>
    </row>
    <row r="27" ht="16" customHeight="1">
      <c r="B27" s="104" t="inlineStr"/>
      <c r="C27" s="49" t="inlineStr">
        <is>
          <t>Revenue Growth YoY: 30% weight — Higher is better, &gt;50% = max score</t>
        </is>
      </c>
    </row>
    <row r="28" ht="16" customHeight="1">
      <c r="B28" s="104" t="inlineStr"/>
      <c r="C28" s="49" t="inlineStr">
        <is>
          <t>Gross Margin: 20% weight — &gt;40% = max, proxy for pricing power and moat</t>
        </is>
      </c>
    </row>
    <row r="29" ht="16" customHeight="1">
      <c r="B29" s="104" t="inlineStr"/>
      <c r="C29" s="49" t="inlineStr">
        <is>
          <t>Dilution 3yr: 20% weight — Lower is better, &lt;5% = full points, &gt;30% = zero</t>
        </is>
      </c>
    </row>
    <row r="30" ht="16" customHeight="1">
      <c r="B30" s="104" t="inlineStr"/>
      <c r="C30" s="49" t="inlineStr">
        <is>
          <t>Insider Ownership: 15% weight — &gt;10% = full points, founders with skin in the game</t>
        </is>
      </c>
    </row>
    <row r="31" ht="16" customHeight="1">
      <c r="B31" s="104" t="inlineStr"/>
      <c r="C31" s="49" t="inlineStr">
        <is>
          <t>Revenue Acceleration: 15% weight — Is the growth rate itself increasing?</t>
        </is>
      </c>
    </row>
    <row r="32" ht="8" customHeight="1"/>
    <row r="33" ht="22" customHeight="1">
      <c r="B33" s="16" t="inlineStr">
        <is>
          <t>Fingerprint Score (40%)</t>
        </is>
      </c>
      <c r="C33" s="17" t="n"/>
    </row>
    <row r="34" ht="16" customHeight="1">
      <c r="B34" s="104" t="inlineStr"/>
      <c r="C34" s="49" t="inlineStr">
        <is>
          <t>Measures similarity to 6 reference stocks at their pre-run inflection point</t>
        </is>
      </c>
    </row>
    <row r="35" ht="16" customHeight="1">
      <c r="B35" s="104" t="inlineStr"/>
      <c r="C35" s="49" t="inlineStr">
        <is>
          <t>Reference stocks: LITE, COHR, AAOI, KTOS, RKLB, MVIS</t>
        </is>
      </c>
    </row>
    <row r="36" ht="16" customHeight="1">
      <c r="B36" s="104" t="inlineStr"/>
      <c r="C36" s="49" t="inlineStr">
        <is>
          <t>Compares: revenue growth, gross margin, insider %, dilution, market cap</t>
        </is>
      </c>
    </row>
    <row r="37" ht="16" customHeight="1">
      <c r="B37" s="104" t="inlineStr"/>
      <c r="C37" s="49" t="inlineStr">
        <is>
          <t>Inside the ideal range = 100; score decays with distance from range</t>
        </is>
      </c>
    </row>
    <row r="38" ht="16" customHeight="1">
      <c r="B38" s="104" t="inlineStr"/>
      <c r="C38" s="49" t="inlineStr">
        <is>
          <t>Combined Score = 60% × Composite + 40% × Fingerprint</t>
        </is>
      </c>
    </row>
    <row r="39" ht="8" customHeight="1"/>
    <row r="40" ht="22" customHeight="1">
      <c r="B40" s="16" t="inlineStr">
        <is>
          <t>Position Sizing Rules</t>
        </is>
      </c>
      <c r="C40" s="17" t="n"/>
    </row>
    <row r="41" ht="16" customHeight="1">
      <c r="B41" s="104" t="inlineStr"/>
      <c r="C41" s="49" t="inlineStr">
        <is>
          <t>Based on conviction level: High (8%), Medium-High (5%), Medium (3%), Speculative (1.5%)</t>
        </is>
      </c>
    </row>
    <row r="42" ht="16" customHeight="1">
      <c r="B42" s="104" t="inlineStr"/>
      <c r="C42" s="49" t="inlineStr">
        <is>
          <t>Nano caps receive 0.6x risk multiplier (smaller positions for higher risk)</t>
        </is>
      </c>
    </row>
    <row r="43" ht="16" customHeight="1">
      <c r="B43" s="104" t="inlineStr"/>
      <c r="C43" s="49" t="inlineStr">
        <is>
          <t>Breakout caps receive 1.2x multiplier (larger positions for validated growth)</t>
        </is>
      </c>
    </row>
    <row r="44" ht="16" customHeight="1">
      <c r="B44" s="104" t="inlineStr"/>
      <c r="C44" s="49" t="inlineStr">
        <is>
          <t>Designed to sum to &lt;100% with meaningful cash reserve</t>
        </is>
      </c>
    </row>
    <row r="45" ht="8" customHeight="1"/>
    <row r="46" ht="22" customHeight="1">
      <c r="B46" s="16" t="inlineStr">
        <is>
          <t>Data Source &amp; Refresh</t>
        </is>
      </c>
      <c r="C46" s="17" t="n"/>
    </row>
    <row r="47" ht="16" customHeight="1">
      <c r="B47" s="104" t="inlineStr"/>
      <c r="C47" s="49" t="inlineStr">
        <is>
          <t>All data sourced from Financial Modeling Prep (FMP) API</t>
        </is>
      </c>
    </row>
    <row r="48" ht="16" customHeight="1">
      <c r="B48" s="104" t="inlineStr"/>
      <c r="C48" s="49" t="inlineStr">
        <is>
          <t>24-hour cache on all API responses to protect rate limits</t>
        </is>
      </c>
    </row>
    <row r="49" ht="16" customHeight="1">
      <c r="B49" s="104" t="inlineStr"/>
      <c r="C49" s="49" t="inlineStr">
        <is>
          <t>Quarterly financials: last 8 quarters of income statements</t>
        </is>
      </c>
    </row>
    <row r="50" ht="16" customHeight="1">
      <c r="B50" s="104" t="inlineStr"/>
      <c r="C50" s="49" t="inlineStr">
        <is>
          <t>Share count history: last 12 quarters of enterprise values</t>
        </is>
      </c>
    </row>
    <row r="51" ht="16" customHeight="1">
      <c r="B51" s="104" t="inlineStr"/>
      <c r="C51" s="49" t="inlineStr">
        <is>
          <t>Report generated: April 29, 2026</t>
        </is>
      </c>
    </row>
    <row r="52" ht="8" customHeight="1"/>
    <row r="53" ht="22" customHeight="1">
      <c r="B53" s="16" t="inlineStr">
        <is>
          <t>Disclaimer</t>
        </is>
      </c>
      <c r="C53" s="17" t="n"/>
    </row>
    <row r="54" ht="16" customHeight="1">
      <c r="B54" s="104" t="inlineStr"/>
      <c r="C54" s="49" t="inlineStr">
        <is>
          <t>This screener is for research and educational purposes only.</t>
        </is>
      </c>
    </row>
    <row r="55" ht="16" customHeight="1">
      <c r="B55" s="104" t="inlineStr"/>
      <c r="C55" s="49" t="inlineStr">
        <is>
          <t>It does not constitute investment advice or a recommendation to buy or sell.</t>
        </is>
      </c>
    </row>
    <row r="56" ht="16" customHeight="1">
      <c r="B56" s="104" t="inlineStr"/>
      <c r="C56" s="49" t="inlineStr">
        <is>
          <t>Past performance of reference stocks does not guarantee future results.</t>
        </is>
      </c>
    </row>
    <row r="57" ht="16" customHeight="1">
      <c r="B57" s="104" t="inlineStr"/>
      <c r="C57" s="49" t="inlineStr">
        <is>
          <t>All investments carry risk of loss. Consult a licensed financial advisor.</t>
        </is>
      </c>
    </row>
    <row r="58" ht="8" customHeight="1"/>
    <row r="60">
      <c r="B60" s="16" t="inlineStr">
        <is>
          <t>VERSION HISTORY</t>
        </is>
      </c>
      <c r="C60" s="17" t="n"/>
    </row>
    <row r="61">
      <c r="B61" s="91" t="inlineStr">
        <is>
          <t>v2.0</t>
        </is>
      </c>
      <c r="C61" s="46" t="inlineStr">
        <is>
          <t>April 29, 2026 — Institutional rebuild: openpyxl, design system, charts, data validation</t>
        </is>
      </c>
    </row>
    <row r="62">
      <c r="B62" s="64" t="inlineStr">
        <is>
          <t>v1.0</t>
        </is>
      </c>
      <c r="C62" s="49" t="inlineStr">
        <is>
          <t>Initial release — xlsxwriter-based export with basic formatting</t>
        </is>
      </c>
    </row>
  </sheetData>
  <mergeCells count="2">
    <mergeCell ref="A1:C1"/>
    <mergeCell ref="A2:C2"/>
  </mergeCell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2026-04-29T19:13:49Z</dcterms:created>
  <dcterms:modified xsi:type="dcterms:W3CDTF">2026-04-29T19:13:49Z</dcterms:modified>
</cp:coreProperties>
</file>