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6.xml" ContentType="application/vnd.openxmlformats-officedocument.drawing+xml"/>
  <Override PartName="/xl/worksheets/sheet10.xml" ContentType="application/vnd.openxmlformats-officedocument.spreadsheetml.worksheet+xml"/>
  <Override PartName="/xl/drawings/drawing7.xml" ContentType="application/vnd.openxmlformats-officedocument.drawing+xml"/>
  <Override PartName="/xl/worksheets/sheet11.xml" ContentType="application/vnd.openxmlformats-officedocument.spreadsheetml.worksheet+xml"/>
  <Override PartName="/xl/drawings/drawing8.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Nano Cap" sheetId="2" state="visible" r:id="rId2"/>
    <sheet name="Small Cap" sheetId="3" state="visible" r:id="rId3"/>
    <sheet name="Breakout" sheetId="4" state="visible" r:id="rId4"/>
    <sheet name="Vital Link" sheetId="5" state="visible" r:id="rId5"/>
    <sheet name="Descriptions" sheetId="6" state="visible" r:id="rId6"/>
    <sheet name="Competitive Moats" sheetId="7" state="visible" r:id="rId7"/>
    <sheet name="Standouts" sheetId="8" state="visible" r:id="rId8"/>
    <sheet name="Recommendations" sheetId="9" state="visible" r:id="rId9"/>
    <sheet name="Portfolio Construction" sheetId="10" state="visible" r:id="rId10"/>
    <sheet name="Sensitivity Analysis" sheetId="11" state="visible" r:id="rId11"/>
    <sheet name="Revenue Trends" sheetId="12" state="visible" r:id="rId12"/>
    <sheet name="Fingerprint Reference" sheetId="13" state="visible" r:id="rId13"/>
    <sheet name="Methodology" sheetId="14" state="visible" r:id="rId14"/>
  </sheets>
  <definedNames>
    <definedName name="_xlnm._FilterDatabase" localSheetId="5" hidden="1">'Descriptions'!$A$4:$F$44</definedName>
    <definedName name="_xlnm._FilterDatabase" localSheetId="6" hidden="1">'Competitive Moats'!$A$4:$G$44</definedName>
  </definedNames>
  <calcPr calcId="124519" fullCalcOnLoad="1"/>
</workbook>
</file>

<file path=xl/styles.xml><?xml version="1.0" encoding="utf-8"?>
<styleSheet xmlns="http://schemas.openxmlformats.org/spreadsheetml/2006/main">
  <numFmts count="6">
    <numFmt numFmtId="164" formatCode="$#,##0"/>
    <numFmt numFmtId="165" formatCode="0.0"/>
    <numFmt numFmtId="166" formatCode="$#,##0.00"/>
    <numFmt numFmtId="167" formatCode="0.0%"/>
    <numFmt numFmtId="168" formatCode="0.0x"/>
    <numFmt numFmtId="169" formatCode="$#,##0.0"/>
  </numFmts>
  <fonts count="20">
    <font>
      <name val="Calibri"/>
      <family val="2"/>
      <color theme="1"/>
      <sz val="11"/>
      <scheme val="minor"/>
    </font>
    <font>
      <name val="Arial"/>
      <b val="1"/>
      <color rgb="00C9A84C"/>
      <sz val="18"/>
    </font>
    <font>
      <name val="Arial"/>
      <color rgb="00FFFFFF"/>
      <sz val="11"/>
    </font>
    <font>
      <name val="Arial"/>
      <color rgb="006B7280"/>
      <sz val="9"/>
    </font>
    <font>
      <name val="Arial"/>
      <color rgb="00FFFFFF"/>
      <sz val="9"/>
    </font>
    <font>
      <name val="Arial"/>
      <b val="1"/>
      <color rgb="00C9A84C"/>
      <sz val="16"/>
    </font>
    <font>
      <name val="Arial"/>
      <b val="1"/>
      <color rgb="00C9A84C"/>
      <sz val="11"/>
    </font>
    <font>
      <name val="Arial"/>
      <b val="1"/>
      <color rgb="00FFFFFF"/>
      <sz val="10"/>
    </font>
    <font>
      <name val="Arial"/>
      <b val="1"/>
      <color rgb="004FC3F7"/>
      <sz val="10"/>
    </font>
    <font>
      <name val="Arial"/>
      <color rgb="000D1B2A"/>
      <sz val="10"/>
    </font>
    <font>
      <name val="Arial"/>
      <b val="1"/>
      <color rgb="000D1B2A"/>
      <sz val="10"/>
    </font>
    <font>
      <name val="Arial"/>
      <b val="1"/>
      <color rgb="00FFFFFF"/>
      <sz val="13"/>
    </font>
    <font>
      <name val="Arial"/>
      <color rgb="000000FF"/>
      <sz val="10"/>
    </font>
    <font>
      <name val="Arial"/>
      <color rgb="00000000"/>
      <sz val="10"/>
    </font>
    <font>
      <name val="Arial"/>
      <b val="1"/>
      <color rgb="00C9A84C"/>
      <sz val="10"/>
    </font>
    <font>
      <name val="Arial"/>
      <b val="1"/>
      <color rgb="002A9D8F"/>
      <sz val="10"/>
    </font>
    <font>
      <name val="Arial"/>
      <i val="1"/>
      <color rgb="006B7280"/>
      <sz val="9"/>
    </font>
    <font>
      <name val="Arial"/>
      <b val="1"/>
      <color rgb="00FFFFFF"/>
      <sz val="11"/>
    </font>
    <font>
      <name val="Arial"/>
      <color rgb="001A6B3C"/>
      <sz val="10"/>
    </font>
    <font>
      <name val="Arial"/>
      <color rgb="00F9C74F"/>
      <sz val="10"/>
    </font>
  </fonts>
  <fills count="20">
    <fill>
      <patternFill/>
    </fill>
    <fill>
      <patternFill patternType="gray125"/>
    </fill>
    <fill>
      <patternFill patternType="solid">
        <fgColor rgb="000D1B2A"/>
      </patternFill>
    </fill>
    <fill>
      <patternFill patternType="solid">
        <fgColor rgb="001B2A3B"/>
      </patternFill>
    </fill>
    <fill>
      <patternFill patternType="solid">
        <fgColor rgb="002E3B4E"/>
      </patternFill>
    </fill>
    <fill>
      <patternFill patternType="solid">
        <fgColor rgb="00F7F9FC"/>
      </patternFill>
    </fill>
    <fill>
      <patternFill patternType="solid">
        <fgColor rgb="001A6B3C"/>
      </patternFill>
    </fill>
    <fill>
      <patternFill patternType="solid">
        <fgColor rgb="004FC3F7"/>
      </patternFill>
    </fill>
    <fill>
      <patternFill patternType="solid">
        <fgColor rgb="00FFFFFF"/>
      </patternFill>
    </fill>
    <fill>
      <patternFill patternType="solid">
        <fgColor rgb="00F9C74F"/>
      </patternFill>
    </fill>
    <fill>
      <patternFill patternType="solid">
        <fgColor rgb="00F4E4B0"/>
      </patternFill>
    </fill>
    <fill>
      <patternFill patternType="solid">
        <fgColor rgb="00B5D8B0"/>
      </patternFill>
    </fill>
    <fill>
      <patternFill patternType="solid">
        <fgColor rgb="00E76F51"/>
      </patternFill>
    </fill>
    <fill>
      <patternFill patternType="solid">
        <fgColor rgb="00E0F0ED"/>
      </patternFill>
    </fill>
    <fill>
      <patternFill patternType="solid">
        <fgColor rgb="00EDE8F0"/>
      </patternFill>
    </fill>
    <fill>
      <patternFill patternType="solid">
        <fgColor rgb="00E8EDF2"/>
      </patternFill>
    </fill>
    <fill>
      <patternFill patternType="solid">
        <fgColor rgb="00FFF8E1"/>
      </patternFill>
    </fill>
    <fill>
      <patternFill patternType="solid">
        <fgColor rgb="00E8F5E9"/>
      </patternFill>
    </fill>
    <fill>
      <patternFill patternType="solid">
        <fgColor rgb="00FBE9E7"/>
      </patternFill>
    </fill>
    <fill>
      <patternFill patternType="solid">
        <fgColor rgb="002A9D8F"/>
      </patternFill>
    </fill>
  </fills>
  <borders count="19">
    <border>
      <left/>
      <right/>
      <top/>
      <bottom/>
      <diagonal/>
    </border>
    <border>
      <left style="medium">
        <color rgb="000D1B2A"/>
      </left>
      <right style="medium">
        <color rgb="000D1B2A"/>
      </right>
      <top style="medium">
        <color rgb="000D1B2A"/>
      </top>
      <bottom style="medium">
        <color rgb="000D1B2A"/>
      </bottom>
    </border>
    <border>
      <left/>
      <right/>
      <top style="medium">
        <color rgb="000D1B2A"/>
      </top>
      <bottom/>
      <diagonal/>
    </border>
    <border>
      <left style="medium">
        <color rgb="000D1B2A"/>
      </left>
      <right/>
      <top/>
      <bottom/>
      <diagonal/>
    </border>
    <border>
      <left/>
      <right style="medium">
        <color rgb="000D1B2A"/>
      </right>
      <top style="medium">
        <color rgb="000D1B2A"/>
      </top>
      <bottom/>
      <diagonal/>
    </border>
    <border>
      <left/>
      <right style="medium">
        <color rgb="000D1B2A"/>
      </right>
      <top/>
      <bottom/>
      <diagonal/>
    </border>
    <border>
      <left style="medium">
        <color rgb="000D1B2A"/>
      </left>
      <right/>
      <top/>
      <bottom style="medium">
        <color rgb="000D1B2A"/>
      </bottom>
      <diagonal/>
    </border>
    <border>
      <left/>
      <right/>
      <top/>
      <bottom style="medium">
        <color rgb="000D1B2A"/>
      </bottom>
      <diagonal/>
    </border>
    <border>
      <left/>
      <right style="medium">
        <color rgb="000D1B2A"/>
      </right>
      <top/>
      <bottom style="medium">
        <color rgb="000D1B2A"/>
      </bottom>
      <diagonal/>
    </border>
    <border>
      <left/>
      <right/>
      <top style="medium">
        <color rgb="000D1B2A"/>
      </top>
      <bottom style="medium">
        <color rgb="000D1B2A"/>
      </bottom>
      <diagonal/>
    </border>
    <border>
      <left/>
      <right style="medium">
        <color rgb="000D1B2A"/>
      </right>
      <top style="medium">
        <color rgb="000D1B2A"/>
      </top>
      <bottom style="medium">
        <color rgb="000D1B2A"/>
      </bottom>
      <diagonal/>
    </border>
    <border>
      <top style="medium">
        <color rgb="00C9A84C"/>
      </top>
    </border>
    <border>
      <bottom style="medium">
        <color rgb="00C9A84C"/>
      </bottom>
    </border>
    <border>
      <left style="thin">
        <color rgb="002E3B4E"/>
      </left>
      <right style="thin">
        <color rgb="002E3B4E"/>
      </right>
      <top style="thin">
        <color rgb="002E3B4E"/>
      </top>
      <bottom style="thin">
        <color rgb="002E3B4E"/>
      </bottom>
    </border>
    <border>
      <left style="medium">
        <color rgb="00C9A84C"/>
      </left>
      <bottom style="medium">
        <color rgb="00C9A84C"/>
      </bottom>
    </border>
    <border>
      <right style="medium">
        <color rgb="00C9A84C"/>
      </right>
      <bottom style="medium">
        <color rgb="00C9A84C"/>
      </bottom>
    </border>
    <border>
      <left style="medium">
        <color rgb="00C9A84C"/>
      </left>
      <right style="thin">
        <color rgb="002E3B4E"/>
      </right>
      <top style="thin">
        <color rgb="002E3B4E"/>
      </top>
      <bottom style="thin">
        <color rgb="002E3B4E"/>
      </bottom>
    </border>
    <border>
      <left style="thin">
        <color rgb="002E3B4E"/>
      </left>
      <right style="medium">
        <color rgb="00C9A84C"/>
      </right>
      <top style="thin">
        <color rgb="002E3B4E"/>
      </top>
      <bottom style="thin">
        <color rgb="002E3B4E"/>
      </bottom>
    </border>
    <border>
      <left style="medium">
        <color rgb="00C9A84C"/>
      </left>
      <right style="medium">
        <color rgb="00C9A84C"/>
      </right>
      <top style="medium">
        <color rgb="00C9A84C"/>
      </top>
      <bottom style="medium">
        <color rgb="00C9A84C"/>
      </bottom>
    </border>
  </borders>
  <cellStyleXfs count="1">
    <xf numFmtId="0" fontId="0" fillId="0" borderId="0"/>
  </cellStyleXfs>
  <cellXfs count="107">
    <xf numFmtId="0" fontId="0" fillId="0" borderId="0" pivotButton="0" quotePrefix="0" xfId="0"/>
    <xf numFmtId="0" fontId="1" fillId="2" borderId="1" applyAlignment="1" pivotButton="0" quotePrefix="0" xfId="0">
      <alignment horizontal="center" vertical="center" wrapText="1"/>
    </xf>
    <xf numFmtId="0" fontId="0" fillId="0" borderId="2" pivotButton="0" quotePrefix="0" xfId="0"/>
    <xf numFmtId="0" fontId="0" fillId="0" borderId="4" pivotButton="0" quotePrefix="0" xfId="0"/>
    <xf numFmtId="0" fontId="0" fillId="0" borderId="6" pivotButton="0" quotePrefix="0" xfId="0"/>
    <xf numFmtId="0" fontId="0" fillId="0" borderId="7" pivotButton="0" quotePrefix="0" xfId="0"/>
    <xf numFmtId="0" fontId="0" fillId="0" borderId="8" pivotButton="0" quotePrefix="0" xfId="0"/>
    <xf numFmtId="0" fontId="2" fillId="2" borderId="1" applyAlignment="1" pivotButton="0" quotePrefix="0" xfId="0">
      <alignment horizontal="center" vertical="center" wrapText="1"/>
    </xf>
    <xf numFmtId="0" fontId="0" fillId="0" borderId="9" pivotButton="0" quotePrefix="0" xfId="0"/>
    <xf numFmtId="0" fontId="0" fillId="0" borderId="10" pivotButton="0" quotePrefix="0" xfId="0"/>
    <xf numFmtId="0" fontId="3" fillId="2" borderId="1" applyAlignment="1" pivotButton="0" quotePrefix="0" xfId="0">
      <alignment horizontal="right" vertical="center"/>
    </xf>
    <xf numFmtId="0" fontId="0" fillId="2" borderId="1" pivotButton="0" quotePrefix="0" xfId="0"/>
    <xf numFmtId="0" fontId="0" fillId="2" borderId="0" pivotButton="0" quotePrefix="0" xfId="0"/>
    <xf numFmtId="0" fontId="0" fillId="2" borderId="11" pivotButton="0" quotePrefix="0" xfId="0"/>
    <xf numFmtId="0" fontId="4" fillId="2" borderId="0" applyAlignment="1" pivotButton="0" quotePrefix="0" xfId="0">
      <alignment horizontal="center" vertical="center" wrapText="1"/>
    </xf>
    <xf numFmtId="0" fontId="5" fillId="2" borderId="0" applyAlignment="1" pivotButton="0" quotePrefix="0" xfId="0">
      <alignment horizontal="center" vertical="center" wrapText="1"/>
    </xf>
    <xf numFmtId="0" fontId="6" fillId="3" borderId="12" applyAlignment="1" pivotButton="0" quotePrefix="0" xfId="0">
      <alignment horizontal="left" vertical="center" wrapText="1"/>
    </xf>
    <xf numFmtId="0" fontId="0" fillId="3" borderId="12" pivotButton="0" quotePrefix="0" xfId="0"/>
    <xf numFmtId="0" fontId="7" fillId="4" borderId="13" applyAlignment="1" pivotButton="0" quotePrefix="0" xfId="0">
      <alignment horizontal="center" vertical="center" wrapText="1"/>
    </xf>
    <xf numFmtId="0" fontId="8" fillId="5" borderId="13" applyAlignment="1" pivotButton="0" quotePrefix="0" xfId="0">
      <alignment horizontal="center" vertical="center" wrapText="1"/>
    </xf>
    <xf numFmtId="0" fontId="9" fillId="5" borderId="13" applyAlignment="1" pivotButton="0" quotePrefix="0" xfId="0">
      <alignment horizontal="left" vertical="center" wrapText="1"/>
    </xf>
    <xf numFmtId="164" fontId="9" fillId="5" borderId="13" applyAlignment="1" pivotButton="0" quotePrefix="0" xfId="0">
      <alignment horizontal="center" vertical="center" wrapText="1"/>
    </xf>
    <xf numFmtId="165" fontId="7" fillId="6" borderId="13" applyAlignment="1" pivotButton="0" quotePrefix="0" xfId="0">
      <alignment horizontal="center" vertical="center" wrapText="1"/>
    </xf>
    <xf numFmtId="0" fontId="10" fillId="7" borderId="13" applyAlignment="1" pivotButton="0" quotePrefix="0" xfId="0">
      <alignment horizontal="center" vertical="center" wrapText="1"/>
    </xf>
    <xf numFmtId="165" fontId="10" fillId="9" borderId="13" applyAlignment="1" pivotButton="0" quotePrefix="0" xfId="0">
      <alignment horizontal="center" vertical="center" wrapText="1"/>
    </xf>
    <xf numFmtId="0" fontId="10" fillId="10" borderId="13" applyAlignment="1" pivotButton="0" quotePrefix="0" xfId="0">
      <alignment horizontal="center" vertical="center" wrapText="1"/>
    </xf>
    <xf numFmtId="0" fontId="8" fillId="8" borderId="13" applyAlignment="1" pivotButton="0" quotePrefix="0" xfId="0">
      <alignment horizontal="center" vertical="center" wrapText="1"/>
    </xf>
    <xf numFmtId="0" fontId="9" fillId="8" borderId="13" applyAlignment="1" pivotButton="0" quotePrefix="0" xfId="0">
      <alignment horizontal="left" vertical="center" wrapText="1"/>
    </xf>
    <xf numFmtId="164" fontId="9" fillId="8" borderId="13" applyAlignment="1" pivotButton="0" quotePrefix="0" xfId="0">
      <alignment horizontal="center" vertical="center" wrapText="1"/>
    </xf>
    <xf numFmtId="0" fontId="9" fillId="0" borderId="0" pivotButton="0" quotePrefix="0" xfId="0"/>
    <xf numFmtId="0" fontId="11" fillId="2" borderId="1" applyAlignment="1" pivotButton="0" quotePrefix="0" xfId="0">
      <alignment horizontal="center" vertical="center" wrapText="1"/>
    </xf>
    <xf numFmtId="0" fontId="2" fillId="2" borderId="0" applyAlignment="1" pivotButton="0" quotePrefix="0" xfId="0">
      <alignment horizontal="center" vertical="center" wrapText="1"/>
    </xf>
    <xf numFmtId="0" fontId="7" fillId="2" borderId="13" applyAlignment="1" pivotButton="0" quotePrefix="0" xfId="0">
      <alignment horizontal="center" vertical="center" wrapText="1"/>
    </xf>
    <xf numFmtId="166" fontId="9" fillId="5" borderId="13" applyAlignment="1" pivotButton="0" quotePrefix="0" xfId="0">
      <alignment horizontal="center" vertical="center" wrapText="1"/>
    </xf>
    <xf numFmtId="167" fontId="9" fillId="5" borderId="13" applyAlignment="1" pivotButton="0" quotePrefix="0" xfId="0">
      <alignment horizontal="center" vertical="center" wrapText="1"/>
    </xf>
    <xf numFmtId="165" fontId="9" fillId="5" borderId="13" applyAlignment="1" pivotButton="0" quotePrefix="0" xfId="0">
      <alignment horizontal="center" vertical="center" wrapText="1"/>
    </xf>
    <xf numFmtId="165" fontId="10" fillId="5" borderId="13" applyAlignment="1" pivotButton="0" quotePrefix="0" xfId="0">
      <alignment horizontal="center" vertical="center" wrapText="1"/>
    </xf>
    <xf numFmtId="0" fontId="3" fillId="5" borderId="13" applyAlignment="1" pivotButton="0" quotePrefix="0" xfId="0">
      <alignment horizontal="center" vertical="center" wrapText="1"/>
    </xf>
    <xf numFmtId="165" fontId="10" fillId="10" borderId="13" applyAlignment="1" pivotButton="0" quotePrefix="0" xfId="0">
      <alignment horizontal="center" vertical="center" wrapText="1"/>
    </xf>
    <xf numFmtId="166" fontId="9" fillId="8" borderId="13" applyAlignment="1" pivotButton="0" quotePrefix="0" xfId="0">
      <alignment horizontal="center" vertical="center" wrapText="1"/>
    </xf>
    <xf numFmtId="167" fontId="9" fillId="8" borderId="13" applyAlignment="1" pivotButton="0" quotePrefix="0" xfId="0">
      <alignment horizontal="center" vertical="center" wrapText="1"/>
    </xf>
    <xf numFmtId="165" fontId="9" fillId="8" borderId="13" applyAlignment="1" pivotButton="0" quotePrefix="0" xfId="0">
      <alignment horizontal="center" vertical="center" wrapText="1"/>
    </xf>
    <xf numFmtId="165" fontId="10" fillId="8" borderId="13" applyAlignment="1" pivotButton="0" quotePrefix="0" xfId="0">
      <alignment horizontal="center" vertical="center" wrapText="1"/>
    </xf>
    <xf numFmtId="0" fontId="3" fillId="8" borderId="13" applyAlignment="1" pivotButton="0" quotePrefix="0" xfId="0">
      <alignment horizontal="center" vertical="center" wrapText="1"/>
    </xf>
    <xf numFmtId="165" fontId="10" fillId="11" borderId="13" applyAlignment="1" pivotButton="0" quotePrefix="0" xfId="0">
      <alignment horizontal="center" vertical="center" wrapText="1"/>
    </xf>
    <xf numFmtId="0" fontId="7" fillId="12" borderId="13" applyAlignment="1" pivotButton="0" quotePrefix="0" xfId="0">
      <alignment horizontal="center" vertical="center" wrapText="1"/>
    </xf>
    <xf numFmtId="0" fontId="9" fillId="13" borderId="13" applyAlignment="1" pivotButton="0" quotePrefix="0" xfId="0">
      <alignment horizontal="left" vertical="center" wrapText="1"/>
    </xf>
    <xf numFmtId="0" fontId="9" fillId="5" borderId="13" applyAlignment="1" pivotButton="0" quotePrefix="0" xfId="0">
      <alignment horizontal="center" vertical="center" wrapText="1"/>
    </xf>
    <xf numFmtId="0" fontId="9" fillId="5" borderId="13" applyAlignment="1" pivotButton="0" quotePrefix="0" xfId="0">
      <alignment horizontal="left" vertical="top" wrapText="1"/>
    </xf>
    <xf numFmtId="0" fontId="9" fillId="8" borderId="13" applyAlignment="1" pivotButton="0" quotePrefix="0" xfId="0">
      <alignment horizontal="center" vertical="center" wrapText="1"/>
    </xf>
    <xf numFmtId="0" fontId="9" fillId="8" borderId="13" applyAlignment="1" pivotButton="0" quotePrefix="0" xfId="0">
      <alignment horizontal="left" vertical="top" wrapText="1"/>
    </xf>
    <xf numFmtId="0" fontId="9" fillId="14" borderId="13" applyAlignment="1" pivotButton="0" quotePrefix="0" xfId="0">
      <alignment horizontal="left" vertical="center" wrapText="1"/>
    </xf>
    <xf numFmtId="0" fontId="9" fillId="15" borderId="13" applyAlignment="1" pivotButton="0" quotePrefix="0" xfId="0">
      <alignment horizontal="left" vertical="center" wrapText="1"/>
    </xf>
    <xf numFmtId="0" fontId="9" fillId="16" borderId="13" applyAlignment="1" pivotButton="0" quotePrefix="0" xfId="0">
      <alignment horizontal="left" vertical="center" wrapText="1"/>
    </xf>
    <xf numFmtId="0" fontId="6" fillId="3" borderId="14" applyAlignment="1" pivotButton="0" quotePrefix="0" xfId="0">
      <alignment horizontal="left" vertical="center" wrapText="1"/>
    </xf>
    <xf numFmtId="0" fontId="0" fillId="3" borderId="15" pivotButton="0" quotePrefix="0" xfId="0"/>
    <xf numFmtId="0" fontId="7" fillId="4" borderId="16" applyAlignment="1" pivotButton="0" quotePrefix="0" xfId="0">
      <alignment horizontal="center" vertical="center" wrapText="1"/>
    </xf>
    <xf numFmtId="0" fontId="7" fillId="4" borderId="17" applyAlignment="1" pivotButton="0" quotePrefix="0" xfId="0">
      <alignment horizontal="center" vertical="center" wrapText="1"/>
    </xf>
    <xf numFmtId="0" fontId="9" fillId="5" borderId="16" applyAlignment="1" pivotButton="0" quotePrefix="0" xfId="0">
      <alignment horizontal="center" vertical="center" wrapText="1"/>
    </xf>
    <xf numFmtId="165" fontId="9" fillId="5" borderId="17" applyAlignment="1" pivotButton="0" quotePrefix="0" xfId="0">
      <alignment horizontal="center" vertical="center" wrapText="1"/>
    </xf>
    <xf numFmtId="0" fontId="9" fillId="8" borderId="16" applyAlignment="1" pivotButton="0" quotePrefix="0" xfId="0">
      <alignment horizontal="center" vertical="center" wrapText="1"/>
    </xf>
    <xf numFmtId="165" fontId="9" fillId="8" borderId="17" applyAlignment="1" pivotButton="0" quotePrefix="0" xfId="0">
      <alignment horizontal="center" vertical="center" wrapText="1"/>
    </xf>
    <xf numFmtId="0" fontId="3" fillId="0" borderId="0" applyAlignment="1" pivotButton="0" quotePrefix="0" xfId="0">
      <alignment horizontal="right" vertical="center"/>
    </xf>
    <xf numFmtId="0" fontId="12" fillId="10" borderId="18" applyAlignment="1" pivotButton="0" quotePrefix="0" xfId="0">
      <alignment horizontal="center" vertical="center" wrapText="1"/>
    </xf>
    <xf numFmtId="0" fontId="9" fillId="17" borderId="13" applyAlignment="1" pivotButton="0" quotePrefix="0" xfId="0">
      <alignment horizontal="left" vertical="top" wrapText="1"/>
    </xf>
    <xf numFmtId="0" fontId="9" fillId="18" borderId="13" applyAlignment="1" pivotButton="0" quotePrefix="0" xfId="0">
      <alignment horizontal="left" vertical="top" wrapText="1"/>
    </xf>
    <xf numFmtId="0" fontId="10" fillId="8" borderId="13" applyAlignment="1" pivotButton="0" quotePrefix="0" xfId="0">
      <alignment horizontal="left" vertical="center" wrapText="1"/>
    </xf>
    <xf numFmtId="164" fontId="12" fillId="10" borderId="18" applyAlignment="1" pivotButton="0" quotePrefix="0" xfId="0">
      <alignment horizontal="center" vertical="center" wrapText="1"/>
    </xf>
    <xf numFmtId="0" fontId="3" fillId="0" borderId="0" applyAlignment="1" pivotButton="0" quotePrefix="0" xfId="0">
      <alignment horizontal="left" vertical="center" wrapText="1"/>
    </xf>
    <xf numFmtId="167" fontId="12" fillId="10" borderId="18" applyAlignment="1" pivotButton="0" quotePrefix="0" xfId="0">
      <alignment horizontal="center" vertical="center" wrapText="1"/>
    </xf>
    <xf numFmtId="168" fontId="12" fillId="10" borderId="18" applyAlignment="1" pivotButton="0" quotePrefix="0" xfId="0">
      <alignment horizontal="center" vertical="center" wrapText="1"/>
    </xf>
    <xf numFmtId="167" fontId="13" fillId="5" borderId="13" applyAlignment="1" pivotButton="0" quotePrefix="0" xfId="0">
      <alignment horizontal="center" vertical="center" wrapText="1"/>
    </xf>
    <xf numFmtId="164" fontId="13" fillId="5" borderId="13" applyAlignment="1" pivotButton="0" quotePrefix="0" xfId="0">
      <alignment horizontal="center" vertical="center" wrapText="1"/>
    </xf>
    <xf numFmtId="3" fontId="9" fillId="5" borderId="13" applyAlignment="1" pivotButton="0" quotePrefix="0" xfId="0">
      <alignment horizontal="center" vertical="center" wrapText="1"/>
    </xf>
    <xf numFmtId="0" fontId="3" fillId="5" borderId="13" applyAlignment="1" pivotButton="0" quotePrefix="0" xfId="0">
      <alignment horizontal="left" vertical="center" wrapText="1"/>
    </xf>
    <xf numFmtId="167" fontId="13" fillId="8" borderId="13" applyAlignment="1" pivotButton="0" quotePrefix="0" xfId="0">
      <alignment horizontal="center" vertical="center" wrapText="1"/>
    </xf>
    <xf numFmtId="164" fontId="13" fillId="8" borderId="13" applyAlignment="1" pivotButton="0" quotePrefix="0" xfId="0">
      <alignment horizontal="center" vertical="center" wrapText="1"/>
    </xf>
    <xf numFmtId="3" fontId="9" fillId="8" borderId="13" applyAlignment="1" pivotButton="0" quotePrefix="0" xfId="0">
      <alignment horizontal="center" vertical="center" wrapText="1"/>
    </xf>
    <xf numFmtId="0" fontId="3" fillId="8" borderId="13" applyAlignment="1" pivotButton="0" quotePrefix="0" xfId="0">
      <alignment horizontal="left" vertical="center" wrapText="1"/>
    </xf>
    <xf numFmtId="0" fontId="10" fillId="3" borderId="13" applyAlignment="1" pivotButton="0" quotePrefix="0" xfId="0">
      <alignment horizontal="left" vertical="center" wrapText="1"/>
    </xf>
    <xf numFmtId="0" fontId="0" fillId="3" borderId="13" pivotButton="0" quotePrefix="0" xfId="0"/>
    <xf numFmtId="167" fontId="14" fillId="3" borderId="13" applyAlignment="1" pivotButton="0" quotePrefix="0" xfId="0">
      <alignment horizontal="center" vertical="center" wrapText="1"/>
    </xf>
    <xf numFmtId="164" fontId="14" fillId="3" borderId="13" applyAlignment="1" pivotButton="0" quotePrefix="0" xfId="0">
      <alignment horizontal="center" vertical="center" wrapText="1"/>
    </xf>
    <xf numFmtId="167" fontId="15" fillId="3" borderId="13" applyAlignment="1" pivotButton="0" quotePrefix="0" xfId="0">
      <alignment horizontal="center" vertical="center" wrapText="1"/>
    </xf>
    <xf numFmtId="164" fontId="15" fillId="3" borderId="13" applyAlignment="1" pivotButton="0" quotePrefix="0" xfId="0">
      <alignment horizontal="center" vertical="center" wrapText="1"/>
    </xf>
    <xf numFmtId="164" fontId="9" fillId="10" borderId="13" applyAlignment="1" pivotButton="0" quotePrefix="0" xfId="0">
      <alignment horizontal="center" vertical="center" wrapText="1"/>
    </xf>
    <xf numFmtId="0" fontId="10" fillId="0" borderId="0" applyAlignment="1" pivotButton="0" quotePrefix="0" xfId="0">
      <alignment horizontal="right" vertical="center"/>
    </xf>
    <xf numFmtId="2" fontId="13" fillId="10" borderId="13" applyAlignment="1" pivotButton="0" quotePrefix="0" xfId="0">
      <alignment horizontal="center" vertical="center" wrapText="1"/>
    </xf>
    <xf numFmtId="2" fontId="13" fillId="5" borderId="13" applyAlignment="1" pivotButton="0" quotePrefix="0" xfId="0">
      <alignment horizontal="center" vertical="center" wrapText="1"/>
    </xf>
    <xf numFmtId="2" fontId="12" fillId="10" borderId="13" applyAlignment="1" pivotButton="0" quotePrefix="0" xfId="0">
      <alignment horizontal="center" vertical="center" wrapText="1"/>
    </xf>
    <xf numFmtId="0" fontId="7" fillId="19" borderId="13" applyAlignment="1" pivotButton="0" quotePrefix="0" xfId="0">
      <alignment horizontal="center" vertical="center" wrapText="1"/>
    </xf>
    <xf numFmtId="0" fontId="16" fillId="0" borderId="0" applyAlignment="1" pivotButton="0" quotePrefix="0" xfId="0">
      <alignment horizontal="left" vertical="center" wrapText="1"/>
    </xf>
    <xf numFmtId="2" fontId="9" fillId="5" borderId="13" applyAlignment="1" pivotButton="0" quotePrefix="0" xfId="0">
      <alignment horizontal="center" vertical="center" wrapText="1"/>
    </xf>
    <xf numFmtId="2" fontId="9" fillId="8" borderId="13" applyAlignment="1" pivotButton="0" quotePrefix="0" xfId="0">
      <alignment horizontal="center" vertical="center" wrapText="1"/>
    </xf>
    <xf numFmtId="0" fontId="10" fillId="5" borderId="13" applyAlignment="1" pivotButton="0" quotePrefix="0" xfId="0">
      <alignment horizontal="left" vertical="center" wrapText="1"/>
    </xf>
    <xf numFmtId="0" fontId="0" fillId="5" borderId="13" pivotButton="0" quotePrefix="0" xfId="0"/>
    <xf numFmtId="0" fontId="9" fillId="0" borderId="13" pivotButton="0" quotePrefix="0" xfId="0"/>
    <xf numFmtId="169" fontId="12" fillId="8" borderId="13" applyAlignment="1" pivotButton="0" quotePrefix="0" xfId="0">
      <alignment horizontal="center" vertical="center" wrapText="1"/>
    </xf>
    <xf numFmtId="0" fontId="17" fillId="3" borderId="16" applyAlignment="1" pivotButton="0" quotePrefix="0" xfId="0">
      <alignment horizontal="left" vertical="center" wrapText="1"/>
    </xf>
    <xf numFmtId="0" fontId="0" fillId="3" borderId="17" pivotButton="0" quotePrefix="0" xfId="0"/>
    <xf numFmtId="0" fontId="15" fillId="5" borderId="16" applyAlignment="1" pivotButton="0" quotePrefix="0" xfId="0">
      <alignment horizontal="left" vertical="center" wrapText="1"/>
    </xf>
    <xf numFmtId="0" fontId="0" fillId="5" borderId="17" pivotButton="0" quotePrefix="0" xfId="0"/>
    <xf numFmtId="0" fontId="3" fillId="5" borderId="16" applyAlignment="1" pivotButton="0" quotePrefix="0" xfId="0">
      <alignment horizontal="left" vertical="center" wrapText="1"/>
    </xf>
    <xf numFmtId="0" fontId="16" fillId="5" borderId="16" applyAlignment="1" pivotButton="0" quotePrefix="0" xfId="0">
      <alignment horizontal="left" vertical="center" wrapText="1"/>
    </xf>
    <xf numFmtId="0" fontId="18" fillId="17" borderId="13" applyAlignment="1" pivotButton="0" quotePrefix="0" xfId="0">
      <alignment horizontal="center" vertical="center" wrapText="1"/>
    </xf>
    <xf numFmtId="0" fontId="19" fillId="16" borderId="13" applyAlignment="1" pivotButton="0" quotePrefix="0" xfId="0">
      <alignment horizontal="center" vertical="center" wrapText="1"/>
    </xf>
    <xf numFmtId="0" fontId="9" fillId="8" borderId="13" pivotButton="0" quotePrefix="0" xfId="0"/>
  </cellXfs>
  <cellStyles count="1">
    <cellStyle name="Normal" xfId="0" builtinId="0" hidden="0"/>
  </cellStyles>
  <dxfs count="1">
    <dxf>
      <fill>
        <patternFill patternType="solid">
          <fgColor rgb="00E76F5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style val="10"/>
  <chart>
    <plotArea>
      <barChart>
        <barDir val="col"/>
        <grouping val="clustered"/>
        <ser>
          <idx val="0"/>
          <order val="0"/>
          <tx>
            <strRef>
              <f>'Dashboard'!B40</f>
            </strRef>
          </tx>
          <spPr>
            <a:solidFill>
              <a:srgbClr val="C9A84C"/>
            </a:solidFill>
            <a:ln>
              <a:prstDash val="solid"/>
            </a:ln>
          </spPr>
          <cat>
            <numRef>
              <f>'Dashboard'!$A$41:$A$50</f>
            </numRef>
          </cat>
          <val>
            <numRef>
              <f>'Dashboard'!$B$41:$B$50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title>
          <tx>
            <rich>
              <a:bodyPr/>
              <a:p>
                <a:pPr>
                  <a:defRPr/>
                </a:pPr>
                <a:r>
                  <a:t>Combined Score</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Growth vs Margin (bubble = market cap)</a:t>
            </a:r>
          </a:p>
        </rich>
      </tx>
    </title>
    <plotArea>
      <bubbleChart>
        <ser>
          <idx val="0"/>
          <order val="0"/>
          <tx>
            <v>Stocks</v>
          </tx>
          <spPr>
            <a:solidFill>
              <a:srgbClr val="C9A84C"/>
            </a:solidFill>
            <a:ln>
              <a:prstDash val="solid"/>
            </a:ln>
          </spPr>
          <xVal>
            <numRef>
              <f>'Nano Cap'!$B$61:$B$70</f>
            </numRef>
          </xVal>
          <yVal>
            <numRef>
              <f>'Nano Cap'!$C$61:$C$70</f>
            </numRef>
          </yVal>
          <bubbleSize>
            <numRef>
              <f>'Nano Cap'!$D$61:$D$70</f>
            </numRef>
          </bubbleSize>
        </ser>
        <axId val="10"/>
        <axId val="20"/>
      </bubbleChart>
      <valAx>
        <axId val="10"/>
        <scaling>
          <orientation val="minMax"/>
        </scaling>
        <axPos val="l"/>
        <majorGridlines/>
        <title>
          <tx>
            <rich>
              <a:bodyPr/>
              <a:p>
                <a:pPr>
                  <a:defRPr/>
                </a:pPr>
                <a:r>
                  <a:t>Gross Margin %</a:t>
                </a:r>
              </a:p>
            </rich>
          </tx>
        </title>
        <majorTickMark val="none"/>
        <minorTickMark val="none"/>
        <crossAx val="20"/>
      </valAx>
      <valAx>
        <axId val="20"/>
        <scaling>
          <orientation val="minMax"/>
        </scaling>
        <axPos val="l"/>
        <majorGridlines/>
        <title>
          <tx>
            <rich>
              <a:bodyPr/>
              <a:p>
                <a:pPr>
                  <a:defRPr/>
                </a:pPr>
                <a:r>
                  <a:t>Revenue Growth %</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Growth vs Margin (bubble = market cap)</a:t>
            </a:r>
          </a:p>
        </rich>
      </tx>
    </title>
    <plotArea>
      <bubbleChart>
        <ser>
          <idx val="0"/>
          <order val="0"/>
          <tx>
            <v>Stocks</v>
          </tx>
          <spPr>
            <a:solidFill>
              <a:srgbClr val="C9A84C"/>
            </a:solidFill>
            <a:ln>
              <a:prstDash val="solid"/>
            </a:ln>
          </spPr>
          <xVal>
            <numRef>
              <f>'Small Cap'!$B$61:$B$70</f>
            </numRef>
          </xVal>
          <yVal>
            <numRef>
              <f>'Small Cap'!$C$61:$C$70</f>
            </numRef>
          </yVal>
          <bubbleSize>
            <numRef>
              <f>'Small Cap'!$D$61:$D$70</f>
            </numRef>
          </bubbleSize>
        </ser>
        <axId val="10"/>
        <axId val="20"/>
      </bubbleChart>
      <valAx>
        <axId val="10"/>
        <scaling>
          <orientation val="minMax"/>
        </scaling>
        <axPos val="l"/>
        <majorGridlines/>
        <title>
          <tx>
            <rich>
              <a:bodyPr/>
              <a:p>
                <a:pPr>
                  <a:defRPr/>
                </a:pPr>
                <a:r>
                  <a:t>Gross Margin %</a:t>
                </a:r>
              </a:p>
            </rich>
          </tx>
        </title>
        <majorTickMark val="none"/>
        <minorTickMark val="none"/>
        <crossAx val="20"/>
      </valAx>
      <valAx>
        <axId val="20"/>
        <scaling>
          <orientation val="minMax"/>
        </scaling>
        <axPos val="l"/>
        <majorGridlines/>
        <title>
          <tx>
            <rich>
              <a:bodyPr/>
              <a:p>
                <a:pPr>
                  <a:defRPr/>
                </a:pPr>
                <a:r>
                  <a:t>Revenue Growth %</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Growth vs Margin (bubble = market cap)</a:t>
            </a:r>
          </a:p>
        </rich>
      </tx>
    </title>
    <plotArea>
      <bubbleChart>
        <ser>
          <idx val="0"/>
          <order val="0"/>
          <tx>
            <v>Stocks</v>
          </tx>
          <spPr>
            <a:solidFill>
              <a:srgbClr val="C9A84C"/>
            </a:solidFill>
            <a:ln>
              <a:prstDash val="solid"/>
            </a:ln>
          </spPr>
          <xVal>
            <numRef>
              <f>'Breakout'!$B$61:$B$70</f>
            </numRef>
          </xVal>
          <yVal>
            <numRef>
              <f>'Breakout'!$C$61:$C$70</f>
            </numRef>
          </yVal>
          <bubbleSize>
            <numRef>
              <f>'Breakout'!$D$61:$D$70</f>
            </numRef>
          </bubbleSize>
        </ser>
        <axId val="10"/>
        <axId val="20"/>
      </bubbleChart>
      <valAx>
        <axId val="10"/>
        <scaling>
          <orientation val="minMax"/>
        </scaling>
        <axPos val="l"/>
        <majorGridlines/>
        <title>
          <tx>
            <rich>
              <a:bodyPr/>
              <a:p>
                <a:pPr>
                  <a:defRPr/>
                </a:pPr>
                <a:r>
                  <a:t>Gross Margin %</a:t>
                </a:r>
              </a:p>
            </rich>
          </tx>
        </title>
        <majorTickMark val="none"/>
        <minorTickMark val="none"/>
        <crossAx val="20"/>
      </valAx>
      <valAx>
        <axId val="20"/>
        <scaling>
          <orientation val="minMax"/>
        </scaling>
        <axPos val="l"/>
        <majorGridlines/>
        <title>
          <tx>
            <rich>
              <a:bodyPr/>
              <a:p>
                <a:pPr>
                  <a:defRPr/>
                </a:pPr>
                <a:r>
                  <a:t>Revenue Growth %</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Growth vs Margin (bubble = market cap)</a:t>
            </a:r>
          </a:p>
        </rich>
      </tx>
    </title>
    <plotArea>
      <bubbleChart>
        <ser>
          <idx val="0"/>
          <order val="0"/>
          <tx>
            <v>Stocks</v>
          </tx>
          <spPr>
            <a:solidFill>
              <a:srgbClr val="C9A84C"/>
            </a:solidFill>
            <a:ln>
              <a:prstDash val="solid"/>
            </a:ln>
          </spPr>
          <xVal>
            <numRef>
              <f>'Vital Link'!$B$61:$B$70</f>
            </numRef>
          </xVal>
          <yVal>
            <numRef>
              <f>'Vital Link'!$C$61:$C$70</f>
            </numRef>
          </yVal>
          <bubbleSize>
            <numRef>
              <f>'Vital Link'!$D$61:$D$70</f>
            </numRef>
          </bubbleSize>
        </ser>
        <axId val="10"/>
        <axId val="20"/>
      </bubbleChart>
      <valAx>
        <axId val="10"/>
        <scaling>
          <orientation val="minMax"/>
        </scaling>
        <axPos val="l"/>
        <majorGridlines/>
        <title>
          <tx>
            <rich>
              <a:bodyPr/>
              <a:p>
                <a:pPr>
                  <a:defRPr/>
                </a:pPr>
                <a:r>
                  <a:t>Gross Margin %</a:t>
                </a:r>
              </a:p>
            </rich>
          </tx>
        </title>
        <majorTickMark val="none"/>
        <minorTickMark val="none"/>
        <crossAx val="20"/>
      </valAx>
      <valAx>
        <axId val="20"/>
        <scaling>
          <orientation val="minMax"/>
        </scaling>
        <axPos val="l"/>
        <majorGridlines/>
        <title>
          <tx>
            <rich>
              <a:bodyPr/>
              <a:p>
                <a:pPr>
                  <a:defRPr/>
                </a:pPr>
                <a:r>
                  <a:t>Revenue Growth %</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Conviction Distribution by Tier</a:t>
            </a:r>
          </a:p>
        </rich>
      </tx>
    </title>
    <plotArea>
      <barChart>
        <barDir val="bar"/>
        <grouping val="stacked"/>
        <ser>
          <idx val="0"/>
          <order val="0"/>
          <tx>
            <strRef>
              <f>'Recommendations'!B49</f>
            </strRef>
          </tx>
          <spPr>
            <a:solidFill>
              <a:srgbClr val="2A9D8F"/>
            </a:solidFill>
            <a:ln>
              <a:prstDash val="solid"/>
            </a:ln>
          </spPr>
          <cat>
            <numRef>
              <f>'Recommendations'!$A$50:$A$52</f>
            </numRef>
          </cat>
          <val>
            <numRef>
              <f>'Recommendations'!$B$50:$B$52</f>
            </numRef>
          </val>
        </ser>
        <ser>
          <idx val="1"/>
          <order val="1"/>
          <tx>
            <strRef>
              <f>'Recommendations'!C49</f>
            </strRef>
          </tx>
          <spPr>
            <a:solidFill>
              <a:srgbClr val="4FC3F7"/>
            </a:solidFill>
            <a:ln>
              <a:prstDash val="solid"/>
            </a:ln>
          </spPr>
          <cat>
            <numRef>
              <f>'Recommendations'!$A$50:$A$52</f>
            </numRef>
          </cat>
          <val>
            <numRef>
              <f>'Recommendations'!$C$50:$C$52</f>
            </numRef>
          </val>
        </ser>
        <ser>
          <idx val="2"/>
          <order val="2"/>
          <tx>
            <strRef>
              <f>'Recommendations'!D49</f>
            </strRef>
          </tx>
          <spPr>
            <a:solidFill>
              <a:srgbClr val="C9A84C"/>
            </a:solidFill>
            <a:ln>
              <a:prstDash val="solid"/>
            </a:ln>
          </spPr>
          <cat>
            <numRef>
              <f>'Recommendations'!$A$50:$A$52</f>
            </numRef>
          </cat>
          <val>
            <numRef>
              <f>'Recommendations'!$D$50:$D$52</f>
            </numRef>
          </val>
        </ser>
        <ser>
          <idx val="3"/>
          <order val="3"/>
          <tx>
            <strRef>
              <f>'Recommendations'!E49</f>
            </strRef>
          </tx>
          <spPr>
            <a:solidFill>
              <a:srgbClr val="E76F51"/>
            </a:solidFill>
            <a:ln>
              <a:prstDash val="solid"/>
            </a:ln>
          </spPr>
          <cat>
            <numRef>
              <f>'Recommendations'!$A$50:$A$52</f>
            </numRef>
          </cat>
          <val>
            <numRef>
              <f>'Recommendations'!$E$50:$E$52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Allocation by Tier</a:t>
            </a:r>
          </a:p>
        </rich>
      </tx>
    </title>
    <plotArea>
      <doughnutChart>
        <varyColors val="1"/>
        <ser>
          <idx val="0"/>
          <order val="0"/>
          <tx>
            <strRef>
              <f>'Portfolio Construction'!M60</f>
            </strRef>
          </tx>
          <spPr>
            <a:ln>
              <a:prstDash val="solid"/>
            </a:ln>
          </spPr>
          <cat>
            <numRef>
              <f>'Portfolio Construction'!$L$61:$L$65</f>
            </numRef>
          </cat>
          <val>
            <numRef>
              <f>'Portfolio Construction'!$M$61:$M$65</f>
            </numRef>
          </val>
        </ser>
        <firstSliceAng val="0"/>
        <holeSize val="10"/>
      </doughnutChart>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Score Impact — SODI</a:t>
            </a:r>
          </a:p>
        </rich>
      </tx>
    </title>
    <plotArea>
      <barChart>
        <barDir val="bar"/>
        <grouping val="clustered"/>
        <ser>
          <idx val="0"/>
          <order val="0"/>
          <spPr>
            <a:solidFill>
              <a:srgbClr val="E76F51"/>
            </a:solidFill>
            <a:ln>
              <a:prstDash val="solid"/>
            </a:ln>
          </spPr>
          <cat>
            <numRef>
              <f>'Sensitivity Analysis'!$B$61:$B$65</f>
            </numRef>
          </cat>
          <val>
            <numRef>
              <f>'Sensitivity Analysis'!$C$61:$C$65</f>
            </numRef>
          </val>
        </ser>
        <ser>
          <idx val="1"/>
          <order val="1"/>
          <spPr>
            <a:solidFill>
              <a:srgbClr val="2A9D8F"/>
            </a:solidFill>
            <a:ln>
              <a:prstDash val="solid"/>
            </a:ln>
          </spPr>
          <cat>
            <numRef>
              <f>'Sensitivity Analysis'!$B$61:$B$65</f>
            </numRef>
          </cat>
          <val>
            <numRef>
              <f>'Sensitivity Analysis'!$D$61:$D$65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style val="26"/>
  <chart>
    <title>
      <tx>
        <rich>
          <a:bodyPr/>
          <a:p>
            <a:pPr>
              <a:defRPr/>
            </a:pPr>
            <a:r>
              <a:t>Reference Stock Comparison</a:t>
            </a:r>
          </a:p>
        </rich>
      </tx>
    </title>
    <plotArea>
      <radarChart>
        <radarStyle val="standard"/>
        <ser>
          <idx val="0"/>
          <order val="0"/>
          <tx>
            <strRef>
              <f>'Fingerprint Reference'!B35</f>
            </strRef>
          </tx>
          <spPr>
            <a:ln>
              <a:solidFill>
                <a:srgbClr val="C9A84C"/>
              </a:solidFill>
              <a:prstDash val="solid"/>
            </a:ln>
          </spPr>
          <marker>
            <symbol val="none"/>
            <spPr>
              <a:ln>
                <a:prstDash val="solid"/>
              </a:ln>
            </spPr>
          </marker>
          <cat>
            <numRef>
              <f>'Fingerprint Reference'!$A$36:$A$40</f>
            </numRef>
          </cat>
          <val>
            <numRef>
              <f>'Fingerprint Reference'!$B$36:$B$40</f>
            </numRef>
          </val>
        </ser>
        <ser>
          <idx val="1"/>
          <order val="1"/>
          <tx>
            <strRef>
              <f>'Fingerprint Reference'!C35</f>
            </strRef>
          </tx>
          <spPr>
            <a:ln>
              <a:solidFill>
                <a:srgbClr val="2A9D8F"/>
              </a:solidFill>
              <a:prstDash val="solid"/>
            </a:ln>
          </spPr>
          <marker>
            <symbol val="none"/>
            <spPr>
              <a:ln>
                <a:prstDash val="solid"/>
              </a:ln>
            </spPr>
          </marker>
          <cat>
            <numRef>
              <f>'Fingerprint Reference'!$A$36:$A$40</f>
            </numRef>
          </cat>
          <val>
            <numRef>
              <f>'Fingerprint Reference'!$C$36:$C$40</f>
            </numRef>
          </val>
        </ser>
        <ser>
          <idx val="2"/>
          <order val="2"/>
          <tx>
            <strRef>
              <f>'Fingerprint Reference'!D35</f>
            </strRef>
          </tx>
          <spPr>
            <a:ln>
              <a:solidFill>
                <a:srgbClr val="E76F51"/>
              </a:solidFill>
              <a:prstDash val="solid"/>
            </a:ln>
          </spPr>
          <marker>
            <symbol val="none"/>
            <spPr>
              <a:ln>
                <a:prstDash val="solid"/>
              </a:ln>
            </spPr>
          </marker>
          <cat>
            <numRef>
              <f>'Fingerprint Reference'!$A$36:$A$40</f>
            </numRef>
          </cat>
          <val>
            <numRef>
              <f>'Fingerprint Reference'!$D$36:$D$40</f>
            </numRef>
          </val>
        </ser>
        <ser>
          <idx val="3"/>
          <order val="3"/>
          <tx>
            <strRef>
              <f>'Fingerprint Reference'!E35</f>
            </strRef>
          </tx>
          <spPr>
            <a:ln>
              <a:solidFill>
                <a:srgbClr val="4FC3F7"/>
              </a:solidFill>
              <a:prstDash val="solid"/>
            </a:ln>
          </spPr>
          <marker>
            <symbol val="none"/>
            <spPr>
              <a:ln>
                <a:prstDash val="solid"/>
              </a:ln>
            </spPr>
          </marker>
          <cat>
            <numRef>
              <f>'Fingerprint Reference'!$A$36:$A$40</f>
            </numRef>
          </cat>
          <val>
            <numRef>
              <f>'Fingerprint Reference'!$E$36:$E$40</f>
            </numRef>
          </val>
        </ser>
        <ser>
          <idx val="4"/>
          <order val="4"/>
          <tx>
            <strRef>
              <f>'Fingerprint Reference'!F35</f>
            </strRef>
          </tx>
          <spPr>
            <a:ln>
              <a:solidFill>
                <a:srgbClr val="0D1B2A"/>
              </a:solidFill>
              <a:prstDash val="solid"/>
            </a:ln>
          </spPr>
          <marker>
            <symbol val="none"/>
            <spPr>
              <a:ln>
                <a:prstDash val="solid"/>
              </a:ln>
            </spPr>
          </marker>
          <cat>
            <numRef>
              <f>'Fingerprint Reference'!$A$36:$A$40</f>
            </numRef>
          </cat>
          <val>
            <numRef>
              <f>'Fingerprint Reference'!$F$36:$F$40</f>
            </numRef>
          </val>
        </ser>
        <ser>
          <idx val="5"/>
          <order val="5"/>
          <tx>
            <strRef>
              <f>'Fingerprint Reference'!G35</f>
            </strRef>
          </tx>
          <spPr>
            <a:ln>
              <a:solidFill>
                <a:srgbClr val="F9C74F"/>
              </a:solidFill>
              <a:prstDash val="solid"/>
            </a:ln>
          </spPr>
          <marker>
            <symbol val="none"/>
            <spPr>
              <a:ln>
                <a:prstDash val="solid"/>
              </a:ln>
            </spPr>
          </marker>
          <cat>
            <numRef>
              <f>'Fingerprint Reference'!$A$36:$A$40</f>
            </numRef>
          </cat>
          <val>
            <numRef>
              <f>'Fingerprint Reference'!$G$36:$G$40</f>
            </numRef>
          </val>
        </ser>
        <axId val="10"/>
        <axId val="100"/>
      </rad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19</row>
      <rowOff>0</rowOff>
    </from>
    <ext cx="1008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16</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16</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16</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16</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53</row>
      <rowOff>0</rowOff>
    </from>
    <ext cx="720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3</row>
      <rowOff>0</rowOff>
    </from>
    <ext cx="504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60</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9.xml.rels><Relationships xmlns="http://schemas.openxmlformats.org/package/2006/relationships"><Relationship Type="http://schemas.openxmlformats.org/officeDocument/2006/relationships/drawing" Target="/xl/drawings/drawing6.xml" Id="rId1" /></Relationships>
</file>

<file path=xl/worksheets/_rels/sheet10.xml.rels><Relationships xmlns="http://schemas.openxmlformats.org/package/2006/relationships"><Relationship Type="http://schemas.openxmlformats.org/officeDocument/2006/relationships/drawing" Target="/xl/drawings/drawing7.xml" Id="rId1" /></Relationships>
</file>

<file path=xl/worksheets/_rels/sheet11.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tabColor rgb="00C9A84C"/>
    <outlinePr summaryBelow="1" summaryRight="1"/>
    <pageSetUpPr fitToPage="1"/>
  </sheetPr>
  <dimension ref="A1:U50"/>
  <sheetViews>
    <sheetView showGridLines="0" workbookViewId="0">
      <pane ySplit="4" topLeftCell="A5" activePane="bottomLeft" state="frozen"/>
      <selection pane="bottomLeft"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ht="28" customHeight="1">
      <c r="A1" s="1" t="inlineStr">
        <is>
          <t>STRUCTURAL GROWTH EQUITY SCREENER</t>
        </is>
      </c>
      <c r="B1" s="2" t="n"/>
      <c r="C1" s="2" t="n"/>
      <c r="D1" s="2" t="n"/>
      <c r="E1" s="2" t="n"/>
      <c r="F1" s="2" t="n"/>
      <c r="G1" s="2" t="n"/>
      <c r="H1" s="2" t="n"/>
      <c r="I1" s="2" t="n"/>
      <c r="J1" s="2" t="n"/>
      <c r="K1" s="2" t="n"/>
      <c r="L1" s="2" t="n"/>
      <c r="M1" s="2" t="n"/>
      <c r="N1" s="2" t="n"/>
      <c r="O1" s="2" t="n"/>
      <c r="P1" s="2" t="n"/>
      <c r="Q1" s="2" t="n"/>
      <c r="R1" s="2" t="n"/>
      <c r="S1" s="2" t="n"/>
      <c r="T1" s="2" t="n"/>
      <c r="U1" s="3" t="n"/>
    </row>
    <row r="2" ht="28" customHeight="1">
      <c r="A2" s="4" t="n"/>
      <c r="B2" s="5" t="n"/>
      <c r="C2" s="5" t="n"/>
      <c r="D2" s="5" t="n"/>
      <c r="E2" s="5" t="n"/>
      <c r="F2" s="5" t="n"/>
      <c r="G2" s="5" t="n"/>
      <c r="H2" s="5" t="n"/>
      <c r="I2" s="5" t="n"/>
      <c r="J2" s="5" t="n"/>
      <c r="K2" s="5" t="n"/>
      <c r="L2" s="5" t="n"/>
      <c r="M2" s="5" t="n"/>
      <c r="N2" s="5" t="n"/>
      <c r="O2" s="5" t="n"/>
      <c r="P2" s="5" t="n"/>
      <c r="Q2" s="5" t="n"/>
      <c r="R2" s="5" t="n"/>
      <c r="S2" s="5" t="n"/>
      <c r="T2" s="5" t="n"/>
      <c r="U2" s="6" t="n"/>
    </row>
    <row r="3" ht="20" customHeight="1">
      <c r="A3" s="7" t="inlineStr">
        <is>
          <t>Nano  ·  Small  ·  Breakout  ·  Vital Link Tier Analysis</t>
        </is>
      </c>
      <c r="B3" s="8" t="n"/>
      <c r="C3" s="8" t="n"/>
      <c r="D3" s="8" t="n"/>
      <c r="E3" s="8" t="n"/>
      <c r="F3" s="8" t="n"/>
      <c r="G3" s="8" t="n"/>
      <c r="H3" s="8" t="n"/>
      <c r="I3" s="8" t="n"/>
      <c r="J3" s="9" t="n"/>
      <c r="K3" s="10" t="inlineStr">
        <is>
          <t>Run Date: September 08, 2026  |  Universe: 40 stocks  |  Source: Financial Modeling Prep</t>
        </is>
      </c>
      <c r="L3" s="8" t="n"/>
      <c r="M3" s="8" t="n"/>
      <c r="N3" s="8" t="n"/>
      <c r="O3" s="8" t="n"/>
      <c r="P3" s="8" t="n"/>
      <c r="Q3" s="8" t="n"/>
      <c r="R3" s="8" t="n"/>
      <c r="S3" s="8" t="n"/>
      <c r="T3" s="8" t="n"/>
      <c r="U3" s="9" t="n"/>
    </row>
    <row r="4" ht="8" customHeight="1">
      <c r="A4" s="11" t="n"/>
      <c r="B4" s="11" t="n"/>
      <c r="C4" s="11" t="n"/>
      <c r="D4" s="11" t="n"/>
      <c r="E4" s="11" t="n"/>
      <c r="F4" s="11" t="n"/>
      <c r="G4" s="11" t="n"/>
      <c r="H4" s="11" t="n"/>
      <c r="I4" s="11" t="n"/>
      <c r="J4" s="11" t="n"/>
      <c r="K4" s="11" t="n"/>
      <c r="L4" s="11" t="n"/>
      <c r="M4" s="11" t="n"/>
      <c r="N4" s="11" t="n"/>
      <c r="O4" s="11" t="n"/>
      <c r="P4" s="11" t="n"/>
      <c r="Q4" s="11" t="n"/>
      <c r="R4" s="11" t="n"/>
      <c r="S4" s="11" t="n"/>
      <c r="T4" s="11" t="n"/>
      <c r="U4" s="11" t="n"/>
    </row>
    <row r="5" ht="6" customHeight="1">
      <c r="A5" s="12" t="n"/>
      <c r="B5" s="13" t="n"/>
      <c r="C5" s="13" t="n"/>
      <c r="D5" s="13" t="n"/>
      <c r="E5" s="13" t="n"/>
      <c r="F5" s="13" t="n"/>
      <c r="G5" s="13" t="n"/>
      <c r="H5" s="12" t="n"/>
      <c r="I5" s="13" t="n"/>
      <c r="J5" s="13" t="n"/>
      <c r="K5" s="13" t="n"/>
      <c r="L5" s="13" t="n"/>
      <c r="M5" s="13" t="n"/>
      <c r="N5" s="13" t="n"/>
      <c r="O5" s="12" t="n"/>
      <c r="P5" s="12" t="n"/>
      <c r="Q5" s="12" t="n"/>
      <c r="R5" s="12" t="n"/>
      <c r="S5" s="12" t="n"/>
      <c r="T5" s="12" t="n"/>
      <c r="U5" s="12" t="n"/>
    </row>
    <row r="6" ht="16" customHeight="1">
      <c r="A6" s="12" t="n"/>
      <c r="B6" s="14" t="inlineStr">
        <is>
          <t>TOTAL SCREENED</t>
        </is>
      </c>
      <c r="D6" s="14" t="inlineStr">
        <is>
          <t>PASSED FILTERS</t>
        </is>
      </c>
      <c r="F6" s="14" t="inlineStr">
        <is>
          <t>AVG COMBINED SCORE</t>
        </is>
      </c>
      <c r="H6" s="12" t="n"/>
      <c r="I6" s="14" t="inlineStr">
        <is>
          <t>AVG REV GROWTH</t>
        </is>
      </c>
      <c r="K6" s="14" t="inlineStr">
        <is>
          <t>AVG GROSS MARGIN</t>
        </is>
      </c>
      <c r="M6" s="14" t="inlineStr">
        <is>
          <t>HIGH CONVICTION</t>
        </is>
      </c>
      <c r="O6" s="12" t="n"/>
      <c r="P6" s="12" t="n"/>
      <c r="Q6" s="12" t="n"/>
      <c r="R6" s="12" t="n"/>
      <c r="S6" s="12" t="n"/>
      <c r="T6" s="12" t="n"/>
      <c r="U6" s="12" t="n"/>
    </row>
    <row r="7" ht="28" customHeight="1">
      <c r="A7" s="12" t="n"/>
      <c r="B7" s="15" t="inlineStr">
        <is>
          <t>40</t>
        </is>
      </c>
      <c r="D7" s="15" t="inlineStr">
        <is>
          <t>40</t>
        </is>
      </c>
      <c r="F7" s="15" t="inlineStr">
        <is>
          <t>71.4</t>
        </is>
      </c>
      <c r="H7" s="12" t="n"/>
      <c r="I7" s="15" t="inlineStr">
        <is>
          <t>71.9%</t>
        </is>
      </c>
      <c r="K7" s="15" t="inlineStr">
        <is>
          <t>42.3%</t>
        </is>
      </c>
      <c r="M7" s="15" t="inlineStr">
        <is>
          <t>0</t>
        </is>
      </c>
      <c r="O7" s="12" t="n"/>
      <c r="P7" s="12" t="n"/>
      <c r="Q7" s="12" t="n"/>
      <c r="R7" s="12" t="n"/>
      <c r="S7" s="12" t="n"/>
      <c r="T7" s="12" t="n"/>
      <c r="U7" s="12" t="n"/>
    </row>
    <row r="8" ht="6" customHeight="1">
      <c r="A8" s="12" t="n"/>
      <c r="B8" s="12" t="n"/>
      <c r="C8" s="12" t="n"/>
      <c r="D8" s="12" t="n"/>
      <c r="E8" s="12" t="n"/>
      <c r="F8" s="12" t="n"/>
      <c r="G8" s="12" t="n"/>
      <c r="H8" s="12" t="n"/>
      <c r="I8" s="12" t="n"/>
      <c r="J8" s="12" t="n"/>
      <c r="K8" s="12" t="n"/>
      <c r="L8" s="12" t="n"/>
      <c r="M8" s="12" t="n"/>
      <c r="N8" s="12" t="n"/>
      <c r="O8" s="12" t="n"/>
      <c r="P8" s="12" t="n"/>
      <c r="Q8" s="12" t="n"/>
      <c r="R8" s="12" t="n"/>
      <c r="S8" s="12" t="n"/>
      <c r="T8" s="12" t="n"/>
      <c r="U8" s="12" t="n"/>
    </row>
    <row r="9" ht="8" customHeight="1"/>
    <row r="10" ht="22" customHeight="1">
      <c r="B10" s="16" t="inlineStr">
        <is>
          <t xml:space="preserve">  Nano Cap</t>
        </is>
      </c>
      <c r="C10" s="17" t="n"/>
      <c r="D10" s="17" t="n"/>
      <c r="E10" s="17" t="n"/>
      <c r="F10" s="17" t="n"/>
      <c r="G10" s="16" t="inlineStr">
        <is>
          <t xml:space="preserve">  Small Cap</t>
        </is>
      </c>
      <c r="H10" s="17" t="n"/>
      <c r="I10" s="17" t="n"/>
      <c r="J10" s="17" t="n"/>
      <c r="K10" s="17" t="n"/>
      <c r="L10" s="16" t="inlineStr">
        <is>
          <t xml:space="preserve">  Breakout</t>
        </is>
      </c>
      <c r="M10" s="17" t="n"/>
      <c r="N10" s="17" t="n"/>
      <c r="O10" s="17" t="n"/>
      <c r="P10" s="17" t="n"/>
      <c r="Q10" s="16" t="inlineStr">
        <is>
          <t xml:space="preserve">  Vital Link</t>
        </is>
      </c>
      <c r="R10" s="17" t="n"/>
      <c r="S10" s="17" t="n"/>
      <c r="T10" s="17" t="n"/>
      <c r="U10" s="17" t="n"/>
    </row>
    <row r="11" ht="18" customHeight="1">
      <c r="B11" s="18" t="inlineStr">
        <is>
          <t>Ticker</t>
        </is>
      </c>
      <c r="C11" s="18" t="inlineStr">
        <is>
          <t>Company</t>
        </is>
      </c>
      <c r="D11" s="18" t="inlineStr">
        <is>
          <t>Mkt Cap</t>
        </is>
      </c>
      <c r="E11" s="18" t="inlineStr">
        <is>
          <t>Score</t>
        </is>
      </c>
      <c r="F11" s="18" t="inlineStr">
        <is>
          <t>Conviction</t>
        </is>
      </c>
      <c r="G11" s="18" t="inlineStr">
        <is>
          <t>Ticker</t>
        </is>
      </c>
      <c r="H11" s="18" t="inlineStr">
        <is>
          <t>Company</t>
        </is>
      </c>
      <c r="I11" s="18" t="inlineStr">
        <is>
          <t>Mkt Cap</t>
        </is>
      </c>
      <c r="J11" s="18" t="inlineStr">
        <is>
          <t>Score</t>
        </is>
      </c>
      <c r="K11" s="18" t="inlineStr">
        <is>
          <t>Conviction</t>
        </is>
      </c>
      <c r="L11" s="18" t="inlineStr">
        <is>
          <t>Ticker</t>
        </is>
      </c>
      <c r="M11" s="18" t="inlineStr">
        <is>
          <t>Company</t>
        </is>
      </c>
      <c r="N11" s="18" t="inlineStr">
        <is>
          <t>Mkt Cap</t>
        </is>
      </c>
      <c r="O11" s="18" t="inlineStr">
        <is>
          <t>Score</t>
        </is>
      </c>
      <c r="P11" s="18" t="inlineStr">
        <is>
          <t>Conviction</t>
        </is>
      </c>
      <c r="Q11" s="18" t="inlineStr">
        <is>
          <t>Ticker</t>
        </is>
      </c>
      <c r="R11" s="18" t="inlineStr">
        <is>
          <t>Company</t>
        </is>
      </c>
      <c r="S11" s="18" t="inlineStr">
        <is>
          <t>Mkt Cap</t>
        </is>
      </c>
      <c r="T11" s="18" t="inlineStr">
        <is>
          <t>Score</t>
        </is>
      </c>
      <c r="U11" s="18" t="inlineStr">
        <is>
          <t>Conviction</t>
        </is>
      </c>
    </row>
    <row r="12" ht="16" customHeight="1">
      <c r="B12" s="19" t="inlineStr">
        <is>
          <t>SODI</t>
        </is>
      </c>
      <c r="C12" s="20" t="inlineStr">
        <is>
          <t>Solitron Devices, Inc.</t>
        </is>
      </c>
      <c r="D12" s="21" t="n">
        <v>69.5</v>
      </c>
      <c r="E12" s="22" t="n">
        <v>81.3</v>
      </c>
      <c r="F12" s="23" t="inlineStr">
        <is>
          <t>Medium-High</t>
        </is>
      </c>
      <c r="G12" s="19" t="inlineStr">
        <is>
          <t>CLFD</t>
        </is>
      </c>
      <c r="H12" s="20" t="inlineStr">
        <is>
          <t>Clearfield, Inc.</t>
        </is>
      </c>
      <c r="I12" s="21" t="n">
        <v>394.6</v>
      </c>
      <c r="J12" s="24" t="n">
        <v>76.7</v>
      </c>
      <c r="K12" s="23" t="inlineStr">
        <is>
          <t>Medium-High</t>
        </is>
      </c>
      <c r="L12" s="19" t="inlineStr">
        <is>
          <t>KRMN</t>
        </is>
      </c>
      <c r="M12" s="20" t="inlineStr">
        <is>
          <t>Karman Holdings Inc.</t>
        </is>
      </c>
      <c r="N12" s="21" t="n">
        <v>5401.8</v>
      </c>
      <c r="O12" s="24" t="n">
        <v>78</v>
      </c>
      <c r="P12" s="23" t="inlineStr">
        <is>
          <t>Medium-High</t>
        </is>
      </c>
      <c r="Q12" s="19" t="inlineStr">
        <is>
          <t>MPWR</t>
        </is>
      </c>
      <c r="R12" s="20" t="inlineStr">
        <is>
          <t>Monolithic Power Systems, Inc.</t>
        </is>
      </c>
      <c r="S12" s="21" t="n">
        <v>60014.5</v>
      </c>
      <c r="T12" s="24" t="n">
        <v>73.5</v>
      </c>
      <c r="U12" s="25" t="inlineStr">
        <is>
          <t>Medium</t>
        </is>
      </c>
    </row>
    <row r="13" ht="16" customHeight="1">
      <c r="B13" s="26" t="inlineStr">
        <is>
          <t>SCTQ</t>
        </is>
      </c>
      <c r="C13" s="27" t="inlineStr">
        <is>
          <t>Spectra Systems Corporation</t>
        </is>
      </c>
      <c r="D13" s="28" t="n">
        <v>106.9</v>
      </c>
      <c r="E13" s="24" t="n">
        <v>78.5</v>
      </c>
      <c r="F13" s="23" t="inlineStr">
        <is>
          <t>Medium-High</t>
        </is>
      </c>
      <c r="G13" s="26" t="inlineStr">
        <is>
          <t>TRC</t>
        </is>
      </c>
      <c r="H13" s="27" t="inlineStr">
        <is>
          <t>Tejon Ranch Co.</t>
        </is>
      </c>
      <c r="I13" s="28" t="n">
        <v>446.5</v>
      </c>
      <c r="J13" s="24" t="n">
        <v>76.40000000000001</v>
      </c>
      <c r="K13" s="23" t="inlineStr">
        <is>
          <t>Medium-High</t>
        </is>
      </c>
      <c r="L13" s="26" t="inlineStr">
        <is>
          <t>AADX</t>
        </is>
      </c>
      <c r="M13" s="27" t="inlineStr">
        <is>
          <t>Applied Aerospace &amp; Defense, Inc.</t>
        </is>
      </c>
      <c r="N13" s="28" t="n">
        <v>2184.7</v>
      </c>
      <c r="O13" s="24" t="n">
        <v>75.09999999999999</v>
      </c>
      <c r="P13" s="23" t="inlineStr">
        <is>
          <t>Medium-High</t>
        </is>
      </c>
      <c r="Q13" s="26" t="inlineStr">
        <is>
          <t>MCHP</t>
        </is>
      </c>
      <c r="R13" s="27" t="inlineStr">
        <is>
          <t>Microchip Technology Incorporated</t>
        </is>
      </c>
      <c r="S13" s="28" t="n">
        <v>40144.6</v>
      </c>
      <c r="T13" s="24" t="n">
        <v>70</v>
      </c>
      <c r="U13" s="25" t="inlineStr">
        <is>
          <t>Medium</t>
        </is>
      </c>
    </row>
    <row r="14" ht="16" customHeight="1">
      <c r="B14" s="19" t="inlineStr">
        <is>
          <t>RELL</t>
        </is>
      </c>
      <c r="C14" s="20" t="inlineStr">
        <is>
          <t>Richardson Electronics, Ltd.</t>
        </is>
      </c>
      <c r="D14" s="21" t="n">
        <v>257.5</v>
      </c>
      <c r="E14" s="24" t="n">
        <v>75.7</v>
      </c>
      <c r="F14" s="23" t="inlineStr">
        <is>
          <t>Medium-High</t>
        </is>
      </c>
      <c r="G14" s="19" t="inlineStr">
        <is>
          <t>MRAM</t>
        </is>
      </c>
      <c r="H14" s="20" t="inlineStr">
        <is>
          <t>Everspin Technologies, Inc.</t>
        </is>
      </c>
      <c r="I14" s="21" t="n">
        <v>398.9</v>
      </c>
      <c r="J14" s="24" t="n">
        <v>73.90000000000001</v>
      </c>
      <c r="K14" s="25" t="inlineStr">
        <is>
          <t>Medium</t>
        </is>
      </c>
      <c r="L14" s="19" t="inlineStr">
        <is>
          <t>VSH</t>
        </is>
      </c>
      <c r="M14" s="20" t="inlineStr">
        <is>
          <t>Vishay Intertechnology, Inc.</t>
        </is>
      </c>
      <c r="N14" s="21" t="n">
        <v>4485</v>
      </c>
      <c r="O14" s="24" t="n">
        <v>73</v>
      </c>
      <c r="P14" s="25" t="inlineStr">
        <is>
          <t>Medium</t>
        </is>
      </c>
      <c r="Q14" s="19" t="inlineStr">
        <is>
          <t>HEI</t>
        </is>
      </c>
      <c r="R14" s="20" t="inlineStr">
        <is>
          <t>HEICO Corporation</t>
        </is>
      </c>
      <c r="S14" s="21" t="n">
        <v>44349.6</v>
      </c>
      <c r="T14" s="24" t="n">
        <v>69.90000000000001</v>
      </c>
      <c r="U14" s="25" t="inlineStr">
        <is>
          <t>Medium</t>
        </is>
      </c>
    </row>
    <row r="15" ht="16" customHeight="1">
      <c r="B15" s="26" t="inlineStr">
        <is>
          <t>GLTK</t>
        </is>
      </c>
      <c r="C15" s="27" t="inlineStr">
        <is>
          <t>GlobalTech Corporation</t>
        </is>
      </c>
      <c r="D15" s="28" t="n">
        <v>226.6</v>
      </c>
      <c r="E15" s="24" t="n">
        <v>74.59999999999999</v>
      </c>
      <c r="F15" s="25" t="inlineStr">
        <is>
          <t>Medium</t>
        </is>
      </c>
      <c r="G15" s="26" t="inlineStr">
        <is>
          <t>VPG</t>
        </is>
      </c>
      <c r="H15" s="27" t="inlineStr">
        <is>
          <t>Vishay Precision Group, Inc.</t>
        </is>
      </c>
      <c r="I15" s="28" t="n">
        <v>868.2</v>
      </c>
      <c r="J15" s="24" t="n">
        <v>72.90000000000001</v>
      </c>
      <c r="K15" s="25" t="inlineStr">
        <is>
          <t>Medium</t>
        </is>
      </c>
      <c r="L15" s="26" t="inlineStr">
        <is>
          <t>RUN</t>
        </is>
      </c>
      <c r="M15" s="27" t="inlineStr">
        <is>
          <t>Sunrun Inc.</t>
        </is>
      </c>
      <c r="N15" s="28" t="n">
        <v>2188.7</v>
      </c>
      <c r="O15" s="24" t="n">
        <v>72.8</v>
      </c>
      <c r="P15" s="25" t="inlineStr">
        <is>
          <t>Medium</t>
        </is>
      </c>
      <c r="Q15" s="26" t="inlineStr">
        <is>
          <t>UI</t>
        </is>
      </c>
      <c r="R15" s="27" t="inlineStr">
        <is>
          <t>Ubiquiti Inc.</t>
        </is>
      </c>
      <c r="S15" s="28" t="n">
        <v>34616.2</v>
      </c>
      <c r="T15" s="24" t="n">
        <v>68.59999999999999</v>
      </c>
      <c r="U15" s="25" t="inlineStr">
        <is>
          <t>Medium</t>
        </is>
      </c>
    </row>
    <row r="16" ht="16" customHeight="1">
      <c r="B16" s="19" t="inlineStr">
        <is>
          <t>INTT</t>
        </is>
      </c>
      <c r="C16" s="20" t="inlineStr">
        <is>
          <t>inTEST Corporation</t>
        </is>
      </c>
      <c r="D16" s="21" t="n">
        <v>146.3</v>
      </c>
      <c r="E16" s="24" t="n">
        <v>74.5</v>
      </c>
      <c r="F16" s="25" t="inlineStr">
        <is>
          <t>Medium</t>
        </is>
      </c>
      <c r="G16" s="19" t="inlineStr">
        <is>
          <t>CDRE</t>
        </is>
      </c>
      <c r="H16" s="20" t="inlineStr">
        <is>
          <t>Cadre Holdings, Inc.</t>
        </is>
      </c>
      <c r="I16" s="21" t="n">
        <v>1279.2</v>
      </c>
      <c r="J16" s="24" t="n">
        <v>72.2</v>
      </c>
      <c r="K16" s="25" t="inlineStr">
        <is>
          <t>Medium</t>
        </is>
      </c>
      <c r="L16" s="19" t="inlineStr">
        <is>
          <t>ESI</t>
        </is>
      </c>
      <c r="M16" s="20" t="inlineStr">
        <is>
          <t>Element Solutions Inc</t>
        </is>
      </c>
      <c r="N16" s="21" t="n">
        <v>8894.700000000001</v>
      </c>
      <c r="O16" s="24" t="n">
        <v>71.90000000000001</v>
      </c>
      <c r="P16" s="25" t="inlineStr">
        <is>
          <t>Medium</t>
        </is>
      </c>
      <c r="Q16" s="19" t="inlineStr">
        <is>
          <t>RBC</t>
        </is>
      </c>
      <c r="R16" s="20" t="inlineStr">
        <is>
          <t>RBC Bearings Incorporated</t>
        </is>
      </c>
      <c r="S16" s="21" t="n">
        <v>15470</v>
      </c>
      <c r="T16" s="24" t="n">
        <v>66.90000000000001</v>
      </c>
      <c r="U16" s="25" t="inlineStr">
        <is>
          <t>Medium</t>
        </is>
      </c>
    </row>
    <row r="19" ht="22" customHeight="1">
      <c r="B19" s="16" t="inlineStr">
        <is>
          <t>TOP PERFORMERS — Combined Score Ranking</t>
        </is>
      </c>
      <c r="C19" s="17" t="n"/>
      <c r="D19" s="17" t="n"/>
      <c r="E19" s="17" t="n"/>
      <c r="F19" s="17" t="n"/>
      <c r="G19" s="17" t="n"/>
      <c r="H19" s="17" t="n"/>
      <c r="I19" s="17" t="n"/>
      <c r="J19" s="17" t="n"/>
      <c r="K19" s="17" t="n"/>
      <c r="L19" s="17" t="n"/>
      <c r="M19" s="17" t="n"/>
      <c r="N19" s="17" t="n"/>
      <c r="O19" s="17" t="n"/>
      <c r="P19" s="17" t="n"/>
    </row>
    <row r="40">
      <c r="A40" s="29" t="inlineStr">
        <is>
          <t>Ticker</t>
        </is>
      </c>
      <c r="B40" s="29" t="inlineStr">
        <is>
          <t>Score</t>
        </is>
      </c>
      <c r="C40" s="29" t="inlineStr">
        <is>
          <t>Tier</t>
        </is>
      </c>
    </row>
    <row r="41">
      <c r="A41" t="inlineStr">
        <is>
          <t>SODI</t>
        </is>
      </c>
      <c r="B41" t="n">
        <v>81.3</v>
      </c>
      <c r="C41" t="inlineStr">
        <is>
          <t>Nano Cap</t>
        </is>
      </c>
    </row>
    <row r="42">
      <c r="A42" t="inlineStr">
        <is>
          <t>SCTQ</t>
        </is>
      </c>
      <c r="B42" t="n">
        <v>78.5</v>
      </c>
      <c r="C42" t="inlineStr">
        <is>
          <t>Nano Cap</t>
        </is>
      </c>
    </row>
    <row r="43">
      <c r="A43" t="inlineStr">
        <is>
          <t>KRMN</t>
        </is>
      </c>
      <c r="B43" t="n">
        <v>78</v>
      </c>
      <c r="C43" t="inlineStr">
        <is>
          <t>Breakout</t>
        </is>
      </c>
    </row>
    <row r="44">
      <c r="A44" t="inlineStr">
        <is>
          <t>CLFD</t>
        </is>
      </c>
      <c r="B44" t="n">
        <v>76.7</v>
      </c>
      <c r="C44" t="inlineStr">
        <is>
          <t>Small Cap</t>
        </is>
      </c>
    </row>
    <row r="45">
      <c r="A45" t="inlineStr">
        <is>
          <t>TRC</t>
        </is>
      </c>
      <c r="B45" t="n">
        <v>76.40000000000001</v>
      </c>
      <c r="C45" t="inlineStr">
        <is>
          <t>Small Cap</t>
        </is>
      </c>
    </row>
    <row r="46">
      <c r="A46" t="inlineStr">
        <is>
          <t>RELL</t>
        </is>
      </c>
      <c r="B46" t="n">
        <v>75.7</v>
      </c>
      <c r="C46" t="inlineStr">
        <is>
          <t>Nano Cap</t>
        </is>
      </c>
    </row>
    <row r="47">
      <c r="A47" t="inlineStr">
        <is>
          <t>AADX</t>
        </is>
      </c>
      <c r="B47" t="n">
        <v>75.09999999999999</v>
      </c>
      <c r="C47" t="inlineStr">
        <is>
          <t>Breakout</t>
        </is>
      </c>
    </row>
    <row r="48">
      <c r="A48" t="inlineStr">
        <is>
          <t>GLTK</t>
        </is>
      </c>
      <c r="B48" t="n">
        <v>74.59999999999999</v>
      </c>
      <c r="C48" t="inlineStr">
        <is>
          <t>Nano Cap</t>
        </is>
      </c>
    </row>
    <row r="49">
      <c r="A49" t="inlineStr">
        <is>
          <t>INTT</t>
        </is>
      </c>
      <c r="B49" t="n">
        <v>74.5</v>
      </c>
      <c r="C49" t="inlineStr">
        <is>
          <t>Nano Cap</t>
        </is>
      </c>
    </row>
    <row r="50">
      <c r="A50" t="inlineStr">
        <is>
          <t>AISP</t>
        </is>
      </c>
      <c r="B50" t="n">
        <v>74.3</v>
      </c>
      <c r="C50" t="inlineStr">
        <is>
          <t>Nano Cap</t>
        </is>
      </c>
    </row>
  </sheetData>
  <mergeCells count="20">
    <mergeCell ref="K3:U3"/>
    <mergeCell ref="I6:J6"/>
    <mergeCell ref="B7:C7"/>
    <mergeCell ref="F6:G6"/>
    <mergeCell ref="F7:G7"/>
    <mergeCell ref="D6:E6"/>
    <mergeCell ref="I7:J7"/>
    <mergeCell ref="B19:P19"/>
    <mergeCell ref="G10:K10"/>
    <mergeCell ref="Q10:U10"/>
    <mergeCell ref="A1:U2"/>
    <mergeCell ref="M7:N7"/>
    <mergeCell ref="D7:E7"/>
    <mergeCell ref="M6:N6"/>
    <mergeCell ref="B10:F10"/>
    <mergeCell ref="L10:P10"/>
    <mergeCell ref="B6:C6"/>
    <mergeCell ref="K7:L7"/>
    <mergeCell ref="A3:J3"/>
    <mergeCell ref="K6:L6"/>
  </mergeCells>
  <pageMargins left="0.75" right="0.75" top="1" bottom="1" header="0.5" footer="0.5"/>
  <pageSetup orientation="landscape" fitToWidth="1"/>
  <drawing xmlns:r="http://schemas.openxmlformats.org/officeDocument/2006/relationships" r:id="rId1"/>
</worksheet>
</file>

<file path=xl/worksheets/sheet2.xml><?xml version="1.0" encoding="utf-8"?>
<worksheet xmlns="http://schemas.openxmlformats.org/spreadsheetml/2006/main">
  <sheetPr>
    <tabColor rgb="004FC3F7"/>
    <outlinePr summaryBelow="1" summaryRight="1"/>
    <pageSetUpPr fitToPage="1"/>
  </sheetPr>
  <dimension ref="A1:V7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28" customWidth="1" min="3" max="3"/>
    <col width="14" customWidth="1" min="4" max="4"/>
    <col width="12"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2" customWidth="1" min="13" max="13"/>
    <col width="10" customWidth="1" min="14" max="14"/>
    <col width="14" customWidth="1" min="15" max="15"/>
    <col width="14" customWidth="1" min="16" max="16"/>
    <col width="12" customWidth="1" min="17" max="17"/>
    <col width="10" customWidth="1" min="18" max="18"/>
    <col width="10" customWidth="1" min="19" max="19"/>
    <col width="10" customWidth="1" min="20" max="20"/>
    <col width="10" customWidth="1" min="21" max="21"/>
    <col width="10" customWidth="1" min="22" max="22"/>
  </cols>
  <sheetData>
    <row r="1" ht="28" customHeight="1">
      <c r="A1" s="30" t="inlineStr">
        <is>
          <t>Nano Cap ($50M–$300M) — Screener Results</t>
        </is>
      </c>
      <c r="B1" s="11" t="n"/>
      <c r="C1" s="11" t="n"/>
      <c r="D1" s="11" t="n"/>
      <c r="E1" s="11" t="n"/>
      <c r="F1" s="11" t="n"/>
      <c r="G1" s="11" t="n"/>
      <c r="H1" s="11" t="n"/>
      <c r="I1" s="11" t="n"/>
      <c r="J1" s="11" t="n"/>
      <c r="K1" s="11" t="n"/>
      <c r="L1" s="11" t="n"/>
      <c r="M1" s="11" t="n"/>
      <c r="N1" s="11" t="n"/>
      <c r="O1" s="11" t="n"/>
      <c r="P1" s="11" t="n"/>
      <c r="Q1" s="11" t="n"/>
      <c r="R1" s="11" t="n"/>
      <c r="S1" s="11" t="n"/>
      <c r="T1" s="11" t="n"/>
      <c r="U1" s="11" t="n"/>
      <c r="V1" s="11" t="n"/>
    </row>
    <row r="2" ht="22" customHeight="1">
      <c r="A2" s="31" t="inlineStr">
        <is>
          <t>Top 10 by combined score  |  September 08, 2026</t>
        </is>
      </c>
      <c r="B2" s="12" t="n"/>
      <c r="C2" s="12" t="n"/>
      <c r="D2" s="12" t="n"/>
      <c r="E2" s="12" t="n"/>
      <c r="F2" s="12" t="n"/>
      <c r="G2" s="12" t="n"/>
      <c r="H2" s="12" t="n"/>
      <c r="I2" s="12" t="n"/>
      <c r="J2" s="12" t="n"/>
      <c r="K2" s="12" t="n"/>
      <c r="L2" s="12" t="n"/>
      <c r="M2" s="12" t="n"/>
      <c r="N2" s="12" t="n"/>
      <c r="O2" s="12" t="n"/>
      <c r="P2" s="12" t="n"/>
      <c r="Q2" s="12" t="n"/>
      <c r="R2" s="12" t="n"/>
      <c r="S2" s="12" t="n"/>
      <c r="T2" s="12" t="n"/>
      <c r="U2" s="12" t="n"/>
      <c r="V2" s="12" t="n"/>
    </row>
    <row r="3" ht="8" customHeight="1"/>
    <row r="4" ht="18" customHeight="1">
      <c r="A4" s="18" t="inlineStr">
        <is>
          <t>Rank</t>
        </is>
      </c>
      <c r="B4" s="18" t="inlineStr">
        <is>
          <t>Ticker</t>
        </is>
      </c>
      <c r="C4" s="18" t="inlineStr">
        <is>
          <t>Company Name</t>
        </is>
      </c>
      <c r="D4" s="18" t="inlineStr">
        <is>
          <t>Mkt Cap ($M)</t>
        </is>
      </c>
      <c r="E4" s="18" t="inlineStr">
        <is>
          <t>Price</t>
        </is>
      </c>
      <c r="F4" s="18" t="inlineStr">
        <is>
          <t>Rev Growth YoY</t>
        </is>
      </c>
      <c r="G4" s="18" t="inlineStr">
        <is>
          <t>Rev Accel</t>
        </is>
      </c>
      <c r="H4" s="18" t="inlineStr">
        <is>
          <t>Gross Margin</t>
        </is>
      </c>
      <c r="I4" s="18" t="inlineStr">
        <is>
          <t>Dilution 3yr</t>
        </is>
      </c>
      <c r="J4" s="18" t="inlineStr">
        <is>
          <t>Insider %</t>
        </is>
      </c>
      <c r="K4" s="18" t="inlineStr">
        <is>
          <t>Composite</t>
        </is>
      </c>
      <c r="L4" s="18" t="inlineStr">
        <is>
          <t>Fingerprint</t>
        </is>
      </c>
      <c r="M4" s="18" t="inlineStr">
        <is>
          <t>Combined</t>
        </is>
      </c>
      <c r="N4" s="18" t="inlineStr">
        <is>
          <t>WPS</t>
        </is>
      </c>
      <c r="O4" s="18" t="inlineStr">
        <is>
          <t>WPS Pattern</t>
        </is>
      </c>
      <c r="P4" s="18" t="inlineStr">
        <is>
          <t>Run Maturity</t>
        </is>
      </c>
      <c r="Q4" s="18" t="inlineStr">
        <is>
          <t>Conviction</t>
        </is>
      </c>
      <c r="R4" s="18" t="inlineStr">
        <is>
          <t>1M</t>
        </is>
      </c>
      <c r="S4" s="18" t="inlineStr">
        <is>
          <t>3M</t>
        </is>
      </c>
      <c r="T4" s="18" t="inlineStr">
        <is>
          <t>6M</t>
        </is>
      </c>
      <c r="U4" s="18" t="inlineStr">
        <is>
          <t>YTD</t>
        </is>
      </c>
      <c r="V4" s="18" t="inlineStr">
        <is>
          <t>1Y</t>
        </is>
      </c>
    </row>
    <row r="5" ht="16" customHeight="1">
      <c r="A5" s="32" t="n">
        <v>1</v>
      </c>
      <c r="B5" s="19" t="inlineStr">
        <is>
          <t>SODI</t>
        </is>
      </c>
      <c r="C5" s="20" t="inlineStr">
        <is>
          <t>Solitron Devices, Inc.</t>
        </is>
      </c>
      <c r="D5" s="21" t="n">
        <v>69.5</v>
      </c>
      <c r="E5" s="33" t="n">
        <v>32.3</v>
      </c>
      <c r="F5" s="34" t="n">
        <v>1.013</v>
      </c>
      <c r="G5" s="34" t="n">
        <v>1.332</v>
      </c>
      <c r="H5" s="34" t="n">
        <v>0.453</v>
      </c>
      <c r="I5" s="34" t="n">
        <v>0.033</v>
      </c>
      <c r="J5" s="34" t="n">
        <v>0.23</v>
      </c>
      <c r="K5" s="35" t="n">
        <v>100</v>
      </c>
      <c r="L5" s="35" t="n">
        <v>72.90000000000001</v>
      </c>
      <c r="M5" s="36" t="n">
        <v>81.3</v>
      </c>
      <c r="N5" s="22" t="n">
        <v>84.7</v>
      </c>
      <c r="O5" s="37" t="inlineStr">
        <is>
          <t>—</t>
        </is>
      </c>
      <c r="P5" s="38" t="n">
        <v>53.3</v>
      </c>
      <c r="Q5" s="23" t="inlineStr">
        <is>
          <t>Medium-High</t>
        </is>
      </c>
      <c r="R5" s="34" t="n">
        <v>-0.0164434</v>
      </c>
      <c r="S5" s="34" t="n">
        <v>0.4043478</v>
      </c>
      <c r="T5" s="34" t="n">
        <v>0.2971888</v>
      </c>
      <c r="U5" s="34" t="n">
        <v>0.7089947</v>
      </c>
      <c r="V5" s="34" t="n">
        <v>0.8044692999999999</v>
      </c>
    </row>
    <row r="6" ht="16" customHeight="1">
      <c r="A6" s="32" t="n">
        <v>2</v>
      </c>
      <c r="B6" s="26" t="inlineStr">
        <is>
          <t>SCTQ</t>
        </is>
      </c>
      <c r="C6" s="27" t="inlineStr">
        <is>
          <t>Spectra Systems Corporation</t>
        </is>
      </c>
      <c r="D6" s="28" t="n">
        <v>106.9</v>
      </c>
      <c r="E6" s="39" t="n">
        <v>2.24</v>
      </c>
      <c r="F6" s="40" t="n">
        <v>5.766</v>
      </c>
      <c r="G6" s="40" t="n">
        <v>0</v>
      </c>
      <c r="H6" s="40" t="n">
        <v>0.585</v>
      </c>
      <c r="I6" s="40" t="n">
        <v>0.052</v>
      </c>
      <c r="J6" s="40" t="n">
        <v>0.179</v>
      </c>
      <c r="K6" s="41" t="n">
        <v>84.8</v>
      </c>
      <c r="L6" s="41" t="n">
        <v>48.1</v>
      </c>
      <c r="M6" s="42" t="n">
        <v>78.5</v>
      </c>
      <c r="N6" s="22" t="n">
        <v>92</v>
      </c>
      <c r="O6" s="43" t="inlineStr">
        <is>
          <t>—</t>
        </is>
      </c>
      <c r="P6" s="44" t="n">
        <v>36.1</v>
      </c>
      <c r="Q6" s="23" t="inlineStr">
        <is>
          <t>Medium-High</t>
        </is>
      </c>
      <c r="R6" s="40" t="n">
        <v>0</v>
      </c>
      <c r="S6" s="40" t="n">
        <v>0.0516432</v>
      </c>
      <c r="T6" s="40" t="n">
        <v>0.1034483</v>
      </c>
      <c r="U6" s="40" t="n">
        <v>0.1034483</v>
      </c>
      <c r="V6" s="40" t="n">
        <v>0.1034483</v>
      </c>
    </row>
    <row r="7" ht="16" customHeight="1">
      <c r="A7" s="32" t="n">
        <v>3</v>
      </c>
      <c r="B7" s="19" t="inlineStr">
        <is>
          <t>RELL</t>
        </is>
      </c>
      <c r="C7" s="20" t="inlineStr">
        <is>
          <t>Richardson Electronics, Ltd.</t>
        </is>
      </c>
      <c r="D7" s="21" t="n">
        <v>257.5</v>
      </c>
      <c r="E7" s="33" t="n">
        <v>17.57</v>
      </c>
      <c r="F7" s="34" t="n">
        <v>0.276</v>
      </c>
      <c r="G7" s="34" t="n">
        <v>0.181</v>
      </c>
      <c r="H7" s="34" t="n">
        <v>0.312</v>
      </c>
      <c r="I7" s="34" t="n">
        <v>-0.079</v>
      </c>
      <c r="J7" s="34" t="n">
        <v>0.176</v>
      </c>
      <c r="K7" s="35" t="n">
        <v>81.40000000000001</v>
      </c>
      <c r="L7" s="35" t="n">
        <v>68.7</v>
      </c>
      <c r="M7" s="36" t="n">
        <v>75.7</v>
      </c>
      <c r="N7" s="22" t="n">
        <v>77.40000000000001</v>
      </c>
      <c r="O7" s="37" t="inlineStr">
        <is>
          <t>—</t>
        </is>
      </c>
      <c r="P7" s="38" t="n">
        <v>42.4</v>
      </c>
      <c r="Q7" s="23" t="inlineStr">
        <is>
          <t>Medium-High</t>
        </is>
      </c>
      <c r="R7" s="34" t="n">
        <v>-0.1495644</v>
      </c>
      <c r="S7" s="34" t="n">
        <v>0.0565244</v>
      </c>
      <c r="T7" s="34" t="n">
        <v>0.5715564</v>
      </c>
      <c r="U7" s="34" t="n">
        <v>0.6148897</v>
      </c>
      <c r="V7" s="34" t="n">
        <v>0.8245067</v>
      </c>
    </row>
    <row r="8" ht="16" customHeight="1">
      <c r="A8" s="32" t="n">
        <v>4</v>
      </c>
      <c r="B8" s="26" t="inlineStr">
        <is>
          <t>GLTK</t>
        </is>
      </c>
      <c r="C8" s="27" t="inlineStr">
        <is>
          <t>GlobalTech Corporation</t>
        </is>
      </c>
      <c r="D8" s="28" t="n">
        <v>226.6</v>
      </c>
      <c r="E8" s="39" t="n">
        <v>4.5</v>
      </c>
      <c r="F8" s="40" t="n">
        <v>0.975</v>
      </c>
      <c r="G8" s="40" t="n">
        <v>0.742</v>
      </c>
      <c r="H8" s="40" t="n">
        <v>0.292</v>
      </c>
      <c r="I8" s="40" t="n">
        <v>0.08400000000000001</v>
      </c>
      <c r="J8" s="40" t="n">
        <v>0.7759999999999999</v>
      </c>
      <c r="K8" s="41" t="n">
        <v>91.90000000000001</v>
      </c>
      <c r="L8" s="41" t="n">
        <v>64.8</v>
      </c>
      <c r="M8" s="42" t="n">
        <v>74.59999999999999</v>
      </c>
      <c r="N8" s="24" t="n">
        <v>65.8</v>
      </c>
      <c r="O8" s="43" t="inlineStr">
        <is>
          <t>—</t>
        </is>
      </c>
      <c r="P8" s="38" t="n">
        <v>40.4</v>
      </c>
      <c r="Q8" s="25" t="inlineStr">
        <is>
          <t>Medium</t>
        </is>
      </c>
      <c r="R8" s="40" t="n">
        <v>-0.1176471</v>
      </c>
      <c r="S8" s="40" t="n">
        <v>-0.1428571</v>
      </c>
      <c r="T8" s="40" t="n">
        <v>0.1450382</v>
      </c>
      <c r="U8" s="40" t="n">
        <v>-0.2462312</v>
      </c>
      <c r="V8" s="40" t="n">
        <v>-0.3181818</v>
      </c>
    </row>
    <row r="9" ht="16" customHeight="1">
      <c r="A9" s="32" t="n">
        <v>5</v>
      </c>
      <c r="B9" s="19" t="inlineStr">
        <is>
          <t>INTT</t>
        </is>
      </c>
      <c r="C9" s="20" t="inlineStr">
        <is>
          <t>inTEST Corporation</t>
        </is>
      </c>
      <c r="D9" s="21" t="n">
        <v>146.3</v>
      </c>
      <c r="E9" s="33" t="n">
        <v>11.59</v>
      </c>
      <c r="F9" s="34" t="n">
        <v>0.255</v>
      </c>
      <c r="G9" s="34" t="n">
        <v>0.427</v>
      </c>
      <c r="H9" s="34" t="n">
        <v>0.405</v>
      </c>
      <c r="I9" s="34" t="n">
        <v>0.036</v>
      </c>
      <c r="J9" s="34" t="n">
        <v>0.133</v>
      </c>
      <c r="K9" s="35" t="n">
        <v>85.3</v>
      </c>
      <c r="L9" s="35" t="n">
        <v>71.2</v>
      </c>
      <c r="M9" s="36" t="n">
        <v>74.5</v>
      </c>
      <c r="N9" s="24" t="n">
        <v>67.2</v>
      </c>
      <c r="O9" s="37" t="inlineStr">
        <is>
          <t>—</t>
        </is>
      </c>
      <c r="P9" s="44" t="n">
        <v>27.8</v>
      </c>
      <c r="Q9" s="25" t="inlineStr">
        <is>
          <t>Medium</t>
        </is>
      </c>
      <c r="R9" s="34" t="n">
        <v>-0.175089</v>
      </c>
      <c r="S9" s="34" t="n">
        <v>-0.2584773</v>
      </c>
      <c r="T9" s="34" t="n">
        <v>-0.1246224</v>
      </c>
      <c r="U9" s="34" t="n">
        <v>0.5515395000000001</v>
      </c>
      <c r="V9" s="34" t="n">
        <v>0.6097222</v>
      </c>
    </row>
    <row r="10" ht="16" customHeight="1">
      <c r="A10" s="32" t="n">
        <v>6</v>
      </c>
      <c r="B10" s="26" t="inlineStr">
        <is>
          <t>AISP</t>
        </is>
      </c>
      <c r="C10" s="27" t="inlineStr">
        <is>
          <t>Airship AI Holdings, Inc.</t>
        </is>
      </c>
      <c r="D10" s="28" t="n">
        <v>71.8</v>
      </c>
      <c r="E10" s="39" t="n">
        <v>2.085</v>
      </c>
      <c r="F10" s="40" t="n">
        <v>0.9209999999999999</v>
      </c>
      <c r="G10" s="40" t="n">
        <v>1.586</v>
      </c>
      <c r="H10" s="40" t="n">
        <v>0.7509999999999999</v>
      </c>
      <c r="I10" s="40" t="n">
        <v>0.211</v>
      </c>
      <c r="J10" s="40" t="n">
        <v>0.288</v>
      </c>
      <c r="K10" s="41" t="n">
        <v>87.09999999999999</v>
      </c>
      <c r="L10" s="41" t="n">
        <v>41.5</v>
      </c>
      <c r="M10" s="42" t="n">
        <v>74.3</v>
      </c>
      <c r="N10" s="22" t="n">
        <v>83.5</v>
      </c>
      <c r="O10" s="43" t="inlineStr">
        <is>
          <t>—</t>
        </is>
      </c>
      <c r="P10" s="44" t="n">
        <v>4.4</v>
      </c>
      <c r="Q10" s="25" t="inlineStr">
        <is>
          <t>Medium</t>
        </is>
      </c>
      <c r="R10" s="40" t="n">
        <v>0.007246376799999999</v>
      </c>
      <c r="S10" s="40" t="n">
        <v>-0.2553571</v>
      </c>
      <c r="T10" s="40" t="n">
        <v>-0.2132075</v>
      </c>
      <c r="U10" s="40" t="n">
        <v>-0.2785467</v>
      </c>
      <c r="V10" s="40" t="n">
        <v>-0.5162413</v>
      </c>
    </row>
    <row r="11" ht="16" customHeight="1">
      <c r="A11" s="32" t="n">
        <v>7</v>
      </c>
      <c r="B11" s="19" t="inlineStr">
        <is>
          <t>GLOO</t>
        </is>
      </c>
      <c r="C11" s="20" t="inlineStr">
        <is>
          <t>Gloo Holdings, Inc.</t>
        </is>
      </c>
      <c r="D11" s="21" t="n">
        <v>258.4</v>
      </c>
      <c r="E11" s="33" t="n">
        <v>3.17</v>
      </c>
      <c r="F11" s="34" t="n">
        <v>2.376</v>
      </c>
      <c r="G11" s="34" t="n">
        <v>1.496</v>
      </c>
      <c r="H11" s="34" t="n">
        <v>0.323</v>
      </c>
      <c r="I11" s="34" t="n">
        <v>0.028</v>
      </c>
      <c r="J11" s="34" t="n">
        <v>0.696</v>
      </c>
      <c r="K11" s="35" t="n">
        <v>96.09999999999999</v>
      </c>
      <c r="L11" s="35" t="n">
        <v>53</v>
      </c>
      <c r="M11" s="36" t="n">
        <v>73</v>
      </c>
      <c r="N11" s="24" t="n">
        <v>65.2</v>
      </c>
      <c r="O11" s="37" t="inlineStr">
        <is>
          <t>—</t>
        </is>
      </c>
      <c r="P11" s="44" t="n">
        <v>1.8</v>
      </c>
      <c r="Q11" s="25" t="inlineStr">
        <is>
          <t>Medium</t>
        </is>
      </c>
      <c r="R11" s="34" t="n">
        <v>-0.1169916</v>
      </c>
      <c r="S11" s="34" t="n">
        <v>-0.3759843</v>
      </c>
      <c r="T11" s="34" t="n">
        <v>-0.4672269</v>
      </c>
      <c r="U11" s="34" t="n">
        <v>-0.4428822</v>
      </c>
      <c r="V11" s="34" t="n">
        <v>-0.60375</v>
      </c>
    </row>
    <row r="12" ht="16" customHeight="1">
      <c r="A12" s="32" t="n">
        <v>8</v>
      </c>
      <c r="B12" s="26" t="inlineStr">
        <is>
          <t>ROC</t>
        </is>
      </c>
      <c r="C12" s="27" t="inlineStr">
        <is>
          <t>Rank One Computing Corp.</t>
        </is>
      </c>
      <c r="D12" s="28" t="n">
        <v>79.8</v>
      </c>
      <c r="E12" s="39" t="n">
        <v>4.29</v>
      </c>
      <c r="F12" s="40" t="n">
        <v>0.927</v>
      </c>
      <c r="G12" s="40" t="n">
        <v>0</v>
      </c>
      <c r="H12" s="40" t="n">
        <v>0.897</v>
      </c>
      <c r="I12" s="40" t="n">
        <v>0.003</v>
      </c>
      <c r="J12" s="40" t="n">
        <v>0.718</v>
      </c>
      <c r="K12" s="41" t="n">
        <v>85</v>
      </c>
      <c r="L12" s="41" t="n">
        <v>47.3</v>
      </c>
      <c r="M12" s="42" t="n">
        <v>72.7</v>
      </c>
      <c r="N12" s="22" t="n">
        <v>77.8</v>
      </c>
      <c r="O12" s="43" t="inlineStr">
        <is>
          <t>—</t>
        </is>
      </c>
      <c r="P12" s="44" t="n">
        <v>6.1</v>
      </c>
      <c r="Q12" s="25" t="inlineStr">
        <is>
          <t>Medium</t>
        </is>
      </c>
      <c r="R12" s="40" t="n">
        <v>-0.0272109</v>
      </c>
      <c r="S12" s="40" t="n">
        <v>-0.0793991</v>
      </c>
      <c r="T12" s="40" t="n">
        <v>-0.3254717</v>
      </c>
      <c r="U12" s="40" t="n">
        <v>-0.3035714</v>
      </c>
      <c r="V12" s="40" t="n">
        <v>-0.3035714</v>
      </c>
    </row>
    <row r="13" ht="16" customHeight="1">
      <c r="A13" s="32" t="n">
        <v>9</v>
      </c>
      <c r="B13" s="19" t="inlineStr">
        <is>
          <t>LTRX</t>
        </is>
      </c>
      <c r="C13" s="20" t="inlineStr">
        <is>
          <t>Lantronix, Inc.</t>
        </is>
      </c>
      <c r="D13" s="21" t="n">
        <v>237.1</v>
      </c>
      <c r="E13" s="33" t="n">
        <v>5.335</v>
      </c>
      <c r="F13" s="34" t="n">
        <v>0.08</v>
      </c>
      <c r="G13" s="34" t="n">
        <v>0.492</v>
      </c>
      <c r="H13" s="34" t="n">
        <v>0.4370000000000001</v>
      </c>
      <c r="I13" s="34" t="n">
        <v>0.141</v>
      </c>
      <c r="J13" s="34" t="n">
        <v>0.225</v>
      </c>
      <c r="K13" s="35" t="n">
        <v>67.5</v>
      </c>
      <c r="L13" s="35" t="n">
        <v>61.6</v>
      </c>
      <c r="M13" s="36" t="n">
        <v>70.59999999999999</v>
      </c>
      <c r="N13" s="22" t="n">
        <v>79</v>
      </c>
      <c r="O13" s="37" t="inlineStr">
        <is>
          <t>—</t>
        </is>
      </c>
      <c r="P13" s="44" t="n">
        <v>11.3</v>
      </c>
      <c r="Q13" s="25" t="inlineStr">
        <is>
          <t>Medium</t>
        </is>
      </c>
      <c r="R13" s="34" t="n">
        <v>-0.1063652</v>
      </c>
      <c r="S13" s="34" t="n">
        <v>-0.2061012</v>
      </c>
      <c r="T13" s="34" t="n">
        <v>-0.0557522</v>
      </c>
      <c r="U13" s="34" t="n">
        <v>-0.0895904</v>
      </c>
      <c r="V13" s="34" t="n">
        <v>0.1184486</v>
      </c>
    </row>
    <row r="14" ht="16" customHeight="1">
      <c r="A14" s="32" t="n">
        <v>10</v>
      </c>
      <c r="B14" s="26" t="inlineStr">
        <is>
          <t>QUIK</t>
        </is>
      </c>
      <c r="C14" s="27" t="inlineStr">
        <is>
          <t>QuickLogic Corporation</t>
        </is>
      </c>
      <c r="D14" s="28" t="n">
        <v>197.1</v>
      </c>
      <c r="E14" s="39" t="n">
        <v>11.125</v>
      </c>
      <c r="F14" s="40" t="n">
        <v>0.487</v>
      </c>
      <c r="G14" s="40" t="n">
        <v>0.5870000000000001</v>
      </c>
      <c r="H14" s="40" t="n">
        <v>0.439</v>
      </c>
      <c r="I14" s="40" t="n">
        <v>0.283</v>
      </c>
      <c r="J14" s="40" t="n">
        <v>0.06</v>
      </c>
      <c r="K14" s="41" t="n">
        <v>74.59999999999999</v>
      </c>
      <c r="L14" s="41" t="n">
        <v>57.6</v>
      </c>
      <c r="M14" s="42" t="n">
        <v>70.2</v>
      </c>
      <c r="N14" s="22" t="n">
        <v>75.59999999999999</v>
      </c>
      <c r="O14" s="43" t="inlineStr">
        <is>
          <t>—</t>
        </is>
      </c>
      <c r="P14" s="38" t="n">
        <v>41.7</v>
      </c>
      <c r="Q14" s="25" t="inlineStr">
        <is>
          <t>Medium</t>
        </is>
      </c>
      <c r="R14" s="40" t="n">
        <v>-0.2338154</v>
      </c>
      <c r="S14" s="40" t="n">
        <v>-0.4646295</v>
      </c>
      <c r="T14" s="40" t="n">
        <v>0.2772675</v>
      </c>
      <c r="U14" s="40" t="n">
        <v>0.8510814999999999</v>
      </c>
      <c r="V14" s="40" t="n">
        <v>1.1942801</v>
      </c>
    </row>
    <row r="17" ht="22" customHeight="1">
      <c r="A17" s="16" t="inlineStr">
        <is>
          <t>SCORE COMPONENT BREAKDOWN</t>
        </is>
      </c>
      <c r="B17" s="17" t="n"/>
      <c r="C17" s="17" t="n"/>
      <c r="D17" s="17" t="n"/>
      <c r="E17" s="17" t="n"/>
      <c r="F17" s="17" t="n"/>
      <c r="G17" s="17" t="n"/>
      <c r="H17" s="17" t="n"/>
      <c r="I17" s="17" t="n"/>
      <c r="J17" s="17" t="n"/>
      <c r="K17" s="17" t="n"/>
      <c r="L17" s="17" t="n"/>
      <c r="M17" s="17" t="n"/>
      <c r="N17" s="17" t="n"/>
      <c r="O17" s="17" t="n"/>
      <c r="P17" s="17" t="n"/>
      <c r="Q17" s="17" t="n"/>
      <c r="R17" s="17" t="n"/>
      <c r="S17" s="17" t="n"/>
      <c r="T17" s="17" t="n"/>
      <c r="U17" s="17" t="n"/>
      <c r="V17" s="17" t="n"/>
    </row>
    <row r="18" ht="18" customHeight="1">
      <c r="A18" s="18" t="inlineStr">
        <is>
          <t>Ticker</t>
        </is>
      </c>
      <c r="B18" s="18" t="inlineStr">
        <is>
          <t>Rev Growth</t>
        </is>
      </c>
      <c r="C18" s="18" t="inlineStr">
        <is>
          <t>Gross Margin</t>
        </is>
      </c>
      <c r="D18" s="18" t="inlineStr">
        <is>
          <t>Dilution</t>
        </is>
      </c>
      <c r="E18" s="18" t="inlineStr">
        <is>
          <t>Insider Own</t>
        </is>
      </c>
      <c r="F18" s="18" t="inlineStr">
        <is>
          <t>Acceleration</t>
        </is>
      </c>
    </row>
    <row r="19" ht="16" customHeight="1">
      <c r="A19" s="19" t="inlineStr">
        <is>
          <t>SODI</t>
        </is>
      </c>
      <c r="B19" s="35" t="n">
        <v>100</v>
      </c>
      <c r="C19" s="35" t="n">
        <v>100</v>
      </c>
      <c r="D19" s="35" t="n">
        <v>100</v>
      </c>
      <c r="E19" s="35" t="n">
        <v>100</v>
      </c>
      <c r="F19" s="35" t="n">
        <v>100</v>
      </c>
    </row>
    <row r="20" ht="16" customHeight="1">
      <c r="A20" s="26" t="inlineStr">
        <is>
          <t>SCTQ</t>
        </is>
      </c>
      <c r="B20" s="41" t="n">
        <v>100</v>
      </c>
      <c r="C20" s="41" t="n">
        <v>100</v>
      </c>
      <c r="D20" s="41" t="n">
        <v>99.2</v>
      </c>
      <c r="E20" s="41" t="n">
        <v>100</v>
      </c>
      <c r="F20" s="41" t="n">
        <v>50</v>
      </c>
    </row>
    <row r="21" ht="16" customHeight="1">
      <c r="A21" s="19" t="inlineStr">
        <is>
          <t>RELL</t>
        </is>
      </c>
      <c r="B21" s="35" t="n">
        <v>55.2</v>
      </c>
      <c r="C21" s="35" t="n">
        <v>78</v>
      </c>
      <c r="D21" s="35" t="n">
        <v>100</v>
      </c>
      <c r="E21" s="35" t="n">
        <v>100</v>
      </c>
      <c r="F21" s="35" t="n">
        <v>95.2</v>
      </c>
    </row>
    <row r="22" ht="16" customHeight="1">
      <c r="A22" s="26" t="inlineStr">
        <is>
          <t>GLTK</t>
        </is>
      </c>
      <c r="B22" s="41" t="n">
        <v>100</v>
      </c>
      <c r="C22" s="41" t="n">
        <v>73</v>
      </c>
      <c r="D22" s="41" t="n">
        <v>86.40000000000001</v>
      </c>
      <c r="E22" s="41" t="n">
        <v>100</v>
      </c>
      <c r="F22" s="41" t="n">
        <v>100</v>
      </c>
    </row>
    <row r="23" ht="16" customHeight="1">
      <c r="A23" s="19" t="inlineStr">
        <is>
          <t>INTT</t>
        </is>
      </c>
      <c r="B23" s="35" t="n">
        <v>51</v>
      </c>
      <c r="C23" s="35" t="n">
        <v>100</v>
      </c>
      <c r="D23" s="35" t="n">
        <v>100</v>
      </c>
      <c r="E23" s="35" t="n">
        <v>100</v>
      </c>
      <c r="F23" s="35" t="n">
        <v>100</v>
      </c>
    </row>
    <row r="24" ht="16" customHeight="1">
      <c r="A24" s="26" t="inlineStr">
        <is>
          <t>AISP</t>
        </is>
      </c>
      <c r="B24" s="41" t="n">
        <v>100</v>
      </c>
      <c r="C24" s="41" t="n">
        <v>100</v>
      </c>
      <c r="D24" s="41" t="n">
        <v>35.6</v>
      </c>
      <c r="E24" s="41" t="n">
        <v>100</v>
      </c>
      <c r="F24" s="41" t="n">
        <v>100</v>
      </c>
    </row>
    <row r="25" ht="16" customHeight="1">
      <c r="A25" s="19" t="inlineStr">
        <is>
          <t>GLOO</t>
        </is>
      </c>
      <c r="B25" s="35" t="n">
        <v>100</v>
      </c>
      <c r="C25" s="35" t="n">
        <v>80.7</v>
      </c>
      <c r="D25" s="35" t="n">
        <v>100</v>
      </c>
      <c r="E25" s="35" t="n">
        <v>100</v>
      </c>
      <c r="F25" s="35" t="n">
        <v>100</v>
      </c>
    </row>
    <row r="26" ht="16" customHeight="1">
      <c r="A26" s="26" t="inlineStr">
        <is>
          <t>ROC</t>
        </is>
      </c>
      <c r="B26" s="41" t="n">
        <v>100</v>
      </c>
      <c r="C26" s="41" t="n">
        <v>100</v>
      </c>
      <c r="D26" s="41" t="n">
        <v>100</v>
      </c>
      <c r="E26" s="41" t="n">
        <v>100</v>
      </c>
      <c r="F26" s="41" t="n">
        <v>50</v>
      </c>
    </row>
    <row r="27" ht="16" customHeight="1">
      <c r="A27" s="19" t="inlineStr">
        <is>
          <t>LTRX</t>
        </is>
      </c>
      <c r="B27" s="35" t="n">
        <v>16</v>
      </c>
      <c r="C27" s="35" t="n">
        <v>100</v>
      </c>
      <c r="D27" s="35" t="n">
        <v>63.6</v>
      </c>
      <c r="E27" s="35" t="n">
        <v>100</v>
      </c>
      <c r="F27" s="35" t="n">
        <v>100</v>
      </c>
    </row>
    <row r="28" ht="16" customHeight="1">
      <c r="A28" s="26" t="inlineStr">
        <is>
          <t>QUIK</t>
        </is>
      </c>
      <c r="B28" s="41" t="n">
        <v>97.40000000000001</v>
      </c>
      <c r="C28" s="41" t="n">
        <v>100</v>
      </c>
      <c r="D28" s="41" t="n">
        <v>6.8</v>
      </c>
      <c r="E28" s="41" t="n">
        <v>60</v>
      </c>
      <c r="F28" s="41" t="n">
        <v>100</v>
      </c>
    </row>
    <row r="60">
      <c r="A60" t="inlineStr">
        <is>
          <t>Ticker</t>
        </is>
      </c>
      <c r="B60" t="inlineStr">
        <is>
          <t>Gross Margin</t>
        </is>
      </c>
      <c r="C60" t="inlineStr">
        <is>
          <t>Rev Growth</t>
        </is>
      </c>
      <c r="D60" t="inlineStr">
        <is>
          <t>Mkt Cap</t>
        </is>
      </c>
    </row>
    <row r="61">
      <c r="A61" t="inlineStr">
        <is>
          <t>SODI</t>
        </is>
      </c>
      <c r="B61" t="n">
        <v>45.3</v>
      </c>
      <c r="C61" t="n">
        <v>101.3</v>
      </c>
      <c r="D61" t="n">
        <v>69.5</v>
      </c>
    </row>
    <row r="62">
      <c r="A62" t="inlineStr">
        <is>
          <t>SCTQ</t>
        </is>
      </c>
      <c r="B62" t="n">
        <v>58.5</v>
      </c>
      <c r="C62" t="n">
        <v>576.6</v>
      </c>
      <c r="D62" t="n">
        <v>106.9</v>
      </c>
    </row>
    <row r="63">
      <c r="A63" t="inlineStr">
        <is>
          <t>RELL</t>
        </is>
      </c>
      <c r="B63" t="n">
        <v>31.2</v>
      </c>
      <c r="C63" t="n">
        <v>27.6</v>
      </c>
      <c r="D63" t="n">
        <v>257.5</v>
      </c>
    </row>
    <row r="64">
      <c r="A64" t="inlineStr">
        <is>
          <t>GLTK</t>
        </is>
      </c>
      <c r="B64" t="n">
        <v>29.2</v>
      </c>
      <c r="C64" t="n">
        <v>97.5</v>
      </c>
      <c r="D64" t="n">
        <v>226.6</v>
      </c>
    </row>
    <row r="65">
      <c r="A65" t="inlineStr">
        <is>
          <t>INTT</t>
        </is>
      </c>
      <c r="B65" t="n">
        <v>40.5</v>
      </c>
      <c r="C65" t="n">
        <v>25.5</v>
      </c>
      <c r="D65" t="n">
        <v>146.3</v>
      </c>
    </row>
    <row r="66">
      <c r="A66" t="inlineStr">
        <is>
          <t>AISP</t>
        </is>
      </c>
      <c r="B66" t="n">
        <v>75.09999999999999</v>
      </c>
      <c r="C66" t="n">
        <v>92.09999999999999</v>
      </c>
      <c r="D66" t="n">
        <v>71.8</v>
      </c>
    </row>
    <row r="67">
      <c r="A67" t="inlineStr">
        <is>
          <t>GLOO</t>
        </is>
      </c>
      <c r="B67" t="n">
        <v>32.3</v>
      </c>
      <c r="C67" t="n">
        <v>237.6</v>
      </c>
      <c r="D67" t="n">
        <v>258.4</v>
      </c>
    </row>
    <row r="68">
      <c r="A68" t="inlineStr">
        <is>
          <t>ROC</t>
        </is>
      </c>
      <c r="B68" t="n">
        <v>89.7</v>
      </c>
      <c r="C68" t="n">
        <v>92.7</v>
      </c>
      <c r="D68" t="n">
        <v>79.8</v>
      </c>
    </row>
    <row r="69">
      <c r="A69" t="inlineStr">
        <is>
          <t>LTRX</t>
        </is>
      </c>
      <c r="B69" t="n">
        <v>43.7</v>
      </c>
      <c r="C69" t="n">
        <v>8</v>
      </c>
      <c r="D69" t="n">
        <v>237.1</v>
      </c>
    </row>
    <row r="70">
      <c r="A70" t="inlineStr">
        <is>
          <t>QUIK</t>
        </is>
      </c>
      <c r="B70" t="n">
        <v>43.9</v>
      </c>
      <c r="C70" t="n">
        <v>48.7</v>
      </c>
      <c r="D70" t="n">
        <v>197.1</v>
      </c>
    </row>
  </sheetData>
  <mergeCells count="3">
    <mergeCell ref="A2:V2"/>
    <mergeCell ref="A1:V1"/>
    <mergeCell ref="A17:V17"/>
  </mergeCells>
  <conditionalFormatting sqref="K5:K14">
    <cfRule type="colorScale" priority="1">
      <colorScale>
        <cfvo type="num" val="0"/>
        <cfvo type="num" val="50"/>
        <cfvo type="num" val="100"/>
        <color rgb="00C1121F"/>
        <color rgb="00F9C74F"/>
        <color rgb="001A6B3C"/>
      </colorScale>
    </cfRule>
  </conditionalFormatting>
  <conditionalFormatting sqref="L5:L14">
    <cfRule type="colorScale" priority="2">
      <colorScale>
        <cfvo type="num" val="0"/>
        <cfvo type="num" val="50"/>
        <cfvo type="num" val="100"/>
        <color rgb="00C1121F"/>
        <color rgb="00F9C74F"/>
        <color rgb="001A6B3C"/>
      </colorScale>
    </cfRule>
  </conditionalFormatting>
  <conditionalFormatting sqref="M5:M14">
    <cfRule type="colorScale" priority="3">
      <colorScale>
        <cfvo type="num" val="0"/>
        <cfvo type="num" val="50"/>
        <cfvo type="num" val="100"/>
        <color rgb="00C1121F"/>
        <color rgb="00F9C74F"/>
        <color rgb="001A6B3C"/>
      </colorScale>
    </cfRule>
  </conditionalFormatting>
  <conditionalFormatting sqref="N5:N14">
    <cfRule type="colorScale" priority="4">
      <colorScale>
        <cfvo type="num" val="0"/>
        <cfvo type="num" val="50"/>
        <cfvo type="num" val="100"/>
        <color rgb="00C1121F"/>
        <color rgb="00F9C74F"/>
        <color rgb="001A6B3C"/>
      </colorScale>
    </cfRule>
  </conditionalFormatting>
  <conditionalFormatting sqref="P5:P14">
    <cfRule type="colorScale" priority="5">
      <colorScale>
        <cfvo type="min"/>
        <cfvo type="max"/>
        <color rgb="002A9D8F"/>
        <color rgb="00E76F51"/>
      </colorScale>
    </cfRule>
  </conditionalFormatting>
  <conditionalFormatting sqref="F5:F14">
    <cfRule type="colorScale" priority="6">
      <colorScale>
        <cfvo type="min"/>
        <cfvo type="max"/>
        <color rgb="00FFFFFF"/>
        <color rgb="002A9D8F"/>
      </colorScale>
    </cfRule>
  </conditionalFormatting>
  <conditionalFormatting sqref="H5:H14">
    <cfRule type="colorScale" priority="7">
      <colorScale>
        <cfvo type="min"/>
        <cfvo type="max"/>
        <color rgb="00FFFFFF"/>
        <color rgb="002A9D8F"/>
      </colorScale>
    </cfRule>
  </conditionalFormatting>
  <conditionalFormatting sqref="I5:I14">
    <cfRule type="colorScale" priority="8">
      <colorScale>
        <cfvo type="min"/>
        <cfvo type="max"/>
        <color rgb="002A9D8F"/>
        <color rgb="00E76F51"/>
      </colorScale>
    </cfRule>
  </conditionalFormatting>
  <conditionalFormatting sqref="J5:J14">
    <cfRule type="colorScale" priority="9">
      <colorScale>
        <cfvo type="min"/>
        <cfvo type="max"/>
        <color rgb="00FFFFFF"/>
        <color rgb="002A9D8F"/>
      </colorScale>
    </cfRule>
  </conditionalFormatting>
  <conditionalFormatting sqref="R5:R14">
    <cfRule type="colorScale" priority="10">
      <colorScale>
        <cfvo type="min"/>
        <cfvo type="num" val="0"/>
        <cfvo type="max"/>
        <color rgb="00E76F51"/>
        <color rgb="00FFFFFF"/>
        <color rgb="002A9D8F"/>
      </colorScale>
    </cfRule>
  </conditionalFormatting>
  <conditionalFormatting sqref="S5:S14">
    <cfRule type="colorScale" priority="11">
      <colorScale>
        <cfvo type="min"/>
        <cfvo type="num" val="0"/>
        <cfvo type="max"/>
        <color rgb="00E76F51"/>
        <color rgb="00FFFFFF"/>
        <color rgb="002A9D8F"/>
      </colorScale>
    </cfRule>
  </conditionalFormatting>
  <conditionalFormatting sqref="T5:T14">
    <cfRule type="colorScale" priority="12">
      <colorScale>
        <cfvo type="min"/>
        <cfvo type="num" val="0"/>
        <cfvo type="max"/>
        <color rgb="00E76F51"/>
        <color rgb="00FFFFFF"/>
        <color rgb="002A9D8F"/>
      </colorScale>
    </cfRule>
  </conditionalFormatting>
  <conditionalFormatting sqref="U5:U14">
    <cfRule type="colorScale" priority="13">
      <colorScale>
        <cfvo type="min"/>
        <cfvo type="num" val="0"/>
        <cfvo type="max"/>
        <color rgb="00E76F51"/>
        <color rgb="00FFFFFF"/>
        <color rgb="002A9D8F"/>
      </colorScale>
    </cfRule>
  </conditionalFormatting>
  <conditionalFormatting sqref="V5:V14">
    <cfRule type="colorScale" priority="14">
      <colorScale>
        <cfvo type="min"/>
        <cfvo type="num" val="0"/>
        <cfvo type="max"/>
        <color rgb="00E76F51"/>
        <color rgb="00FFFFFF"/>
        <color rgb="002A9D8F"/>
      </colorScale>
    </cfRule>
  </conditionalFormatting>
  <conditionalFormatting sqref="B19:B28">
    <cfRule type="colorScale" priority="15">
      <colorScale>
        <cfvo type="num" val="0"/>
        <cfvo type="num" val="50"/>
        <cfvo type="num" val="100"/>
        <color rgb="00C1121F"/>
        <color rgb="00F9C74F"/>
        <color rgb="001A6B3C"/>
      </colorScale>
    </cfRule>
  </conditionalFormatting>
  <conditionalFormatting sqref="C19:C28">
    <cfRule type="colorScale" priority="16">
      <colorScale>
        <cfvo type="num" val="0"/>
        <cfvo type="num" val="50"/>
        <cfvo type="num" val="100"/>
        <color rgb="00C1121F"/>
        <color rgb="00F9C74F"/>
        <color rgb="001A6B3C"/>
      </colorScale>
    </cfRule>
  </conditionalFormatting>
  <conditionalFormatting sqref="D19:D28">
    <cfRule type="colorScale" priority="17">
      <colorScale>
        <cfvo type="num" val="0"/>
        <cfvo type="num" val="50"/>
        <cfvo type="num" val="100"/>
        <color rgb="00C1121F"/>
        <color rgb="00F9C74F"/>
        <color rgb="001A6B3C"/>
      </colorScale>
    </cfRule>
  </conditionalFormatting>
  <conditionalFormatting sqref="E19:E28">
    <cfRule type="colorScale" priority="18">
      <colorScale>
        <cfvo type="num" val="0"/>
        <cfvo type="num" val="50"/>
        <cfvo type="num" val="100"/>
        <color rgb="00C1121F"/>
        <color rgb="00F9C74F"/>
        <color rgb="001A6B3C"/>
      </colorScale>
    </cfRule>
  </conditionalFormatting>
  <conditionalFormatting sqref="F19:F28">
    <cfRule type="colorScale" priority="19">
      <colorScale>
        <cfvo type="num" val="0"/>
        <cfvo type="num" val="50"/>
        <cfvo type="num" val="100"/>
        <color rgb="00C1121F"/>
        <color rgb="00F9C74F"/>
        <color rgb="001A6B3C"/>
      </colorScale>
    </cfRule>
  </conditionalFormatting>
  <pageMargins left="0.75" right="0.75" top="1" bottom="1" header="0.5" footer="0.5"/>
  <pageSetup orientation="landscape" fitToWidth="1"/>
  <drawing xmlns:r="http://schemas.openxmlformats.org/officeDocument/2006/relationships" r:id="rId1"/>
</worksheet>
</file>

<file path=xl/worksheets/sheet3.xml><?xml version="1.0" encoding="utf-8"?>
<worksheet xmlns="http://schemas.openxmlformats.org/spreadsheetml/2006/main">
  <sheetPr>
    <tabColor rgb="002A9D8F"/>
    <outlinePr summaryBelow="1" summaryRight="1"/>
    <pageSetUpPr fitToPage="1"/>
  </sheetPr>
  <dimension ref="A1:V7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28" customWidth="1" min="3" max="3"/>
    <col width="14" customWidth="1" min="4" max="4"/>
    <col width="12"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2" customWidth="1" min="13" max="13"/>
    <col width="10" customWidth="1" min="14" max="14"/>
    <col width="14" customWidth="1" min="15" max="15"/>
    <col width="14" customWidth="1" min="16" max="16"/>
    <col width="12" customWidth="1" min="17" max="17"/>
    <col width="10" customWidth="1" min="18" max="18"/>
    <col width="10" customWidth="1" min="19" max="19"/>
    <col width="10" customWidth="1" min="20" max="20"/>
    <col width="10" customWidth="1" min="21" max="21"/>
    <col width="10" customWidth="1" min="22" max="22"/>
  </cols>
  <sheetData>
    <row r="1" ht="28" customHeight="1">
      <c r="A1" s="30" t="inlineStr">
        <is>
          <t>Small Cap ($300M–$2B) — Screener Results</t>
        </is>
      </c>
      <c r="B1" s="11" t="n"/>
      <c r="C1" s="11" t="n"/>
      <c r="D1" s="11" t="n"/>
      <c r="E1" s="11" t="n"/>
      <c r="F1" s="11" t="n"/>
      <c r="G1" s="11" t="n"/>
      <c r="H1" s="11" t="n"/>
      <c r="I1" s="11" t="n"/>
      <c r="J1" s="11" t="n"/>
      <c r="K1" s="11" t="n"/>
      <c r="L1" s="11" t="n"/>
      <c r="M1" s="11" t="n"/>
      <c r="N1" s="11" t="n"/>
      <c r="O1" s="11" t="n"/>
      <c r="P1" s="11" t="n"/>
      <c r="Q1" s="11" t="n"/>
      <c r="R1" s="11" t="n"/>
      <c r="S1" s="11" t="n"/>
      <c r="T1" s="11" t="n"/>
      <c r="U1" s="11" t="n"/>
      <c r="V1" s="11" t="n"/>
    </row>
    <row r="2" ht="22" customHeight="1">
      <c r="A2" s="31" t="inlineStr">
        <is>
          <t>Top 10 by combined score  |  September 08, 2026</t>
        </is>
      </c>
      <c r="B2" s="12" t="n"/>
      <c r="C2" s="12" t="n"/>
      <c r="D2" s="12" t="n"/>
      <c r="E2" s="12" t="n"/>
      <c r="F2" s="12" t="n"/>
      <c r="G2" s="12" t="n"/>
      <c r="H2" s="12" t="n"/>
      <c r="I2" s="12" t="n"/>
      <c r="J2" s="12" t="n"/>
      <c r="K2" s="12" t="n"/>
      <c r="L2" s="12" t="n"/>
      <c r="M2" s="12" t="n"/>
      <c r="N2" s="12" t="n"/>
      <c r="O2" s="12" t="n"/>
      <c r="P2" s="12" t="n"/>
      <c r="Q2" s="12" t="n"/>
      <c r="R2" s="12" t="n"/>
      <c r="S2" s="12" t="n"/>
      <c r="T2" s="12" t="n"/>
      <c r="U2" s="12" t="n"/>
      <c r="V2" s="12" t="n"/>
    </row>
    <row r="3" ht="8" customHeight="1"/>
    <row r="4" ht="18" customHeight="1">
      <c r="A4" s="18" t="inlineStr">
        <is>
          <t>Rank</t>
        </is>
      </c>
      <c r="B4" s="18" t="inlineStr">
        <is>
          <t>Ticker</t>
        </is>
      </c>
      <c r="C4" s="18" t="inlineStr">
        <is>
          <t>Company Name</t>
        </is>
      </c>
      <c r="D4" s="18" t="inlineStr">
        <is>
          <t>Mkt Cap ($M)</t>
        </is>
      </c>
      <c r="E4" s="18" t="inlineStr">
        <is>
          <t>Price</t>
        </is>
      </c>
      <c r="F4" s="18" t="inlineStr">
        <is>
          <t>Rev Growth YoY</t>
        </is>
      </c>
      <c r="G4" s="18" t="inlineStr">
        <is>
          <t>Rev Accel</t>
        </is>
      </c>
      <c r="H4" s="18" t="inlineStr">
        <is>
          <t>Gross Margin</t>
        </is>
      </c>
      <c r="I4" s="18" t="inlineStr">
        <is>
          <t>Dilution 3yr</t>
        </is>
      </c>
      <c r="J4" s="18" t="inlineStr">
        <is>
          <t>Insider %</t>
        </is>
      </c>
      <c r="K4" s="18" t="inlineStr">
        <is>
          <t>Composite</t>
        </is>
      </c>
      <c r="L4" s="18" t="inlineStr">
        <is>
          <t>Fingerprint</t>
        </is>
      </c>
      <c r="M4" s="18" t="inlineStr">
        <is>
          <t>Combined</t>
        </is>
      </c>
      <c r="N4" s="18" t="inlineStr">
        <is>
          <t>WPS</t>
        </is>
      </c>
      <c r="O4" s="18" t="inlineStr">
        <is>
          <t>WPS Pattern</t>
        </is>
      </c>
      <c r="P4" s="18" t="inlineStr">
        <is>
          <t>Run Maturity</t>
        </is>
      </c>
      <c r="Q4" s="18" t="inlineStr">
        <is>
          <t>Conviction</t>
        </is>
      </c>
      <c r="R4" s="18" t="inlineStr">
        <is>
          <t>1M</t>
        </is>
      </c>
      <c r="S4" s="18" t="inlineStr">
        <is>
          <t>3M</t>
        </is>
      </c>
      <c r="T4" s="18" t="inlineStr">
        <is>
          <t>6M</t>
        </is>
      </c>
      <c r="U4" s="18" t="inlineStr">
        <is>
          <t>YTD</t>
        </is>
      </c>
      <c r="V4" s="18" t="inlineStr">
        <is>
          <t>1Y</t>
        </is>
      </c>
    </row>
    <row r="5" ht="16" customHeight="1">
      <c r="A5" s="32" t="n">
        <v>1</v>
      </c>
      <c r="B5" s="19" t="inlineStr">
        <is>
          <t>CLFD</t>
        </is>
      </c>
      <c r="C5" s="20" t="inlineStr">
        <is>
          <t>Clearfield, Inc.</t>
        </is>
      </c>
      <c r="D5" s="21" t="n">
        <v>394.6</v>
      </c>
      <c r="E5" s="33" t="n">
        <v>29.0914</v>
      </c>
      <c r="F5" s="34" t="n">
        <v>-0.121</v>
      </c>
      <c r="G5" s="34" t="n">
        <v>-0.144</v>
      </c>
      <c r="H5" s="34" t="n">
        <v>0.318</v>
      </c>
      <c r="I5" s="34" t="n">
        <v>-0.109</v>
      </c>
      <c r="J5" s="34" t="n">
        <v>0.18</v>
      </c>
      <c r="K5" s="35" t="n">
        <v>68</v>
      </c>
      <c r="L5" s="35" t="n">
        <v>68.8</v>
      </c>
      <c r="M5" s="36" t="n">
        <v>76.7</v>
      </c>
      <c r="N5" s="22" t="n">
        <v>89.2</v>
      </c>
      <c r="O5" s="37" t="inlineStr">
        <is>
          <t>—</t>
        </is>
      </c>
      <c r="P5" s="44" t="n">
        <v>8.800000000000001</v>
      </c>
      <c r="Q5" s="23" t="inlineStr">
        <is>
          <t>Medium-High</t>
        </is>
      </c>
      <c r="R5" s="34" t="n">
        <v>0.058639</v>
      </c>
      <c r="S5" s="34" t="n">
        <v>-0.29218</v>
      </c>
      <c r="T5" s="34" t="n">
        <v>-0.0306098</v>
      </c>
      <c r="U5" s="34" t="n">
        <v>-0.0020102916</v>
      </c>
      <c r="V5" s="34" t="n">
        <v>-0.135214</v>
      </c>
    </row>
    <row r="6" ht="16" customHeight="1">
      <c r="A6" s="32" t="n">
        <v>2</v>
      </c>
      <c r="B6" s="26" t="inlineStr">
        <is>
          <t>TRC</t>
        </is>
      </c>
      <c r="C6" s="27" t="inlineStr">
        <is>
          <t>Tejon Ranch Co.</t>
        </is>
      </c>
      <c r="D6" s="28" t="n">
        <v>446.5</v>
      </c>
      <c r="E6" s="39" t="n">
        <v>16.5237</v>
      </c>
      <c r="F6" s="40" t="n">
        <v>0.7170000000000001</v>
      </c>
      <c r="G6" s="40" t="n">
        <v>0.257</v>
      </c>
      <c r="H6" s="40" t="n">
        <v>0.224</v>
      </c>
      <c r="I6" s="40" t="n">
        <v>-0.014</v>
      </c>
      <c r="J6" s="40" t="n">
        <v>0.081</v>
      </c>
      <c r="K6" s="41" t="n">
        <v>88.40000000000001</v>
      </c>
      <c r="L6" s="41" t="n">
        <v>69.40000000000001</v>
      </c>
      <c r="M6" s="42" t="n">
        <v>76.40000000000001</v>
      </c>
      <c r="N6" s="22" t="n">
        <v>70.2</v>
      </c>
      <c r="O6" s="43" t="inlineStr">
        <is>
          <t>—</t>
        </is>
      </c>
      <c r="P6" s="44" t="n">
        <v>7.5</v>
      </c>
      <c r="Q6" s="23" t="inlineStr">
        <is>
          <t>Medium-High</t>
        </is>
      </c>
      <c r="R6" s="40" t="n">
        <v>-0.009964050300000001</v>
      </c>
      <c r="S6" s="40" t="n">
        <v>-0.1380438</v>
      </c>
      <c r="T6" s="40" t="n">
        <v>-0.0779185</v>
      </c>
      <c r="U6" s="40" t="n">
        <v>0.0477933</v>
      </c>
      <c r="V6" s="40" t="n">
        <v>-0.0251504</v>
      </c>
    </row>
    <row r="7" ht="16" customHeight="1">
      <c r="A7" s="32" t="n">
        <v>3</v>
      </c>
      <c r="B7" s="19" t="inlineStr">
        <is>
          <t>MRAM</t>
        </is>
      </c>
      <c r="C7" s="20" t="inlineStr">
        <is>
          <t>Everspin Technologies, Inc.</t>
        </is>
      </c>
      <c r="D7" s="21" t="n">
        <v>398.9</v>
      </c>
      <c r="E7" s="33" t="n">
        <v>17.0225</v>
      </c>
      <c r="F7" s="34" t="n">
        <v>0.419</v>
      </c>
      <c r="G7" s="34" t="n">
        <v>0.178</v>
      </c>
      <c r="H7" s="34" t="n">
        <v>0.539</v>
      </c>
      <c r="I7" s="34" t="n">
        <v>0.146</v>
      </c>
      <c r="J7" s="34" t="n">
        <v>0.201</v>
      </c>
      <c r="K7" s="35" t="n">
        <v>86.59999999999999</v>
      </c>
      <c r="L7" s="35" t="n">
        <v>60.6</v>
      </c>
      <c r="M7" s="36" t="n">
        <v>73.90000000000001</v>
      </c>
      <c r="N7" s="22" t="n">
        <v>79.8</v>
      </c>
      <c r="O7" s="37" t="inlineStr">
        <is>
          <t>—</t>
        </is>
      </c>
      <c r="P7" s="38" t="n">
        <v>49.1</v>
      </c>
      <c r="Q7" s="25" t="inlineStr">
        <is>
          <t>Medium</t>
        </is>
      </c>
      <c r="R7" s="34" t="n">
        <v>0.0229868</v>
      </c>
      <c r="S7" s="34" t="n">
        <v>-0.2994856</v>
      </c>
      <c r="T7" s="34" t="n">
        <v>0.9432078</v>
      </c>
      <c r="U7" s="34" t="n">
        <v>0.8343210999999999</v>
      </c>
      <c r="V7" s="34" t="n">
        <v>1.5331101</v>
      </c>
    </row>
    <row r="8" ht="16" customHeight="1">
      <c r="A8" s="32" t="n">
        <v>4</v>
      </c>
      <c r="B8" s="26" t="inlineStr">
        <is>
          <t>VPG</t>
        </is>
      </c>
      <c r="C8" s="27" t="inlineStr">
        <is>
          <t>Vishay Precision Group, Inc.</t>
        </is>
      </c>
      <c r="D8" s="28" t="n">
        <v>868.2</v>
      </c>
      <c r="E8" s="39" t="n">
        <v>65.34</v>
      </c>
      <c r="F8" s="40" t="n">
        <v>1.239</v>
      </c>
      <c r="G8" s="40" t="n">
        <v>1.267</v>
      </c>
      <c r="H8" s="40" t="n">
        <v>0.388</v>
      </c>
      <c r="I8" s="40" t="n">
        <v>-0.021</v>
      </c>
      <c r="J8" s="40" t="n">
        <v>0.186</v>
      </c>
      <c r="K8" s="41" t="n">
        <v>99.40000000000001</v>
      </c>
      <c r="L8" s="41" t="n">
        <v>73.7</v>
      </c>
      <c r="M8" s="42" t="n">
        <v>72.90000000000001</v>
      </c>
      <c r="N8" s="24" t="n">
        <v>69.59999999999999</v>
      </c>
      <c r="O8" s="43" t="inlineStr">
        <is>
          <t>—</t>
        </is>
      </c>
      <c r="P8" s="38" t="n">
        <v>60.3</v>
      </c>
      <c r="Q8" s="25" t="inlineStr">
        <is>
          <t>Medium</t>
        </is>
      </c>
      <c r="R8" s="40" t="n">
        <v>-0.04738299999999999</v>
      </c>
      <c r="S8" s="40" t="n">
        <v>-0.4553184</v>
      </c>
      <c r="T8" s="40" t="n">
        <v>0.5034514</v>
      </c>
      <c r="U8" s="40" t="n">
        <v>0.6971429</v>
      </c>
      <c r="V8" s="40" t="n">
        <v>1.1809079</v>
      </c>
    </row>
    <row r="9" ht="16" customHeight="1">
      <c r="A9" s="32" t="n">
        <v>5</v>
      </c>
      <c r="B9" s="19" t="inlineStr">
        <is>
          <t>CDRE</t>
        </is>
      </c>
      <c r="C9" s="20" t="inlineStr">
        <is>
          <t>Cadre Holdings, Inc.</t>
        </is>
      </c>
      <c r="D9" s="21" t="n">
        <v>1279.2</v>
      </c>
      <c r="E9" s="33" t="n">
        <v>29.925</v>
      </c>
      <c r="F9" s="34" t="n">
        <v>0.318</v>
      </c>
      <c r="G9" s="34" t="n">
        <v>0.229</v>
      </c>
      <c r="H9" s="34" t="n">
        <v>0.421</v>
      </c>
      <c r="I9" s="34" t="n">
        <v>0.139</v>
      </c>
      <c r="J9" s="34" t="n">
        <v>0.343</v>
      </c>
      <c r="K9" s="35" t="n">
        <v>82</v>
      </c>
      <c r="L9" s="35" t="n">
        <v>67.3</v>
      </c>
      <c r="M9" s="36" t="n">
        <v>72.2</v>
      </c>
      <c r="N9" s="24" t="n">
        <v>66.7</v>
      </c>
      <c r="O9" s="37" t="inlineStr">
        <is>
          <t>—</t>
        </is>
      </c>
      <c r="P9" s="44" t="n">
        <v>8</v>
      </c>
      <c r="Q9" s="25" t="inlineStr">
        <is>
          <t>Medium</t>
        </is>
      </c>
      <c r="R9" s="34" t="n">
        <v>-0.08820840000000001</v>
      </c>
      <c r="S9" s="34" t="n">
        <v>-0.0081206497</v>
      </c>
      <c r="T9" s="34" t="n">
        <v>-0.3122271</v>
      </c>
      <c r="U9" s="34" t="n">
        <v>-0.2672625</v>
      </c>
      <c r="V9" s="34" t="n">
        <v>-0.0610292</v>
      </c>
    </row>
    <row r="10" ht="16" customHeight="1">
      <c r="A10" s="32" t="n">
        <v>6</v>
      </c>
      <c r="B10" s="26" t="inlineStr">
        <is>
          <t>ELMT</t>
        </is>
      </c>
      <c r="C10" s="27" t="inlineStr">
        <is>
          <t>Elmet Group Co.</t>
        </is>
      </c>
      <c r="D10" s="28" t="n">
        <v>502.8</v>
      </c>
      <c r="E10" s="39" t="n">
        <v>16.7696</v>
      </c>
      <c r="F10" s="40" t="n">
        <v>0.431</v>
      </c>
      <c r="G10" s="40" t="n">
        <v>0</v>
      </c>
      <c r="H10" s="40" t="n">
        <v>0.25</v>
      </c>
      <c r="I10" s="40" t="n">
        <v>-0.036</v>
      </c>
      <c r="J10" s="40" t="n">
        <v>0.6779999999999999</v>
      </c>
      <c r="K10" s="41" t="n">
        <v>73.40000000000001</v>
      </c>
      <c r="L10" s="41" t="n">
        <v>64.59999999999999</v>
      </c>
      <c r="M10" s="42" t="n">
        <v>72.09999999999999</v>
      </c>
      <c r="N10" s="22" t="n">
        <v>75.59999999999999</v>
      </c>
      <c r="O10" s="43" t="inlineStr">
        <is>
          <t>—</t>
        </is>
      </c>
      <c r="P10" s="44" t="n">
        <v>17.7</v>
      </c>
      <c r="Q10" s="25" t="inlineStr">
        <is>
          <t>Medium</t>
        </is>
      </c>
      <c r="R10" s="40" t="n">
        <v>-0.0053618031</v>
      </c>
      <c r="S10" s="40" t="n">
        <v>-0.0340092</v>
      </c>
      <c r="T10" s="40" t="n">
        <v>-0.06367390000000001</v>
      </c>
      <c r="U10" s="40" t="n">
        <v>-0.06367390000000001</v>
      </c>
      <c r="V10" s="40" t="n">
        <v>-0.06367390000000001</v>
      </c>
    </row>
    <row r="11" ht="16" customHeight="1">
      <c r="A11" s="32" t="n">
        <v>7</v>
      </c>
      <c r="B11" s="19" t="inlineStr">
        <is>
          <t>SWBI</t>
        </is>
      </c>
      <c r="C11" s="20" t="inlineStr">
        <is>
          <t>Smith &amp; Wesson Brands, Inc.</t>
        </is>
      </c>
      <c r="D11" s="21" t="n">
        <v>588.2</v>
      </c>
      <c r="E11" s="33" t="n">
        <v>13.1613</v>
      </c>
      <c r="F11" s="34" t="n">
        <v>0.323</v>
      </c>
      <c r="G11" s="34" t="n">
        <v>0.36</v>
      </c>
      <c r="H11" s="34" t="n">
        <v>0.287</v>
      </c>
      <c r="I11" s="34" t="n">
        <v>-0.026</v>
      </c>
      <c r="J11" s="34" t="n">
        <v>0.033</v>
      </c>
      <c r="K11" s="35" t="n">
        <v>73.7</v>
      </c>
      <c r="L11" s="35" t="n">
        <v>85.40000000000001</v>
      </c>
      <c r="M11" s="36" t="n">
        <v>71.40000000000001</v>
      </c>
      <c r="N11" s="24" t="n">
        <v>60.7</v>
      </c>
      <c r="O11" s="37" t="inlineStr">
        <is>
          <t>—</t>
        </is>
      </c>
      <c r="P11" s="44" t="n">
        <v>31.8</v>
      </c>
      <c r="Q11" s="25" t="inlineStr">
        <is>
          <t>Medium</t>
        </is>
      </c>
      <c r="R11" s="34" t="n">
        <v>-0.0764</v>
      </c>
      <c r="S11" s="34" t="n">
        <v>-0.1028425</v>
      </c>
      <c r="T11" s="34" t="n">
        <v>-0.0592352</v>
      </c>
      <c r="U11" s="34" t="n">
        <v>0.333465</v>
      </c>
      <c r="V11" s="34" t="n">
        <v>0.4888348</v>
      </c>
    </row>
    <row r="12" ht="16" customHeight="1">
      <c r="A12" s="32" t="n">
        <v>8</v>
      </c>
      <c r="B12" s="26" t="inlineStr">
        <is>
          <t>AVEX</t>
        </is>
      </c>
      <c r="C12" s="27" t="inlineStr">
        <is>
          <t>Aevex Corp.</t>
        </is>
      </c>
      <c r="D12" s="28" t="n">
        <v>943.1</v>
      </c>
      <c r="E12" s="39" t="n">
        <v>16.7</v>
      </c>
      <c r="F12" s="40" t="n">
        <v>0.995</v>
      </c>
      <c r="G12" s="40" t="n">
        <v>0</v>
      </c>
      <c r="H12" s="40" t="n">
        <v>0.236</v>
      </c>
      <c r="I12" s="40" t="n">
        <v>0.113</v>
      </c>
      <c r="J12" s="40" t="n">
        <v>0.59</v>
      </c>
      <c r="K12" s="41" t="n">
        <v>71.8</v>
      </c>
      <c r="L12" s="41" t="n">
        <v>51</v>
      </c>
      <c r="M12" s="42" t="n">
        <v>70.59999999999999</v>
      </c>
      <c r="N12" s="22" t="n">
        <v>81.7</v>
      </c>
      <c r="O12" s="43" t="inlineStr">
        <is>
          <t>—</t>
        </is>
      </c>
      <c r="P12" s="44" t="n">
        <v>6.9</v>
      </c>
      <c r="Q12" s="25" t="inlineStr">
        <is>
          <t>Medium</t>
        </is>
      </c>
      <c r="R12" s="40" t="n">
        <v>-0.2467298</v>
      </c>
      <c r="S12" s="40" t="n">
        <v>-0.2742286</v>
      </c>
      <c r="T12" s="40" t="n">
        <v>-0.1435897</v>
      </c>
      <c r="U12" s="40" t="n">
        <v>-0.1435897</v>
      </c>
      <c r="V12" s="40" t="n">
        <v>-0.1435897</v>
      </c>
    </row>
    <row r="13" ht="16" customHeight="1">
      <c r="A13" s="32" t="n">
        <v>9</v>
      </c>
      <c r="B13" s="19" t="inlineStr">
        <is>
          <t>PKE</t>
        </is>
      </c>
      <c r="C13" s="20" t="inlineStr">
        <is>
          <t>Park Aerospace Corp.</t>
        </is>
      </c>
      <c r="D13" s="21" t="n">
        <v>685.2</v>
      </c>
      <c r="E13" s="33" t="n">
        <v>31.42</v>
      </c>
      <c r="F13" s="34" t="n">
        <v>0.189</v>
      </c>
      <c r="G13" s="34" t="n">
        <v>0.08699999999999999</v>
      </c>
      <c r="H13" s="34" t="n">
        <v>0.348</v>
      </c>
      <c r="I13" s="34" t="n">
        <v>0.031</v>
      </c>
      <c r="J13" s="34" t="n">
        <v>0.081</v>
      </c>
      <c r="K13" s="35" t="n">
        <v>71.7</v>
      </c>
      <c r="L13" s="35" t="n">
        <v>85.40000000000001</v>
      </c>
      <c r="M13" s="36" t="n">
        <v>69.90000000000001</v>
      </c>
      <c r="N13" s="24" t="n">
        <v>58.7</v>
      </c>
      <c r="O13" s="37" t="inlineStr">
        <is>
          <t>—</t>
        </is>
      </c>
      <c r="P13" s="38" t="n">
        <v>40</v>
      </c>
      <c r="Q13" s="25" t="inlineStr">
        <is>
          <t>Medium</t>
        </is>
      </c>
      <c r="R13" s="34" t="n">
        <v>-0.1659145</v>
      </c>
      <c r="S13" s="34" t="n">
        <v>-0.015047</v>
      </c>
      <c r="T13" s="34" t="n">
        <v>0.1680297</v>
      </c>
      <c r="U13" s="34" t="n">
        <v>0.4723524</v>
      </c>
      <c r="V13" s="34" t="n">
        <v>0.6476141</v>
      </c>
    </row>
    <row r="14" ht="16" customHeight="1">
      <c r="A14" s="32" t="n">
        <v>10</v>
      </c>
      <c r="B14" s="26" t="inlineStr">
        <is>
          <t>EVLV</t>
        </is>
      </c>
      <c r="C14" s="27" t="inlineStr">
        <is>
          <t>Evolv Technologies Holdings, Inc.</t>
        </is>
      </c>
      <c r="D14" s="28" t="n">
        <v>912.8</v>
      </c>
      <c r="E14" s="39" t="n">
        <v>5.089</v>
      </c>
      <c r="F14" s="40" t="n">
        <v>0.344</v>
      </c>
      <c r="G14" s="40" t="n">
        <v>0.07000000000000001</v>
      </c>
      <c r="H14" s="40" t="n">
        <v>0.502</v>
      </c>
      <c r="I14" s="40" t="n">
        <v>0.199</v>
      </c>
      <c r="J14" s="40" t="n">
        <v>0.052</v>
      </c>
      <c r="K14" s="41" t="n">
        <v>66.59999999999999</v>
      </c>
      <c r="L14" s="41" t="n">
        <v>74</v>
      </c>
      <c r="M14" s="42" t="n">
        <v>68.40000000000001</v>
      </c>
      <c r="N14" s="24" t="n">
        <v>66.40000000000001</v>
      </c>
      <c r="O14" s="43" t="inlineStr">
        <is>
          <t>—</t>
        </is>
      </c>
      <c r="P14" s="44" t="n">
        <v>2.3</v>
      </c>
      <c r="Q14" s="25" t="inlineStr">
        <is>
          <t>Medium</t>
        </is>
      </c>
      <c r="R14" s="40" t="n">
        <v>-0.1703263</v>
      </c>
      <c r="S14" s="40" t="n">
        <v>-0.126134</v>
      </c>
      <c r="T14" s="40" t="n">
        <v>0.0011614173</v>
      </c>
      <c r="U14" s="40" t="n">
        <v>-0.2896788</v>
      </c>
      <c r="V14" s="40" t="n">
        <v>-0.3850181</v>
      </c>
    </row>
    <row r="17" ht="22" customHeight="1">
      <c r="A17" s="16" t="inlineStr">
        <is>
          <t>SCORE COMPONENT BREAKDOWN</t>
        </is>
      </c>
      <c r="B17" s="17" t="n"/>
      <c r="C17" s="17" t="n"/>
      <c r="D17" s="17" t="n"/>
      <c r="E17" s="17" t="n"/>
      <c r="F17" s="17" t="n"/>
      <c r="G17" s="17" t="n"/>
      <c r="H17" s="17" t="n"/>
      <c r="I17" s="17" t="n"/>
      <c r="J17" s="17" t="n"/>
      <c r="K17" s="17" t="n"/>
      <c r="L17" s="17" t="n"/>
      <c r="M17" s="17" t="n"/>
      <c r="N17" s="17" t="n"/>
      <c r="O17" s="17" t="n"/>
      <c r="P17" s="17" t="n"/>
      <c r="Q17" s="17" t="n"/>
      <c r="R17" s="17" t="n"/>
      <c r="S17" s="17" t="n"/>
      <c r="T17" s="17" t="n"/>
      <c r="U17" s="17" t="n"/>
      <c r="V17" s="17" t="n"/>
    </row>
    <row r="18" ht="18" customHeight="1">
      <c r="A18" s="18" t="inlineStr">
        <is>
          <t>Ticker</t>
        </is>
      </c>
      <c r="B18" s="18" t="inlineStr">
        <is>
          <t>Rev Growth</t>
        </is>
      </c>
      <c r="C18" s="18" t="inlineStr">
        <is>
          <t>Gross Margin</t>
        </is>
      </c>
      <c r="D18" s="18" t="inlineStr">
        <is>
          <t>Dilution</t>
        </is>
      </c>
      <c r="E18" s="18" t="inlineStr">
        <is>
          <t>Insider Own</t>
        </is>
      </c>
      <c r="F18" s="18" t="inlineStr">
        <is>
          <t>Acceleration</t>
        </is>
      </c>
    </row>
    <row r="19" ht="16" customHeight="1">
      <c r="A19" s="19" t="inlineStr">
        <is>
          <t>CLFD</t>
        </is>
      </c>
      <c r="B19" s="35" t="n">
        <v>0</v>
      </c>
      <c r="C19" s="35" t="n">
        <v>79.5</v>
      </c>
      <c r="D19" s="35" t="n">
        <v>100</v>
      </c>
      <c r="E19" s="35" t="n">
        <v>100</v>
      </c>
      <c r="F19" s="35" t="n">
        <v>14</v>
      </c>
    </row>
    <row r="20" ht="16" customHeight="1">
      <c r="A20" s="26" t="inlineStr">
        <is>
          <t>TRC</t>
        </is>
      </c>
      <c r="B20" s="41" t="n">
        <v>100</v>
      </c>
      <c r="C20" s="41" t="n">
        <v>56</v>
      </c>
      <c r="D20" s="41" t="n">
        <v>100</v>
      </c>
      <c r="E20" s="41" t="n">
        <v>81</v>
      </c>
      <c r="F20" s="41" t="n">
        <v>100</v>
      </c>
    </row>
    <row r="21" ht="16" customHeight="1">
      <c r="A21" s="19" t="inlineStr">
        <is>
          <t>MRAM</t>
        </is>
      </c>
      <c r="B21" s="35" t="n">
        <v>83.8</v>
      </c>
      <c r="C21" s="35" t="n">
        <v>100</v>
      </c>
      <c r="D21" s="35" t="n">
        <v>61.6</v>
      </c>
      <c r="E21" s="35" t="n">
        <v>100</v>
      </c>
      <c r="F21" s="35" t="n">
        <v>94.5</v>
      </c>
    </row>
    <row r="22" ht="16" customHeight="1">
      <c r="A22" s="26" t="inlineStr">
        <is>
          <t>VPG</t>
        </is>
      </c>
      <c r="B22" s="41" t="n">
        <v>100</v>
      </c>
      <c r="C22" s="41" t="n">
        <v>97</v>
      </c>
      <c r="D22" s="41" t="n">
        <v>100</v>
      </c>
      <c r="E22" s="41" t="n">
        <v>100</v>
      </c>
      <c r="F22" s="41" t="n">
        <v>100</v>
      </c>
    </row>
    <row r="23" ht="16" customHeight="1">
      <c r="A23" s="19" t="inlineStr">
        <is>
          <t>CDRE</t>
        </is>
      </c>
      <c r="B23" s="35" t="n">
        <v>63.6</v>
      </c>
      <c r="C23" s="35" t="n">
        <v>100</v>
      </c>
      <c r="D23" s="35" t="n">
        <v>64.40000000000001</v>
      </c>
      <c r="E23" s="35" t="n">
        <v>100</v>
      </c>
      <c r="F23" s="35" t="n">
        <v>100</v>
      </c>
    </row>
    <row r="24" ht="16" customHeight="1">
      <c r="A24" s="26" t="inlineStr">
        <is>
          <t>ELMT</t>
        </is>
      </c>
      <c r="B24" s="41" t="n">
        <v>86.2</v>
      </c>
      <c r="C24" s="41" t="n">
        <v>62.5</v>
      </c>
      <c r="D24" s="41" t="n">
        <v>100</v>
      </c>
      <c r="E24" s="41" t="n">
        <v>100</v>
      </c>
      <c r="F24" s="41" t="n">
        <v>50</v>
      </c>
    </row>
    <row r="25" ht="16" customHeight="1">
      <c r="A25" s="19" t="inlineStr">
        <is>
          <t>SWBI</t>
        </is>
      </c>
      <c r="B25" s="35" t="n">
        <v>64.59999999999999</v>
      </c>
      <c r="C25" s="35" t="n">
        <v>71.8</v>
      </c>
      <c r="D25" s="35" t="n">
        <v>100</v>
      </c>
      <c r="E25" s="35" t="n">
        <v>33</v>
      </c>
      <c r="F25" s="35" t="n">
        <v>100</v>
      </c>
    </row>
    <row r="26" ht="16" customHeight="1">
      <c r="A26" s="26" t="inlineStr">
        <is>
          <t>AVEX</t>
        </is>
      </c>
      <c r="B26" s="41" t="n">
        <v>100</v>
      </c>
      <c r="C26" s="41" t="n">
        <v>59</v>
      </c>
      <c r="D26" s="41" t="n">
        <v>74.8</v>
      </c>
      <c r="E26" s="41" t="n">
        <v>100</v>
      </c>
      <c r="F26" s="41" t="n">
        <v>50</v>
      </c>
    </row>
    <row r="27" ht="16" customHeight="1">
      <c r="A27" s="19" t="inlineStr">
        <is>
          <t>PKE</t>
        </is>
      </c>
      <c r="B27" s="35" t="n">
        <v>37.8</v>
      </c>
      <c r="C27" s="35" t="n">
        <v>87</v>
      </c>
      <c r="D27" s="35" t="n">
        <v>100</v>
      </c>
      <c r="E27" s="35" t="n">
        <v>81</v>
      </c>
      <c r="F27" s="35" t="n">
        <v>71.8</v>
      </c>
    </row>
    <row r="28" ht="16" customHeight="1">
      <c r="A28" s="26" t="inlineStr">
        <is>
          <t>EVLV</t>
        </is>
      </c>
      <c r="B28" s="41" t="n">
        <v>68.8</v>
      </c>
      <c r="C28" s="41" t="n">
        <v>100</v>
      </c>
      <c r="D28" s="41" t="n">
        <v>40.4</v>
      </c>
      <c r="E28" s="41" t="n">
        <v>52</v>
      </c>
      <c r="F28" s="41" t="n">
        <v>67.5</v>
      </c>
    </row>
    <row r="60">
      <c r="A60" t="inlineStr">
        <is>
          <t>Ticker</t>
        </is>
      </c>
      <c r="B60" t="inlineStr">
        <is>
          <t>Gross Margin</t>
        </is>
      </c>
      <c r="C60" t="inlineStr">
        <is>
          <t>Rev Growth</t>
        </is>
      </c>
      <c r="D60" t="inlineStr">
        <is>
          <t>Mkt Cap</t>
        </is>
      </c>
    </row>
    <row r="61">
      <c r="A61" t="inlineStr">
        <is>
          <t>CLFD</t>
        </is>
      </c>
      <c r="B61" t="n">
        <v>31.8</v>
      </c>
      <c r="C61" t="n">
        <v>-12.1</v>
      </c>
      <c r="D61" t="n">
        <v>394.6</v>
      </c>
    </row>
    <row r="62">
      <c r="A62" t="inlineStr">
        <is>
          <t>TRC</t>
        </is>
      </c>
      <c r="B62" t="n">
        <v>22.4</v>
      </c>
      <c r="C62" t="n">
        <v>71.7</v>
      </c>
      <c r="D62" t="n">
        <v>446.5</v>
      </c>
    </row>
    <row r="63">
      <c r="A63" t="inlineStr">
        <is>
          <t>MRAM</t>
        </is>
      </c>
      <c r="B63" t="n">
        <v>53.9</v>
      </c>
      <c r="C63" t="n">
        <v>41.9</v>
      </c>
      <c r="D63" t="n">
        <v>398.9</v>
      </c>
    </row>
    <row r="64">
      <c r="A64" t="inlineStr">
        <is>
          <t>VPG</t>
        </is>
      </c>
      <c r="B64" t="n">
        <v>38.8</v>
      </c>
      <c r="C64" t="n">
        <v>123.9</v>
      </c>
      <c r="D64" t="n">
        <v>868.2</v>
      </c>
    </row>
    <row r="65">
      <c r="A65" t="inlineStr">
        <is>
          <t>CDRE</t>
        </is>
      </c>
      <c r="B65" t="n">
        <v>42.1</v>
      </c>
      <c r="C65" t="n">
        <v>31.8</v>
      </c>
      <c r="D65" t="n">
        <v>1279.2</v>
      </c>
    </row>
    <row r="66">
      <c r="A66" t="inlineStr">
        <is>
          <t>ELMT</t>
        </is>
      </c>
      <c r="B66" t="n">
        <v>25</v>
      </c>
      <c r="C66" t="n">
        <v>43.1</v>
      </c>
      <c r="D66" t="n">
        <v>502.8</v>
      </c>
    </row>
    <row r="67">
      <c r="A67" t="inlineStr">
        <is>
          <t>SWBI</t>
        </is>
      </c>
      <c r="B67" t="n">
        <v>28.7</v>
      </c>
      <c r="C67" t="n">
        <v>32.3</v>
      </c>
      <c r="D67" t="n">
        <v>588.2</v>
      </c>
    </row>
    <row r="68">
      <c r="A68" t="inlineStr">
        <is>
          <t>AVEX</t>
        </is>
      </c>
      <c r="B68" t="n">
        <v>23.6</v>
      </c>
      <c r="C68" t="n">
        <v>99.5</v>
      </c>
      <c r="D68" t="n">
        <v>943.1</v>
      </c>
    </row>
    <row r="69">
      <c r="A69" t="inlineStr">
        <is>
          <t>PKE</t>
        </is>
      </c>
      <c r="B69" t="n">
        <v>34.8</v>
      </c>
      <c r="C69" t="n">
        <v>18.9</v>
      </c>
      <c r="D69" t="n">
        <v>685.2</v>
      </c>
    </row>
    <row r="70">
      <c r="A70" t="inlineStr">
        <is>
          <t>EVLV</t>
        </is>
      </c>
      <c r="B70" t="n">
        <v>50.2</v>
      </c>
      <c r="C70" t="n">
        <v>34.4</v>
      </c>
      <c r="D70" t="n">
        <v>912.8</v>
      </c>
    </row>
  </sheetData>
  <mergeCells count="3">
    <mergeCell ref="A2:V2"/>
    <mergeCell ref="A1:V1"/>
    <mergeCell ref="A17:V17"/>
  </mergeCells>
  <conditionalFormatting sqref="K5:K14">
    <cfRule type="colorScale" priority="1">
      <colorScale>
        <cfvo type="num" val="0"/>
        <cfvo type="num" val="50"/>
        <cfvo type="num" val="100"/>
        <color rgb="00C1121F"/>
        <color rgb="00F9C74F"/>
        <color rgb="001A6B3C"/>
      </colorScale>
    </cfRule>
  </conditionalFormatting>
  <conditionalFormatting sqref="L5:L14">
    <cfRule type="colorScale" priority="2">
      <colorScale>
        <cfvo type="num" val="0"/>
        <cfvo type="num" val="50"/>
        <cfvo type="num" val="100"/>
        <color rgb="00C1121F"/>
        <color rgb="00F9C74F"/>
        <color rgb="001A6B3C"/>
      </colorScale>
    </cfRule>
  </conditionalFormatting>
  <conditionalFormatting sqref="M5:M14">
    <cfRule type="colorScale" priority="3">
      <colorScale>
        <cfvo type="num" val="0"/>
        <cfvo type="num" val="50"/>
        <cfvo type="num" val="100"/>
        <color rgb="00C1121F"/>
        <color rgb="00F9C74F"/>
        <color rgb="001A6B3C"/>
      </colorScale>
    </cfRule>
  </conditionalFormatting>
  <conditionalFormatting sqref="N5:N14">
    <cfRule type="colorScale" priority="4">
      <colorScale>
        <cfvo type="num" val="0"/>
        <cfvo type="num" val="50"/>
        <cfvo type="num" val="100"/>
        <color rgb="00C1121F"/>
        <color rgb="00F9C74F"/>
        <color rgb="001A6B3C"/>
      </colorScale>
    </cfRule>
  </conditionalFormatting>
  <conditionalFormatting sqref="P5:P14">
    <cfRule type="colorScale" priority="5">
      <colorScale>
        <cfvo type="min"/>
        <cfvo type="max"/>
        <color rgb="002A9D8F"/>
        <color rgb="00E76F51"/>
      </colorScale>
    </cfRule>
  </conditionalFormatting>
  <conditionalFormatting sqref="F5:F14">
    <cfRule type="colorScale" priority="6">
      <colorScale>
        <cfvo type="min"/>
        <cfvo type="max"/>
        <color rgb="00FFFFFF"/>
        <color rgb="002A9D8F"/>
      </colorScale>
    </cfRule>
  </conditionalFormatting>
  <conditionalFormatting sqref="H5:H14">
    <cfRule type="colorScale" priority="7">
      <colorScale>
        <cfvo type="min"/>
        <cfvo type="max"/>
        <color rgb="00FFFFFF"/>
        <color rgb="002A9D8F"/>
      </colorScale>
    </cfRule>
  </conditionalFormatting>
  <conditionalFormatting sqref="I5:I14">
    <cfRule type="colorScale" priority="8">
      <colorScale>
        <cfvo type="min"/>
        <cfvo type="max"/>
        <color rgb="002A9D8F"/>
        <color rgb="00E76F51"/>
      </colorScale>
    </cfRule>
  </conditionalFormatting>
  <conditionalFormatting sqref="J5:J14">
    <cfRule type="colorScale" priority="9">
      <colorScale>
        <cfvo type="min"/>
        <cfvo type="max"/>
        <color rgb="00FFFFFF"/>
        <color rgb="002A9D8F"/>
      </colorScale>
    </cfRule>
  </conditionalFormatting>
  <conditionalFormatting sqref="R5:R14">
    <cfRule type="colorScale" priority="10">
      <colorScale>
        <cfvo type="min"/>
        <cfvo type="num" val="0"/>
        <cfvo type="max"/>
        <color rgb="00E76F51"/>
        <color rgb="00FFFFFF"/>
        <color rgb="002A9D8F"/>
      </colorScale>
    </cfRule>
  </conditionalFormatting>
  <conditionalFormatting sqref="S5:S14">
    <cfRule type="colorScale" priority="11">
      <colorScale>
        <cfvo type="min"/>
        <cfvo type="num" val="0"/>
        <cfvo type="max"/>
        <color rgb="00E76F51"/>
        <color rgb="00FFFFFF"/>
        <color rgb="002A9D8F"/>
      </colorScale>
    </cfRule>
  </conditionalFormatting>
  <conditionalFormatting sqref="T5:T14">
    <cfRule type="colorScale" priority="12">
      <colorScale>
        <cfvo type="min"/>
        <cfvo type="num" val="0"/>
        <cfvo type="max"/>
        <color rgb="00E76F51"/>
        <color rgb="00FFFFFF"/>
        <color rgb="002A9D8F"/>
      </colorScale>
    </cfRule>
  </conditionalFormatting>
  <conditionalFormatting sqref="U5:U14">
    <cfRule type="colorScale" priority="13">
      <colorScale>
        <cfvo type="min"/>
        <cfvo type="num" val="0"/>
        <cfvo type="max"/>
        <color rgb="00E76F51"/>
        <color rgb="00FFFFFF"/>
        <color rgb="002A9D8F"/>
      </colorScale>
    </cfRule>
  </conditionalFormatting>
  <conditionalFormatting sqref="V5:V14">
    <cfRule type="colorScale" priority="14">
      <colorScale>
        <cfvo type="min"/>
        <cfvo type="num" val="0"/>
        <cfvo type="max"/>
        <color rgb="00E76F51"/>
        <color rgb="00FFFFFF"/>
        <color rgb="002A9D8F"/>
      </colorScale>
    </cfRule>
  </conditionalFormatting>
  <conditionalFormatting sqref="B19:B28">
    <cfRule type="colorScale" priority="15">
      <colorScale>
        <cfvo type="num" val="0"/>
        <cfvo type="num" val="50"/>
        <cfvo type="num" val="100"/>
        <color rgb="00C1121F"/>
        <color rgb="00F9C74F"/>
        <color rgb="001A6B3C"/>
      </colorScale>
    </cfRule>
  </conditionalFormatting>
  <conditionalFormatting sqref="C19:C28">
    <cfRule type="colorScale" priority="16">
      <colorScale>
        <cfvo type="num" val="0"/>
        <cfvo type="num" val="50"/>
        <cfvo type="num" val="100"/>
        <color rgb="00C1121F"/>
        <color rgb="00F9C74F"/>
        <color rgb="001A6B3C"/>
      </colorScale>
    </cfRule>
  </conditionalFormatting>
  <conditionalFormatting sqref="D19:D28">
    <cfRule type="colorScale" priority="17">
      <colorScale>
        <cfvo type="num" val="0"/>
        <cfvo type="num" val="50"/>
        <cfvo type="num" val="100"/>
        <color rgb="00C1121F"/>
        <color rgb="00F9C74F"/>
        <color rgb="001A6B3C"/>
      </colorScale>
    </cfRule>
  </conditionalFormatting>
  <conditionalFormatting sqref="E19:E28">
    <cfRule type="colorScale" priority="18">
      <colorScale>
        <cfvo type="num" val="0"/>
        <cfvo type="num" val="50"/>
        <cfvo type="num" val="100"/>
        <color rgb="00C1121F"/>
        <color rgb="00F9C74F"/>
        <color rgb="001A6B3C"/>
      </colorScale>
    </cfRule>
  </conditionalFormatting>
  <conditionalFormatting sqref="F19:F28">
    <cfRule type="colorScale" priority="19">
      <colorScale>
        <cfvo type="num" val="0"/>
        <cfvo type="num" val="50"/>
        <cfvo type="num" val="100"/>
        <color rgb="00C1121F"/>
        <color rgb="00F9C74F"/>
        <color rgb="001A6B3C"/>
      </colorScale>
    </cfRule>
  </conditionalFormatting>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tabColor rgb="000D1B2A"/>
    <outlinePr summaryBelow="1" summaryRight="1"/>
    <pageSetUpPr fitToPage="1"/>
  </sheetPr>
  <dimension ref="A1:V7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28" customWidth="1" min="3" max="3"/>
    <col width="14" customWidth="1" min="4" max="4"/>
    <col width="12"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2" customWidth="1" min="13" max="13"/>
    <col width="10" customWidth="1" min="14" max="14"/>
    <col width="14" customWidth="1" min="15" max="15"/>
    <col width="14" customWidth="1" min="16" max="16"/>
    <col width="12" customWidth="1" min="17" max="17"/>
    <col width="10" customWidth="1" min="18" max="18"/>
    <col width="10" customWidth="1" min="19" max="19"/>
    <col width="10" customWidth="1" min="20" max="20"/>
    <col width="10" customWidth="1" min="21" max="21"/>
    <col width="10" customWidth="1" min="22" max="22"/>
  </cols>
  <sheetData>
    <row r="1" ht="28" customHeight="1">
      <c r="A1" s="30" t="inlineStr">
        <is>
          <t>Breakout ($2B–$15B) — Screener Results</t>
        </is>
      </c>
      <c r="B1" s="11" t="n"/>
      <c r="C1" s="11" t="n"/>
      <c r="D1" s="11" t="n"/>
      <c r="E1" s="11" t="n"/>
      <c r="F1" s="11" t="n"/>
      <c r="G1" s="11" t="n"/>
      <c r="H1" s="11" t="n"/>
      <c r="I1" s="11" t="n"/>
      <c r="J1" s="11" t="n"/>
      <c r="K1" s="11" t="n"/>
      <c r="L1" s="11" t="n"/>
      <c r="M1" s="11" t="n"/>
      <c r="N1" s="11" t="n"/>
      <c r="O1" s="11" t="n"/>
      <c r="P1" s="11" t="n"/>
      <c r="Q1" s="11" t="n"/>
      <c r="R1" s="11" t="n"/>
      <c r="S1" s="11" t="n"/>
      <c r="T1" s="11" t="n"/>
      <c r="U1" s="11" t="n"/>
      <c r="V1" s="11" t="n"/>
    </row>
    <row r="2" ht="22" customHeight="1">
      <c r="A2" s="31" t="inlineStr">
        <is>
          <t>Top 10 by combined score  |  September 08, 2026</t>
        </is>
      </c>
      <c r="B2" s="12" t="n"/>
      <c r="C2" s="12" t="n"/>
      <c r="D2" s="12" t="n"/>
      <c r="E2" s="12" t="n"/>
      <c r="F2" s="12" t="n"/>
      <c r="G2" s="12" t="n"/>
      <c r="H2" s="12" t="n"/>
      <c r="I2" s="12" t="n"/>
      <c r="J2" s="12" t="n"/>
      <c r="K2" s="12" t="n"/>
      <c r="L2" s="12" t="n"/>
      <c r="M2" s="12" t="n"/>
      <c r="N2" s="12" t="n"/>
      <c r="O2" s="12" t="n"/>
      <c r="P2" s="12" t="n"/>
      <c r="Q2" s="12" t="n"/>
      <c r="R2" s="12" t="n"/>
      <c r="S2" s="12" t="n"/>
      <c r="T2" s="12" t="n"/>
      <c r="U2" s="12" t="n"/>
      <c r="V2" s="12" t="n"/>
    </row>
    <row r="3" ht="8" customHeight="1"/>
    <row r="4" ht="18" customHeight="1">
      <c r="A4" s="18" t="inlineStr">
        <is>
          <t>Rank</t>
        </is>
      </c>
      <c r="B4" s="18" t="inlineStr">
        <is>
          <t>Ticker</t>
        </is>
      </c>
      <c r="C4" s="18" t="inlineStr">
        <is>
          <t>Company Name</t>
        </is>
      </c>
      <c r="D4" s="18" t="inlineStr">
        <is>
          <t>Mkt Cap ($M)</t>
        </is>
      </c>
      <c r="E4" s="18" t="inlineStr">
        <is>
          <t>Price</t>
        </is>
      </c>
      <c r="F4" s="18" t="inlineStr">
        <is>
          <t>Rev Growth YoY</t>
        </is>
      </c>
      <c r="G4" s="18" t="inlineStr">
        <is>
          <t>Rev Accel</t>
        </is>
      </c>
      <c r="H4" s="18" t="inlineStr">
        <is>
          <t>Gross Margin</t>
        </is>
      </c>
      <c r="I4" s="18" t="inlineStr">
        <is>
          <t>Dilution 3yr</t>
        </is>
      </c>
      <c r="J4" s="18" t="inlineStr">
        <is>
          <t>Insider %</t>
        </is>
      </c>
      <c r="K4" s="18" t="inlineStr">
        <is>
          <t>Composite</t>
        </is>
      </c>
      <c r="L4" s="18" t="inlineStr">
        <is>
          <t>Fingerprint</t>
        </is>
      </c>
      <c r="M4" s="18" t="inlineStr">
        <is>
          <t>Combined</t>
        </is>
      </c>
      <c r="N4" s="18" t="inlineStr">
        <is>
          <t>WPS</t>
        </is>
      </c>
      <c r="O4" s="18" t="inlineStr">
        <is>
          <t>WPS Pattern</t>
        </is>
      </c>
      <c r="P4" s="18" t="inlineStr">
        <is>
          <t>Run Maturity</t>
        </is>
      </c>
      <c r="Q4" s="18" t="inlineStr">
        <is>
          <t>Conviction</t>
        </is>
      </c>
      <c r="R4" s="18" t="inlineStr">
        <is>
          <t>1M</t>
        </is>
      </c>
      <c r="S4" s="18" t="inlineStr">
        <is>
          <t>3M</t>
        </is>
      </c>
      <c r="T4" s="18" t="inlineStr">
        <is>
          <t>6M</t>
        </is>
      </c>
      <c r="U4" s="18" t="inlineStr">
        <is>
          <t>YTD</t>
        </is>
      </c>
      <c r="V4" s="18" t="inlineStr">
        <is>
          <t>1Y</t>
        </is>
      </c>
    </row>
    <row r="5" ht="16" customHeight="1">
      <c r="A5" s="32" t="n">
        <v>1</v>
      </c>
      <c r="B5" s="19" t="inlineStr">
        <is>
          <t>KRMN</t>
        </is>
      </c>
      <c r="C5" s="20" t="inlineStr">
        <is>
          <t>Karman Holdings Inc.</t>
        </is>
      </c>
      <c r="D5" s="21" t="n">
        <v>5401.8</v>
      </c>
      <c r="E5" s="33" t="n">
        <v>40.735</v>
      </c>
      <c r="F5" s="34" t="n">
        <v>0.5820000000000001</v>
      </c>
      <c r="G5" s="34" t="n">
        <v>0.229</v>
      </c>
      <c r="H5" s="34" t="n">
        <v>0.43</v>
      </c>
      <c r="I5" s="34" t="n">
        <v>0.003</v>
      </c>
      <c r="J5" s="34" t="n">
        <v>0.777</v>
      </c>
      <c r="K5" s="35" t="n">
        <v>100</v>
      </c>
      <c r="L5" s="35" t="n">
        <v>55.8</v>
      </c>
      <c r="M5" s="36" t="n">
        <v>78</v>
      </c>
      <c r="N5" s="22" t="n">
        <v>72.7</v>
      </c>
      <c r="O5" s="37" t="inlineStr">
        <is>
          <t>—</t>
        </is>
      </c>
      <c r="P5" s="44" t="n">
        <v>1.2</v>
      </c>
      <c r="Q5" s="23" t="inlineStr">
        <is>
          <t>Medium-High</t>
        </is>
      </c>
      <c r="R5" s="34" t="n">
        <v>-0.3004465</v>
      </c>
      <c r="S5" s="34" t="n">
        <v>-0.1793916</v>
      </c>
      <c r="T5" s="34" t="n">
        <v>-0.5948379</v>
      </c>
      <c r="U5" s="34" t="n">
        <v>-0.4432828</v>
      </c>
      <c r="V5" s="34" t="n">
        <v>-0.3467768</v>
      </c>
    </row>
    <row r="6" ht="16" customHeight="1">
      <c r="A6" s="32" t="n">
        <v>2</v>
      </c>
      <c r="B6" s="26" t="inlineStr">
        <is>
          <t>AADX</t>
        </is>
      </c>
      <c r="C6" s="27" t="inlineStr">
        <is>
          <t>Applied Aerospace &amp; Defense, Inc.</t>
        </is>
      </c>
      <c r="D6" s="28" t="n">
        <v>2184.7</v>
      </c>
      <c r="E6" s="39" t="n">
        <v>12.78</v>
      </c>
      <c r="F6" s="40" t="n">
        <v>0.474</v>
      </c>
      <c r="G6" s="40" t="n">
        <v>0.397</v>
      </c>
      <c r="H6" s="40" t="n">
        <v>0.222</v>
      </c>
      <c r="I6" s="40" t="n">
        <v>-0.132</v>
      </c>
      <c r="J6" s="40" t="n">
        <v>0.8109999999999999</v>
      </c>
      <c r="K6" s="41" t="n">
        <v>89.5</v>
      </c>
      <c r="L6" s="41" t="n">
        <v>65.2</v>
      </c>
      <c r="M6" s="42" t="n">
        <v>75.09999999999999</v>
      </c>
      <c r="N6" s="24" t="n">
        <v>68.8</v>
      </c>
      <c r="O6" s="43" t="inlineStr">
        <is>
          <t>—</t>
        </is>
      </c>
      <c r="P6" s="44" t="n">
        <v>3.5</v>
      </c>
      <c r="Q6" s="23" t="inlineStr">
        <is>
          <t>Medium-High</t>
        </is>
      </c>
      <c r="R6" s="40" t="n">
        <v>-0.4066852</v>
      </c>
      <c r="S6" s="40" t="n">
        <v>-0.3350676</v>
      </c>
      <c r="T6" s="40" t="n">
        <v>-0.3277223</v>
      </c>
      <c r="U6" s="40" t="n">
        <v>-0.3277223</v>
      </c>
      <c r="V6" s="40" t="n">
        <v>-0.3277223</v>
      </c>
    </row>
    <row r="7" ht="16" customHeight="1">
      <c r="A7" s="32" t="n">
        <v>3</v>
      </c>
      <c r="B7" s="19" t="inlineStr">
        <is>
          <t>VSH</t>
        </is>
      </c>
      <c r="C7" s="20" t="inlineStr">
        <is>
          <t>Vishay Intertechnology, Inc.</t>
        </is>
      </c>
      <c r="D7" s="21" t="n">
        <v>4485</v>
      </c>
      <c r="E7" s="33" t="n">
        <v>31.7699</v>
      </c>
      <c r="F7" s="34" t="n">
        <v>1.267</v>
      </c>
      <c r="G7" s="34" t="n">
        <v>1.239</v>
      </c>
      <c r="H7" s="34" t="n">
        <v>0.222</v>
      </c>
      <c r="I7" s="34" t="n">
        <v>-0.019</v>
      </c>
      <c r="J7" s="34" t="n">
        <v>0.112</v>
      </c>
      <c r="K7" s="35" t="n">
        <v>91.09999999999999</v>
      </c>
      <c r="L7" s="35" t="n">
        <v>52.8</v>
      </c>
      <c r="M7" s="36" t="n">
        <v>73</v>
      </c>
      <c r="N7" s="22" t="n">
        <v>79.59999999999999</v>
      </c>
      <c r="O7" s="37" t="inlineStr">
        <is>
          <t>—</t>
        </is>
      </c>
      <c r="P7" s="38" t="n">
        <v>50.1</v>
      </c>
      <c r="Q7" s="25" t="inlineStr">
        <is>
          <t>Medium</t>
        </is>
      </c>
      <c r="R7" s="34" t="n">
        <v>-0.1027986</v>
      </c>
      <c r="S7" s="34" t="n">
        <v>-0.4447763</v>
      </c>
      <c r="T7" s="34" t="n">
        <v>0.9035291</v>
      </c>
      <c r="U7" s="34" t="n">
        <v>1.1925397</v>
      </c>
      <c r="V7" s="34" t="n">
        <v>1.0656632</v>
      </c>
    </row>
    <row r="8" ht="16" customHeight="1">
      <c r="A8" s="32" t="n">
        <v>4</v>
      </c>
      <c r="B8" s="26" t="inlineStr">
        <is>
          <t>RUN</t>
        </is>
      </c>
      <c r="C8" s="27" t="inlineStr">
        <is>
          <t>Sunrun Inc.</t>
        </is>
      </c>
      <c r="D8" s="28" t="n">
        <v>2188.7</v>
      </c>
      <c r="E8" s="39" t="n">
        <v>9.167999999999999</v>
      </c>
      <c r="F8" s="40" t="n">
        <v>0.528</v>
      </c>
      <c r="G8" s="40" t="n">
        <v>0.441</v>
      </c>
      <c r="H8" s="40" t="n">
        <v>0.377</v>
      </c>
      <c r="I8" s="40" t="n">
        <v>0.1</v>
      </c>
      <c r="J8" s="40" t="n">
        <v>0.035</v>
      </c>
      <c r="K8" s="41" t="n">
        <v>85.09999999999999</v>
      </c>
      <c r="L8" s="41" t="n">
        <v>71.09999999999999</v>
      </c>
      <c r="M8" s="42" t="n">
        <v>72.8</v>
      </c>
      <c r="N8" s="24" t="n">
        <v>63.2</v>
      </c>
      <c r="O8" s="43" t="inlineStr">
        <is>
          <t>—</t>
        </is>
      </c>
      <c r="P8" s="44" t="n">
        <v>3.3</v>
      </c>
      <c r="Q8" s="25" t="inlineStr">
        <is>
          <t>Medium</t>
        </is>
      </c>
      <c r="R8" s="40" t="n">
        <v>-0.1011765</v>
      </c>
      <c r="S8" s="40" t="n">
        <v>-0.3188707</v>
      </c>
      <c r="T8" s="40" t="n">
        <v>-0.1915344</v>
      </c>
      <c r="U8" s="40" t="n">
        <v>-0.5017391</v>
      </c>
      <c r="V8" s="40" t="n">
        <v>-0.458156</v>
      </c>
    </row>
    <row r="9" ht="16" customHeight="1">
      <c r="A9" s="32" t="n">
        <v>5</v>
      </c>
      <c r="B9" s="19" t="inlineStr">
        <is>
          <t>ESI</t>
        </is>
      </c>
      <c r="C9" s="20" t="inlineStr">
        <is>
          <t>Element Solutions Inc</t>
        </is>
      </c>
      <c r="D9" s="21" t="n">
        <v>8894.700000000001</v>
      </c>
      <c r="E9" s="33" t="n">
        <v>36.53</v>
      </c>
      <c r="F9" s="34" t="n">
        <v>0.5639999999999999</v>
      </c>
      <c r="G9" s="34" t="n">
        <v>0.544</v>
      </c>
      <c r="H9" s="34" t="n">
        <v>0.342</v>
      </c>
      <c r="I9" s="34" t="n">
        <v>0.009000000000000001</v>
      </c>
      <c r="J9" s="34" t="n">
        <v>0.059</v>
      </c>
      <c r="K9" s="35" t="n">
        <v>90.90000000000001</v>
      </c>
      <c r="L9" s="35" t="n">
        <v>63.4</v>
      </c>
      <c r="M9" s="36" t="n">
        <v>71.90000000000001</v>
      </c>
      <c r="N9" s="24" t="n">
        <v>60.6</v>
      </c>
      <c r="O9" s="37" t="inlineStr">
        <is>
          <t>—</t>
        </is>
      </c>
      <c r="P9" s="44" t="n">
        <v>31.6</v>
      </c>
      <c r="Q9" s="25" t="inlineStr">
        <is>
          <t>Medium</t>
        </is>
      </c>
      <c r="R9" s="34" t="n">
        <v>-0.0356389</v>
      </c>
      <c r="S9" s="34" t="n">
        <v>-0.0901619</v>
      </c>
      <c r="T9" s="34" t="n">
        <v>0.1887406</v>
      </c>
      <c r="U9" s="34" t="n">
        <v>0.4617847</v>
      </c>
      <c r="V9" s="34" t="n">
        <v>0.3905596</v>
      </c>
    </row>
    <row r="10" ht="16" customHeight="1">
      <c r="A10" s="32" t="n">
        <v>6</v>
      </c>
      <c r="B10" s="26" t="inlineStr">
        <is>
          <t>BETA</t>
        </is>
      </c>
      <c r="C10" s="27" t="inlineStr">
        <is>
          <t>BETA Technologies, Inc.</t>
        </is>
      </c>
      <c r="D10" s="28" t="n">
        <v>4845.1</v>
      </c>
      <c r="E10" s="39" t="n">
        <v>21.7894</v>
      </c>
      <c r="F10" s="40" t="n">
        <v>0.883</v>
      </c>
      <c r="G10" s="40" t="n">
        <v>0</v>
      </c>
      <c r="H10" s="40" t="n">
        <v>0.547</v>
      </c>
      <c r="I10" s="40" t="n">
        <v>0.03700000000000001</v>
      </c>
      <c r="J10" s="40" t="n">
        <v>0.486</v>
      </c>
      <c r="K10" s="41" t="n">
        <v>85</v>
      </c>
      <c r="L10" s="41" t="n">
        <v>40.7</v>
      </c>
      <c r="M10" s="42" t="n">
        <v>71.3</v>
      </c>
      <c r="N10" s="22" t="n">
        <v>78.5</v>
      </c>
      <c r="O10" s="43" t="inlineStr">
        <is>
          <t>—</t>
        </is>
      </c>
      <c r="P10" s="44" t="n">
        <v>17.3</v>
      </c>
      <c r="Q10" s="25" t="inlineStr">
        <is>
          <t>Medium</t>
        </is>
      </c>
      <c r="R10" s="40" t="n">
        <v>-0.0731859</v>
      </c>
      <c r="S10" s="40" t="n">
        <v>0.2415613</v>
      </c>
      <c r="T10" s="40" t="n">
        <v>0.1307421</v>
      </c>
      <c r="U10" s="40" t="n">
        <v>-0.2276001</v>
      </c>
      <c r="V10" s="40" t="n">
        <v>-0.3947388999999999</v>
      </c>
    </row>
    <row r="11" ht="16" customHeight="1">
      <c r="A11" s="32" t="n">
        <v>7</v>
      </c>
      <c r="B11" s="19" t="inlineStr">
        <is>
          <t>LASR</t>
        </is>
      </c>
      <c r="C11" s="20" t="inlineStr">
        <is>
          <t>nLIGHT, Inc.</t>
        </is>
      </c>
      <c r="D11" s="21" t="n">
        <v>2325.2</v>
      </c>
      <c r="E11" s="33" t="n">
        <v>41.365</v>
      </c>
      <c r="F11" s="34" t="n">
        <v>0.338</v>
      </c>
      <c r="G11" s="34" t="n">
        <v>0.116</v>
      </c>
      <c r="H11" s="34" t="n">
        <v>0.311</v>
      </c>
      <c r="I11" s="34" t="n">
        <v>0.228</v>
      </c>
      <c r="J11" s="34" t="n">
        <v>0.065</v>
      </c>
      <c r="K11" s="35" t="n">
        <v>63.2</v>
      </c>
      <c r="L11" s="35" t="n">
        <v>63</v>
      </c>
      <c r="M11" s="36" t="n">
        <v>70.7</v>
      </c>
      <c r="N11" s="22" t="n">
        <v>82</v>
      </c>
      <c r="O11" s="37" t="inlineStr">
        <is>
          <t>—</t>
        </is>
      </c>
      <c r="P11" s="44" t="n">
        <v>22.8</v>
      </c>
      <c r="Q11" s="25" t="inlineStr">
        <is>
          <t>Medium</t>
        </is>
      </c>
      <c r="R11" s="34" t="n">
        <v>-0.2634437</v>
      </c>
      <c r="S11" s="34" t="n">
        <v>-0.3804852</v>
      </c>
      <c r="T11" s="34" t="n">
        <v>-0.2945941</v>
      </c>
      <c r="U11" s="34" t="n">
        <v>0.1027726</v>
      </c>
      <c r="V11" s="34" t="n">
        <v>0.451913</v>
      </c>
    </row>
    <row r="12" ht="16" customHeight="1">
      <c r="A12" s="32" t="n">
        <v>8</v>
      </c>
      <c r="B12" s="26" t="inlineStr">
        <is>
          <t>CALX</t>
        </is>
      </c>
      <c r="C12" s="27" t="inlineStr">
        <is>
          <t>Calix, Inc.</t>
        </is>
      </c>
      <c r="D12" s="28" t="n">
        <v>2219.5</v>
      </c>
      <c r="E12" s="39" t="n">
        <v>35.285</v>
      </c>
      <c r="F12" s="40" t="n">
        <v>0.213</v>
      </c>
      <c r="G12" s="40" t="n">
        <v>-0.008</v>
      </c>
      <c r="H12" s="40" t="n">
        <v>0.546</v>
      </c>
      <c r="I12" s="40" t="n">
        <v>-0.042</v>
      </c>
      <c r="J12" s="40" t="n">
        <v>0.095</v>
      </c>
      <c r="K12" s="41" t="n">
        <v>74.2</v>
      </c>
      <c r="L12" s="41" t="n">
        <v>83.90000000000001</v>
      </c>
      <c r="M12" s="42" t="n">
        <v>69.8</v>
      </c>
      <c r="N12" s="24" t="n">
        <v>57.1</v>
      </c>
      <c r="O12" s="43" t="inlineStr">
        <is>
          <t>—</t>
        </is>
      </c>
      <c r="P12" s="44" t="n">
        <v>1.3</v>
      </c>
      <c r="Q12" s="25" t="inlineStr">
        <is>
          <t>Medium</t>
        </is>
      </c>
      <c r="R12" s="40" t="n">
        <v>-0.0709584</v>
      </c>
      <c r="S12" s="40" t="n">
        <v>-0.0535139</v>
      </c>
      <c r="T12" s="40" t="n">
        <v>-0.3008718</v>
      </c>
      <c r="U12" s="40" t="n">
        <v>-0.3333648</v>
      </c>
      <c r="V12" s="40" t="n">
        <v>-0.4225041</v>
      </c>
    </row>
    <row r="13" ht="16" customHeight="1">
      <c r="A13" s="32" t="n">
        <v>9</v>
      </c>
      <c r="B13" s="19" t="inlineStr">
        <is>
          <t>IPGP</t>
        </is>
      </c>
      <c r="C13" s="20" t="inlineStr">
        <is>
          <t>IPG Photonics Corporation</t>
        </is>
      </c>
      <c r="D13" s="21" t="n">
        <v>3392.5</v>
      </c>
      <c r="E13" s="33" t="n">
        <v>79.9209</v>
      </c>
      <c r="F13" s="34" t="n">
        <v>0.111</v>
      </c>
      <c r="G13" s="34" t="n">
        <v>0.138</v>
      </c>
      <c r="H13" s="34" t="n">
        <v>0.404</v>
      </c>
      <c r="I13" s="34" t="n">
        <v>-0.103</v>
      </c>
      <c r="J13" s="34" t="n">
        <v>0.385</v>
      </c>
      <c r="K13" s="35" t="n">
        <v>74.3</v>
      </c>
      <c r="L13" s="35" t="n">
        <v>53.9</v>
      </c>
      <c r="M13" s="36" t="n">
        <v>68.7</v>
      </c>
      <c r="N13" s="22" t="n">
        <v>73.09999999999999</v>
      </c>
      <c r="O13" s="37" t="inlineStr">
        <is>
          <t>—</t>
        </is>
      </c>
      <c r="P13" s="44" t="n">
        <v>10.3</v>
      </c>
      <c r="Q13" s="25" t="inlineStr">
        <is>
          <t>Medium</t>
        </is>
      </c>
      <c r="R13" s="34" t="n">
        <v>-0.1142536</v>
      </c>
      <c r="S13" s="34" t="n">
        <v>-0.281739</v>
      </c>
      <c r="T13" s="34" t="n">
        <v>-0.337855</v>
      </c>
      <c r="U13" s="34" t="n">
        <v>0.1162137</v>
      </c>
      <c r="V13" s="34" t="n">
        <v>-0.0357034</v>
      </c>
    </row>
    <row r="14" ht="16" customHeight="1">
      <c r="A14" s="32" t="n">
        <v>10</v>
      </c>
      <c r="B14" s="26" t="inlineStr">
        <is>
          <t>KD</t>
        </is>
      </c>
      <c r="C14" s="27" t="inlineStr">
        <is>
          <t>Kyndryl Holdings, Inc.</t>
        </is>
      </c>
      <c r="D14" s="28" t="n">
        <v>2790.6</v>
      </c>
      <c r="E14" s="39" t="n">
        <v>12.635</v>
      </c>
      <c r="F14" s="40" t="n">
        <v>3.032</v>
      </c>
      <c r="G14" s="40" t="n">
        <v>3.031</v>
      </c>
      <c r="H14" s="40" t="n">
        <v>0.218</v>
      </c>
      <c r="I14" s="40" t="n">
        <v>-0.003</v>
      </c>
      <c r="J14" s="40" t="n">
        <v>0.07400000000000001</v>
      </c>
      <c r="K14" s="41" t="n">
        <v>87</v>
      </c>
      <c r="L14" s="41" t="n">
        <v>61.6</v>
      </c>
      <c r="M14" s="42" t="n">
        <v>68.59999999999999</v>
      </c>
      <c r="N14" s="24" t="n">
        <v>56.8</v>
      </c>
      <c r="O14" s="43" t="inlineStr">
        <is>
          <t>—</t>
        </is>
      </c>
      <c r="P14" s="44" t="n">
        <v>5.9</v>
      </c>
      <c r="Q14" s="25" t="inlineStr">
        <is>
          <t>Medium</t>
        </is>
      </c>
      <c r="R14" s="40" t="n">
        <v>-0.09878740000000001</v>
      </c>
      <c r="S14" s="40" t="n">
        <v>0.0929931</v>
      </c>
      <c r="T14" s="40" t="n">
        <v>-0.0420773</v>
      </c>
      <c r="U14" s="40" t="n">
        <v>-0.5242846</v>
      </c>
      <c r="V14" s="40" t="n">
        <v>-0.6187387</v>
      </c>
    </row>
    <row r="17" ht="22" customHeight="1">
      <c r="A17" s="16" t="inlineStr">
        <is>
          <t>SCORE COMPONENT BREAKDOWN</t>
        </is>
      </c>
      <c r="B17" s="17" t="n"/>
      <c r="C17" s="17" t="n"/>
      <c r="D17" s="17" t="n"/>
      <c r="E17" s="17" t="n"/>
      <c r="F17" s="17" t="n"/>
      <c r="G17" s="17" t="n"/>
      <c r="H17" s="17" t="n"/>
      <c r="I17" s="17" t="n"/>
      <c r="J17" s="17" t="n"/>
      <c r="K17" s="17" t="n"/>
      <c r="L17" s="17" t="n"/>
      <c r="M17" s="17" t="n"/>
      <c r="N17" s="17" t="n"/>
      <c r="O17" s="17" t="n"/>
      <c r="P17" s="17" t="n"/>
      <c r="Q17" s="17" t="n"/>
      <c r="R17" s="17" t="n"/>
      <c r="S17" s="17" t="n"/>
      <c r="T17" s="17" t="n"/>
      <c r="U17" s="17" t="n"/>
      <c r="V17" s="17" t="n"/>
    </row>
    <row r="18" ht="18" customHeight="1">
      <c r="A18" s="18" t="inlineStr">
        <is>
          <t>Ticker</t>
        </is>
      </c>
      <c r="B18" s="18" t="inlineStr">
        <is>
          <t>Rev Growth</t>
        </is>
      </c>
      <c r="C18" s="18" t="inlineStr">
        <is>
          <t>Gross Margin</t>
        </is>
      </c>
      <c r="D18" s="18" t="inlineStr">
        <is>
          <t>Dilution</t>
        </is>
      </c>
      <c r="E18" s="18" t="inlineStr">
        <is>
          <t>Insider Own</t>
        </is>
      </c>
      <c r="F18" s="18" t="inlineStr">
        <is>
          <t>Acceleration</t>
        </is>
      </c>
    </row>
    <row r="19" ht="16" customHeight="1">
      <c r="A19" s="19" t="inlineStr">
        <is>
          <t>KRMN</t>
        </is>
      </c>
      <c r="B19" s="35" t="n">
        <v>100</v>
      </c>
      <c r="C19" s="35" t="n">
        <v>100</v>
      </c>
      <c r="D19" s="35" t="n">
        <v>100</v>
      </c>
      <c r="E19" s="35" t="n">
        <v>100</v>
      </c>
      <c r="F19" s="35" t="n">
        <v>100</v>
      </c>
    </row>
    <row r="20" ht="16" customHeight="1">
      <c r="A20" s="26" t="inlineStr">
        <is>
          <t>AADX</t>
        </is>
      </c>
      <c r="B20" s="41" t="n">
        <v>94.8</v>
      </c>
      <c r="C20" s="41" t="n">
        <v>55.5</v>
      </c>
      <c r="D20" s="41" t="n">
        <v>100</v>
      </c>
      <c r="E20" s="41" t="n">
        <v>100</v>
      </c>
      <c r="F20" s="41" t="n">
        <v>100</v>
      </c>
    </row>
    <row r="21" ht="16" customHeight="1">
      <c r="A21" s="19" t="inlineStr">
        <is>
          <t>VSH</t>
        </is>
      </c>
      <c r="B21" s="35" t="n">
        <v>100</v>
      </c>
      <c r="C21" s="35" t="n">
        <v>55.5</v>
      </c>
      <c r="D21" s="35" t="n">
        <v>100</v>
      </c>
      <c r="E21" s="35" t="n">
        <v>100</v>
      </c>
      <c r="F21" s="35" t="n">
        <v>100</v>
      </c>
    </row>
    <row r="22" ht="16" customHeight="1">
      <c r="A22" s="26" t="inlineStr">
        <is>
          <t>RUN</t>
        </is>
      </c>
      <c r="B22" s="41" t="n">
        <v>100</v>
      </c>
      <c r="C22" s="41" t="n">
        <v>94.3</v>
      </c>
      <c r="D22" s="41" t="n">
        <v>80</v>
      </c>
      <c r="E22" s="41" t="n">
        <v>35</v>
      </c>
      <c r="F22" s="41" t="n">
        <v>100</v>
      </c>
    </row>
    <row r="23" ht="16" customHeight="1">
      <c r="A23" s="19" t="inlineStr">
        <is>
          <t>ESI</t>
        </is>
      </c>
      <c r="B23" s="35" t="n">
        <v>100</v>
      </c>
      <c r="C23" s="35" t="n">
        <v>85.5</v>
      </c>
      <c r="D23" s="35" t="n">
        <v>100</v>
      </c>
      <c r="E23" s="35" t="n">
        <v>59</v>
      </c>
      <c r="F23" s="35" t="n">
        <v>100</v>
      </c>
    </row>
    <row r="24" ht="16" customHeight="1">
      <c r="A24" s="26" t="inlineStr">
        <is>
          <t>BETA</t>
        </is>
      </c>
      <c r="B24" s="41" t="n">
        <v>100</v>
      </c>
      <c r="C24" s="41" t="n">
        <v>100</v>
      </c>
      <c r="D24" s="41" t="n">
        <v>100</v>
      </c>
      <c r="E24" s="41" t="n">
        <v>100</v>
      </c>
      <c r="F24" s="41" t="n">
        <v>50</v>
      </c>
    </row>
    <row r="25" ht="16" customHeight="1">
      <c r="A25" s="19" t="inlineStr">
        <is>
          <t>LASR</t>
        </is>
      </c>
      <c r="B25" s="35" t="n">
        <v>67.59999999999999</v>
      </c>
      <c r="C25" s="35" t="n">
        <v>77.8</v>
      </c>
      <c r="D25" s="35" t="n">
        <v>28.8</v>
      </c>
      <c r="E25" s="35" t="n">
        <v>65</v>
      </c>
      <c r="F25" s="35" t="n">
        <v>79</v>
      </c>
    </row>
    <row r="26" ht="16" customHeight="1">
      <c r="A26" s="26" t="inlineStr">
        <is>
          <t>CALX</t>
        </is>
      </c>
      <c r="B26" s="41" t="n">
        <v>42.6</v>
      </c>
      <c r="C26" s="41" t="n">
        <v>100</v>
      </c>
      <c r="D26" s="41" t="n">
        <v>100</v>
      </c>
      <c r="E26" s="41" t="n">
        <v>95</v>
      </c>
      <c r="F26" s="41" t="n">
        <v>48</v>
      </c>
    </row>
    <row r="27" ht="16" customHeight="1">
      <c r="A27" s="19" t="inlineStr">
        <is>
          <t>IPGP</t>
        </is>
      </c>
      <c r="B27" s="35" t="n">
        <v>22.2</v>
      </c>
      <c r="C27" s="35" t="n">
        <v>100</v>
      </c>
      <c r="D27" s="35" t="n">
        <v>100</v>
      </c>
      <c r="E27" s="35" t="n">
        <v>100</v>
      </c>
      <c r="F27" s="35" t="n">
        <v>84.5</v>
      </c>
    </row>
    <row r="28" ht="16" customHeight="1">
      <c r="A28" s="26" t="inlineStr">
        <is>
          <t>KD</t>
        </is>
      </c>
      <c r="B28" s="41" t="n">
        <v>100</v>
      </c>
      <c r="C28" s="41" t="n">
        <v>54.5</v>
      </c>
      <c r="D28" s="41" t="n">
        <v>100</v>
      </c>
      <c r="E28" s="41" t="n">
        <v>74</v>
      </c>
      <c r="F28" s="41" t="n">
        <v>100</v>
      </c>
    </row>
    <row r="60">
      <c r="A60" t="inlineStr">
        <is>
          <t>Ticker</t>
        </is>
      </c>
      <c r="B60" t="inlineStr">
        <is>
          <t>Gross Margin</t>
        </is>
      </c>
      <c r="C60" t="inlineStr">
        <is>
          <t>Rev Growth</t>
        </is>
      </c>
      <c r="D60" t="inlineStr">
        <is>
          <t>Mkt Cap</t>
        </is>
      </c>
    </row>
    <row r="61">
      <c r="A61" t="inlineStr">
        <is>
          <t>KRMN</t>
        </is>
      </c>
      <c r="B61" t="n">
        <v>43</v>
      </c>
      <c r="C61" t="n">
        <v>58.2</v>
      </c>
      <c r="D61" t="n">
        <v>5401.8</v>
      </c>
    </row>
    <row r="62">
      <c r="A62" t="inlineStr">
        <is>
          <t>AADX</t>
        </is>
      </c>
      <c r="B62" t="n">
        <v>22.2</v>
      </c>
      <c r="C62" t="n">
        <v>47.4</v>
      </c>
      <c r="D62" t="n">
        <v>2184.7</v>
      </c>
    </row>
    <row r="63">
      <c r="A63" t="inlineStr">
        <is>
          <t>VSH</t>
        </is>
      </c>
      <c r="B63" t="n">
        <v>22.2</v>
      </c>
      <c r="C63" t="n">
        <v>126.7</v>
      </c>
      <c r="D63" t="n">
        <v>4485</v>
      </c>
    </row>
    <row r="64">
      <c r="A64" t="inlineStr">
        <is>
          <t>RUN</t>
        </is>
      </c>
      <c r="B64" t="n">
        <v>37.7</v>
      </c>
      <c r="C64" t="n">
        <v>52.8</v>
      </c>
      <c r="D64" t="n">
        <v>2188.7</v>
      </c>
    </row>
    <row r="65">
      <c r="A65" t="inlineStr">
        <is>
          <t>ESI</t>
        </is>
      </c>
      <c r="B65" t="n">
        <v>34.2</v>
      </c>
      <c r="C65" t="n">
        <v>56.4</v>
      </c>
      <c r="D65" t="n">
        <v>8894.700000000001</v>
      </c>
    </row>
    <row r="66">
      <c r="A66" t="inlineStr">
        <is>
          <t>BETA</t>
        </is>
      </c>
      <c r="B66" t="n">
        <v>54.7</v>
      </c>
      <c r="C66" t="n">
        <v>88.3</v>
      </c>
      <c r="D66" t="n">
        <v>4845.1</v>
      </c>
    </row>
    <row r="67">
      <c r="A67" t="inlineStr">
        <is>
          <t>LASR</t>
        </is>
      </c>
      <c r="B67" t="n">
        <v>31.1</v>
      </c>
      <c r="C67" t="n">
        <v>33.8</v>
      </c>
      <c r="D67" t="n">
        <v>2325.2</v>
      </c>
    </row>
    <row r="68">
      <c r="A68" t="inlineStr">
        <is>
          <t>CALX</t>
        </is>
      </c>
      <c r="B68" t="n">
        <v>54.6</v>
      </c>
      <c r="C68" t="n">
        <v>21.3</v>
      </c>
      <c r="D68" t="n">
        <v>2219.5</v>
      </c>
    </row>
    <row r="69">
      <c r="A69" t="inlineStr">
        <is>
          <t>IPGP</t>
        </is>
      </c>
      <c r="B69" t="n">
        <v>40.4</v>
      </c>
      <c r="C69" t="n">
        <v>11.1</v>
      </c>
      <c r="D69" t="n">
        <v>3392.5</v>
      </c>
    </row>
    <row r="70">
      <c r="A70" t="inlineStr">
        <is>
          <t>KD</t>
        </is>
      </c>
      <c r="B70" t="n">
        <v>21.8</v>
      </c>
      <c r="C70" t="n">
        <v>303.2</v>
      </c>
      <c r="D70" t="n">
        <v>2790.6</v>
      </c>
    </row>
  </sheetData>
  <mergeCells count="3">
    <mergeCell ref="A2:V2"/>
    <mergeCell ref="A1:V1"/>
    <mergeCell ref="A17:V17"/>
  </mergeCells>
  <conditionalFormatting sqref="K5:K14">
    <cfRule type="colorScale" priority="1">
      <colorScale>
        <cfvo type="num" val="0"/>
        <cfvo type="num" val="50"/>
        <cfvo type="num" val="100"/>
        <color rgb="00C1121F"/>
        <color rgb="00F9C74F"/>
        <color rgb="001A6B3C"/>
      </colorScale>
    </cfRule>
  </conditionalFormatting>
  <conditionalFormatting sqref="L5:L14">
    <cfRule type="colorScale" priority="2">
      <colorScale>
        <cfvo type="num" val="0"/>
        <cfvo type="num" val="50"/>
        <cfvo type="num" val="100"/>
        <color rgb="00C1121F"/>
        <color rgb="00F9C74F"/>
        <color rgb="001A6B3C"/>
      </colorScale>
    </cfRule>
  </conditionalFormatting>
  <conditionalFormatting sqref="M5:M14">
    <cfRule type="colorScale" priority="3">
      <colorScale>
        <cfvo type="num" val="0"/>
        <cfvo type="num" val="50"/>
        <cfvo type="num" val="100"/>
        <color rgb="00C1121F"/>
        <color rgb="00F9C74F"/>
        <color rgb="001A6B3C"/>
      </colorScale>
    </cfRule>
  </conditionalFormatting>
  <conditionalFormatting sqref="N5:N14">
    <cfRule type="colorScale" priority="4">
      <colorScale>
        <cfvo type="num" val="0"/>
        <cfvo type="num" val="50"/>
        <cfvo type="num" val="100"/>
        <color rgb="00C1121F"/>
        <color rgb="00F9C74F"/>
        <color rgb="001A6B3C"/>
      </colorScale>
    </cfRule>
  </conditionalFormatting>
  <conditionalFormatting sqref="P5:P14">
    <cfRule type="colorScale" priority="5">
      <colorScale>
        <cfvo type="min"/>
        <cfvo type="max"/>
        <color rgb="002A9D8F"/>
        <color rgb="00E76F51"/>
      </colorScale>
    </cfRule>
  </conditionalFormatting>
  <conditionalFormatting sqref="F5:F14">
    <cfRule type="colorScale" priority="6">
      <colorScale>
        <cfvo type="min"/>
        <cfvo type="max"/>
        <color rgb="00FFFFFF"/>
        <color rgb="002A9D8F"/>
      </colorScale>
    </cfRule>
  </conditionalFormatting>
  <conditionalFormatting sqref="H5:H14">
    <cfRule type="colorScale" priority="7">
      <colorScale>
        <cfvo type="min"/>
        <cfvo type="max"/>
        <color rgb="00FFFFFF"/>
        <color rgb="002A9D8F"/>
      </colorScale>
    </cfRule>
  </conditionalFormatting>
  <conditionalFormatting sqref="I5:I14">
    <cfRule type="colorScale" priority="8">
      <colorScale>
        <cfvo type="min"/>
        <cfvo type="max"/>
        <color rgb="002A9D8F"/>
        <color rgb="00E76F51"/>
      </colorScale>
    </cfRule>
  </conditionalFormatting>
  <conditionalFormatting sqref="J5:J14">
    <cfRule type="colorScale" priority="9">
      <colorScale>
        <cfvo type="min"/>
        <cfvo type="max"/>
        <color rgb="00FFFFFF"/>
        <color rgb="002A9D8F"/>
      </colorScale>
    </cfRule>
  </conditionalFormatting>
  <conditionalFormatting sqref="R5:R14">
    <cfRule type="colorScale" priority="10">
      <colorScale>
        <cfvo type="min"/>
        <cfvo type="num" val="0"/>
        <cfvo type="max"/>
        <color rgb="00E76F51"/>
        <color rgb="00FFFFFF"/>
        <color rgb="002A9D8F"/>
      </colorScale>
    </cfRule>
  </conditionalFormatting>
  <conditionalFormatting sqref="S5:S14">
    <cfRule type="colorScale" priority="11">
      <colorScale>
        <cfvo type="min"/>
        <cfvo type="num" val="0"/>
        <cfvo type="max"/>
        <color rgb="00E76F51"/>
        <color rgb="00FFFFFF"/>
        <color rgb="002A9D8F"/>
      </colorScale>
    </cfRule>
  </conditionalFormatting>
  <conditionalFormatting sqref="T5:T14">
    <cfRule type="colorScale" priority="12">
      <colorScale>
        <cfvo type="min"/>
        <cfvo type="num" val="0"/>
        <cfvo type="max"/>
        <color rgb="00E76F51"/>
        <color rgb="00FFFFFF"/>
        <color rgb="002A9D8F"/>
      </colorScale>
    </cfRule>
  </conditionalFormatting>
  <conditionalFormatting sqref="U5:U14">
    <cfRule type="colorScale" priority="13">
      <colorScale>
        <cfvo type="min"/>
        <cfvo type="num" val="0"/>
        <cfvo type="max"/>
        <color rgb="00E76F51"/>
        <color rgb="00FFFFFF"/>
        <color rgb="002A9D8F"/>
      </colorScale>
    </cfRule>
  </conditionalFormatting>
  <conditionalFormatting sqref="V5:V14">
    <cfRule type="colorScale" priority="14">
      <colorScale>
        <cfvo type="min"/>
        <cfvo type="num" val="0"/>
        <cfvo type="max"/>
        <color rgb="00E76F51"/>
        <color rgb="00FFFFFF"/>
        <color rgb="002A9D8F"/>
      </colorScale>
    </cfRule>
  </conditionalFormatting>
  <conditionalFormatting sqref="B19:B28">
    <cfRule type="colorScale" priority="15">
      <colorScale>
        <cfvo type="num" val="0"/>
        <cfvo type="num" val="50"/>
        <cfvo type="num" val="100"/>
        <color rgb="00C1121F"/>
        <color rgb="00F9C74F"/>
        <color rgb="001A6B3C"/>
      </colorScale>
    </cfRule>
  </conditionalFormatting>
  <conditionalFormatting sqref="C19:C28">
    <cfRule type="colorScale" priority="16">
      <colorScale>
        <cfvo type="num" val="0"/>
        <cfvo type="num" val="50"/>
        <cfvo type="num" val="100"/>
        <color rgb="00C1121F"/>
        <color rgb="00F9C74F"/>
        <color rgb="001A6B3C"/>
      </colorScale>
    </cfRule>
  </conditionalFormatting>
  <conditionalFormatting sqref="D19:D28">
    <cfRule type="colorScale" priority="17">
      <colorScale>
        <cfvo type="num" val="0"/>
        <cfvo type="num" val="50"/>
        <cfvo type="num" val="100"/>
        <color rgb="00C1121F"/>
        <color rgb="00F9C74F"/>
        <color rgb="001A6B3C"/>
      </colorScale>
    </cfRule>
  </conditionalFormatting>
  <conditionalFormatting sqref="E19:E28">
    <cfRule type="colorScale" priority="18">
      <colorScale>
        <cfvo type="num" val="0"/>
        <cfvo type="num" val="50"/>
        <cfvo type="num" val="100"/>
        <color rgb="00C1121F"/>
        <color rgb="00F9C74F"/>
        <color rgb="001A6B3C"/>
      </colorScale>
    </cfRule>
  </conditionalFormatting>
  <conditionalFormatting sqref="F19:F28">
    <cfRule type="colorScale" priority="19">
      <colorScale>
        <cfvo type="num" val="0"/>
        <cfvo type="num" val="50"/>
        <cfvo type="num" val="100"/>
        <color rgb="00C1121F"/>
        <color rgb="00F9C74F"/>
        <color rgb="001A6B3C"/>
      </colorScale>
    </cfRule>
  </conditionalFormatting>
  <pageMargins left="0.75" right="0.75" top="1" bottom="1" header="0.5" footer="0.5"/>
  <pageSetup orientation="landscape" fitToWidth="1"/>
  <drawing xmlns:r="http://schemas.openxmlformats.org/officeDocument/2006/relationships" r:id="rId1"/>
</worksheet>
</file>

<file path=xl/worksheets/sheet5.xml><?xml version="1.0" encoding="utf-8"?>
<worksheet xmlns="http://schemas.openxmlformats.org/spreadsheetml/2006/main">
  <sheetPr>
    <tabColor rgb="001B2A3B"/>
    <outlinePr summaryBelow="1" summaryRight="1"/>
    <pageSetUpPr fitToPage="1"/>
  </sheetPr>
  <dimension ref="A1:V7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28" customWidth="1" min="3" max="3"/>
    <col width="14" customWidth="1" min="4" max="4"/>
    <col width="12"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2" customWidth="1" min="13" max="13"/>
    <col width="10" customWidth="1" min="14" max="14"/>
    <col width="14" customWidth="1" min="15" max="15"/>
    <col width="14" customWidth="1" min="16" max="16"/>
    <col width="12" customWidth="1" min="17" max="17"/>
    <col width="10" customWidth="1" min="18" max="18"/>
    <col width="10" customWidth="1" min="19" max="19"/>
    <col width="10" customWidth="1" min="20" max="20"/>
    <col width="10" customWidth="1" min="21" max="21"/>
    <col width="10" customWidth="1" min="22" max="22"/>
  </cols>
  <sheetData>
    <row r="1" ht="28" customHeight="1">
      <c r="A1" s="30" t="inlineStr">
        <is>
          <t>Vital Link ($15B–$100B) — Screener Results</t>
        </is>
      </c>
      <c r="B1" s="11" t="n"/>
      <c r="C1" s="11" t="n"/>
      <c r="D1" s="11" t="n"/>
      <c r="E1" s="11" t="n"/>
      <c r="F1" s="11" t="n"/>
      <c r="G1" s="11" t="n"/>
      <c r="H1" s="11" t="n"/>
      <c r="I1" s="11" t="n"/>
      <c r="J1" s="11" t="n"/>
      <c r="K1" s="11" t="n"/>
      <c r="L1" s="11" t="n"/>
      <c r="M1" s="11" t="n"/>
      <c r="N1" s="11" t="n"/>
      <c r="O1" s="11" t="n"/>
      <c r="P1" s="11" t="n"/>
      <c r="Q1" s="11" t="n"/>
      <c r="R1" s="11" t="n"/>
      <c r="S1" s="11" t="n"/>
      <c r="T1" s="11" t="n"/>
      <c r="U1" s="11" t="n"/>
      <c r="V1" s="11" t="n"/>
    </row>
    <row r="2" ht="22" customHeight="1">
      <c r="A2" s="31" t="inlineStr">
        <is>
          <t>Top 10 by combined score  |  September 08, 2026</t>
        </is>
      </c>
      <c r="B2" s="12" t="n"/>
      <c r="C2" s="12" t="n"/>
      <c r="D2" s="12" t="n"/>
      <c r="E2" s="12" t="n"/>
      <c r="F2" s="12" t="n"/>
      <c r="G2" s="12" t="n"/>
      <c r="H2" s="12" t="n"/>
      <c r="I2" s="12" t="n"/>
      <c r="J2" s="12" t="n"/>
      <c r="K2" s="12" t="n"/>
      <c r="L2" s="12" t="n"/>
      <c r="M2" s="12" t="n"/>
      <c r="N2" s="12" t="n"/>
      <c r="O2" s="12" t="n"/>
      <c r="P2" s="12" t="n"/>
      <c r="Q2" s="12" t="n"/>
      <c r="R2" s="12" t="n"/>
      <c r="S2" s="12" t="n"/>
      <c r="T2" s="12" t="n"/>
      <c r="U2" s="12" t="n"/>
      <c r="V2" s="12" t="n"/>
    </row>
    <row r="3" ht="8" customHeight="1"/>
    <row r="4" ht="18" customHeight="1">
      <c r="A4" s="18" t="inlineStr">
        <is>
          <t>Rank</t>
        </is>
      </c>
      <c r="B4" s="18" t="inlineStr">
        <is>
          <t>Ticker</t>
        </is>
      </c>
      <c r="C4" s="18" t="inlineStr">
        <is>
          <t>Company Name</t>
        </is>
      </c>
      <c r="D4" s="18" t="inlineStr">
        <is>
          <t>Mkt Cap ($M)</t>
        </is>
      </c>
      <c r="E4" s="18" t="inlineStr">
        <is>
          <t>Price</t>
        </is>
      </c>
      <c r="F4" s="18" t="inlineStr">
        <is>
          <t>Rev Growth YoY</t>
        </is>
      </c>
      <c r="G4" s="18" t="inlineStr">
        <is>
          <t>Rev Accel</t>
        </is>
      </c>
      <c r="H4" s="18" t="inlineStr">
        <is>
          <t>Gross Margin</t>
        </is>
      </c>
      <c r="I4" s="18" t="inlineStr">
        <is>
          <t>Dilution 3yr</t>
        </is>
      </c>
      <c r="J4" s="18" t="inlineStr">
        <is>
          <t>Insider %</t>
        </is>
      </c>
      <c r="K4" s="18" t="inlineStr">
        <is>
          <t>Composite</t>
        </is>
      </c>
      <c r="L4" s="18" t="inlineStr">
        <is>
          <t>Fingerprint</t>
        </is>
      </c>
      <c r="M4" s="18" t="inlineStr">
        <is>
          <t>Combined</t>
        </is>
      </c>
      <c r="N4" s="18" t="inlineStr">
        <is>
          <t>WPS</t>
        </is>
      </c>
      <c r="O4" s="18" t="inlineStr">
        <is>
          <t>WPS Pattern</t>
        </is>
      </c>
      <c r="P4" s="18" t="inlineStr">
        <is>
          <t>Run Maturity</t>
        </is>
      </c>
      <c r="Q4" s="18" t="inlineStr">
        <is>
          <t>Conviction</t>
        </is>
      </c>
      <c r="R4" s="18" t="inlineStr">
        <is>
          <t>1M</t>
        </is>
      </c>
      <c r="S4" s="18" t="inlineStr">
        <is>
          <t>3M</t>
        </is>
      </c>
      <c r="T4" s="18" t="inlineStr">
        <is>
          <t>6M</t>
        </is>
      </c>
      <c r="U4" s="18" t="inlineStr">
        <is>
          <t>YTD</t>
        </is>
      </c>
      <c r="V4" s="18" t="inlineStr">
        <is>
          <t>1Y</t>
        </is>
      </c>
    </row>
    <row r="5" ht="16" customHeight="1">
      <c r="A5" s="32" t="n">
        <v>1</v>
      </c>
      <c r="B5" s="19" t="inlineStr">
        <is>
          <t>MPWR</t>
        </is>
      </c>
      <c r="C5" s="20" t="inlineStr">
        <is>
          <t>Monolithic Power Systems, Inc.</t>
        </is>
      </c>
      <c r="D5" s="21" t="n">
        <v>60014.5</v>
      </c>
      <c r="E5" s="33" t="n">
        <v>1220.01</v>
      </c>
      <c r="F5" s="34" t="n">
        <v>0.476</v>
      </c>
      <c r="G5" s="34" t="n">
        <v>0.166</v>
      </c>
      <c r="H5" s="34" t="n">
        <v>0.552</v>
      </c>
      <c r="I5" s="34" t="n">
        <v>0.028</v>
      </c>
      <c r="J5" s="34" t="n">
        <v>0.036</v>
      </c>
      <c r="K5" s="35" t="n">
        <v>87.7</v>
      </c>
      <c r="L5" s="35" t="n">
        <v>58.1</v>
      </c>
      <c r="M5" s="36" t="n">
        <v>73.5</v>
      </c>
      <c r="N5" s="22" t="n">
        <v>71.8</v>
      </c>
      <c r="O5" s="37" t="inlineStr">
        <is>
          <t>—</t>
        </is>
      </c>
      <c r="P5" s="38" t="n">
        <v>41.1</v>
      </c>
      <c r="Q5" s="25" t="inlineStr">
        <is>
          <t>Medium</t>
        </is>
      </c>
      <c r="R5" s="34" t="n">
        <v>-0.1295218</v>
      </c>
      <c r="S5" s="34" t="n">
        <v>-0.217531</v>
      </c>
      <c r="T5" s="34" t="n">
        <v>0.1923942</v>
      </c>
      <c r="U5" s="34" t="n">
        <v>0.3460545</v>
      </c>
      <c r="V5" s="34" t="n">
        <v>0.4115258</v>
      </c>
    </row>
    <row r="6" ht="16" customHeight="1">
      <c r="A6" s="32" t="n">
        <v>2</v>
      </c>
      <c r="B6" s="26" t="inlineStr">
        <is>
          <t>MCHP</t>
        </is>
      </c>
      <c r="C6" s="27" t="inlineStr">
        <is>
          <t>Microchip Technology Incorporated</t>
        </is>
      </c>
      <c r="D6" s="28" t="n">
        <v>40144.6</v>
      </c>
      <c r="E6" s="39" t="n">
        <v>73.87</v>
      </c>
      <c r="F6" s="40" t="n">
        <v>0.38</v>
      </c>
      <c r="G6" s="40" t="n">
        <v>0.514</v>
      </c>
      <c r="H6" s="40" t="n">
        <v>0.632</v>
      </c>
      <c r="I6" s="40" t="n">
        <v>-0.001</v>
      </c>
      <c r="J6" s="40" t="n">
        <v>0.02</v>
      </c>
      <c r="K6" s="41" t="n">
        <v>80.8</v>
      </c>
      <c r="L6" s="41" t="n">
        <v>54.9</v>
      </c>
      <c r="M6" s="42" t="n">
        <v>70</v>
      </c>
      <c r="N6" s="22" t="n">
        <v>70</v>
      </c>
      <c r="O6" s="43" t="inlineStr">
        <is>
          <t>—</t>
        </is>
      </c>
      <c r="P6" s="44" t="n">
        <v>33.6</v>
      </c>
      <c r="Q6" s="25" t="inlineStr">
        <is>
          <t>Medium</t>
        </is>
      </c>
      <c r="R6" s="40" t="n">
        <v>-0.1277601</v>
      </c>
      <c r="S6" s="40" t="n">
        <v>-0.1915289</v>
      </c>
      <c r="T6" s="40" t="n">
        <v>0.1404971</v>
      </c>
      <c r="U6" s="40" t="n">
        <v>0.1592906</v>
      </c>
      <c r="V6" s="40" t="n">
        <v>0.1312404</v>
      </c>
    </row>
    <row r="7" ht="16" customHeight="1">
      <c r="A7" s="32" t="n">
        <v>3</v>
      </c>
      <c r="B7" s="19" t="inlineStr">
        <is>
          <t>HEI</t>
        </is>
      </c>
      <c r="C7" s="20" t="inlineStr">
        <is>
          <t>HEICO Corporation</t>
        </is>
      </c>
      <c r="D7" s="21" t="n">
        <v>44349.6</v>
      </c>
      <c r="E7" s="33" t="n">
        <v>318.505</v>
      </c>
      <c r="F7" s="34" t="n">
        <v>0.231</v>
      </c>
      <c r="G7" s="34" t="n">
        <v>0.07400000000000001</v>
      </c>
      <c r="H7" s="34" t="n">
        <v>0.411</v>
      </c>
      <c r="I7" s="34" t="n">
        <v>0.011</v>
      </c>
      <c r="J7" s="34" t="n">
        <v>0.111</v>
      </c>
      <c r="K7" s="35" t="n">
        <v>79.09999999999999</v>
      </c>
      <c r="L7" s="35" t="n">
        <v>69.3</v>
      </c>
      <c r="M7" s="36" t="n">
        <v>69.90000000000001</v>
      </c>
      <c r="N7" s="24" t="n">
        <v>62.3</v>
      </c>
      <c r="O7" s="37" t="inlineStr">
        <is>
          <t>—</t>
        </is>
      </c>
      <c r="P7" s="44" t="n">
        <v>27.4</v>
      </c>
      <c r="Q7" s="25" t="inlineStr">
        <is>
          <t>Medium</t>
        </is>
      </c>
      <c r="R7" s="34" t="n">
        <v>-0.1335084</v>
      </c>
      <c r="S7" s="34" t="n">
        <v>-0.0154405</v>
      </c>
      <c r="T7" s="34" t="n">
        <v>0.0486452</v>
      </c>
      <c r="U7" s="34" t="n">
        <v>-0.0157143</v>
      </c>
      <c r="V7" s="34" t="n">
        <v>0.0035446468</v>
      </c>
    </row>
    <row r="8" ht="16" customHeight="1">
      <c r="A8" s="32" t="n">
        <v>4</v>
      </c>
      <c r="B8" s="26" t="inlineStr">
        <is>
          <t>UI</t>
        </is>
      </c>
      <c r="C8" s="27" t="inlineStr">
        <is>
          <t>Ubiquiti Inc.</t>
        </is>
      </c>
      <c r="D8" s="28" t="n">
        <v>34616.2</v>
      </c>
      <c r="E8" s="39" t="n">
        <v>573.795</v>
      </c>
      <c r="F8" s="40" t="n">
        <v>0.235</v>
      </c>
      <c r="G8" s="40" t="n">
        <v>-0.261</v>
      </c>
      <c r="H8" s="40" t="n">
        <v>0.458</v>
      </c>
      <c r="I8" s="40" t="n">
        <v>0.001</v>
      </c>
      <c r="J8" s="40" t="n">
        <v>0.93</v>
      </c>
      <c r="K8" s="41" t="n">
        <v>69.09999999999999</v>
      </c>
      <c r="L8" s="41" t="n">
        <v>55</v>
      </c>
      <c r="M8" s="42" t="n">
        <v>68.59999999999999</v>
      </c>
      <c r="N8" s="22" t="n">
        <v>76.59999999999999</v>
      </c>
      <c r="O8" s="43" t="inlineStr">
        <is>
          <t>—</t>
        </is>
      </c>
      <c r="P8" s="44" t="n">
        <v>9.4</v>
      </c>
      <c r="Q8" s="25" t="inlineStr">
        <is>
          <t>Medium</t>
        </is>
      </c>
      <c r="R8" s="40" t="n">
        <v>0.0132887</v>
      </c>
      <c r="S8" s="40" t="n">
        <v>0.001789549</v>
      </c>
      <c r="T8" s="40" t="n">
        <v>-0.2343275</v>
      </c>
      <c r="U8" s="40" t="n">
        <v>0.0369477</v>
      </c>
      <c r="V8" s="40" t="n">
        <v>-0.0166829</v>
      </c>
    </row>
    <row r="9" ht="16" customHeight="1">
      <c r="A9" s="32" t="n">
        <v>5</v>
      </c>
      <c r="B9" s="19" t="inlineStr">
        <is>
          <t>RBC</t>
        </is>
      </c>
      <c r="C9" s="20" t="inlineStr">
        <is>
          <t>RBC Bearings Incorporated</t>
        </is>
      </c>
      <c r="D9" s="21" t="n">
        <v>15470</v>
      </c>
      <c r="E9" s="33" t="n">
        <v>489.125</v>
      </c>
      <c r="F9" s="34" t="n">
        <v>0.192</v>
      </c>
      <c r="G9" s="34" t="n">
        <v>0.119</v>
      </c>
      <c r="H9" s="34" t="n">
        <v>0.477</v>
      </c>
      <c r="I9" s="34" t="n">
        <v>0.09300000000000001</v>
      </c>
      <c r="J9" s="34" t="n">
        <v>0.091</v>
      </c>
      <c r="K9" s="35" t="n">
        <v>73.7</v>
      </c>
      <c r="L9" s="35" t="n">
        <v>69</v>
      </c>
      <c r="M9" s="36" t="n">
        <v>66.90000000000001</v>
      </c>
      <c r="N9" s="24" t="n">
        <v>59.7</v>
      </c>
      <c r="O9" s="37" t="inlineStr">
        <is>
          <t>—</t>
        </is>
      </c>
      <c r="P9" s="44" t="n">
        <v>32.6</v>
      </c>
      <c r="Q9" s="25" t="inlineStr">
        <is>
          <t>Medium</t>
        </is>
      </c>
      <c r="R9" s="34" t="n">
        <v>-0.1377259</v>
      </c>
      <c r="S9" s="34" t="n">
        <v>-0.1723353</v>
      </c>
      <c r="T9" s="34" t="n">
        <v>-0.1153624</v>
      </c>
      <c r="U9" s="34" t="n">
        <v>0.09074989999999999</v>
      </c>
      <c r="V9" s="34" t="n">
        <v>0.2805325</v>
      </c>
    </row>
    <row r="10" ht="16" customHeight="1">
      <c r="A10" s="32" t="n">
        <v>6</v>
      </c>
      <c r="B10" s="26" t="inlineStr">
        <is>
          <t>HWM</t>
        </is>
      </c>
      <c r="C10" s="27" t="inlineStr">
        <is>
          <t>Howmet Aerospace Inc.</t>
        </is>
      </c>
      <c r="D10" s="28" t="n">
        <v>96029.8</v>
      </c>
      <c r="E10" s="39" t="n">
        <v>239.22</v>
      </c>
      <c r="F10" s="40" t="n">
        <v>0.241</v>
      </c>
      <c r="G10" s="40" t="n">
        <v>0.149</v>
      </c>
      <c r="H10" s="40" t="n">
        <v>0.373</v>
      </c>
      <c r="I10" s="40" t="n">
        <v>-0.029</v>
      </c>
      <c r="J10" s="40" t="n">
        <v>0.01</v>
      </c>
      <c r="K10" s="41" t="n">
        <v>67.7</v>
      </c>
      <c r="L10" s="41" t="n">
        <v>67.2</v>
      </c>
      <c r="M10" s="42" t="n">
        <v>64.2</v>
      </c>
      <c r="N10" s="24" t="n">
        <v>59.3</v>
      </c>
      <c r="O10" s="43" t="inlineStr">
        <is>
          <t>—</t>
        </is>
      </c>
      <c r="P10" s="44" t="n">
        <v>36.1</v>
      </c>
      <c r="Q10" s="45" t="inlineStr">
        <is>
          <t>Speculative</t>
        </is>
      </c>
      <c r="R10" s="40" t="n">
        <v>-0.151341</v>
      </c>
      <c r="S10" s="40" t="n">
        <v>-0.0297303</v>
      </c>
      <c r="T10" s="40" t="n">
        <v>-0.0436173</v>
      </c>
      <c r="U10" s="40" t="n">
        <v>0.166813</v>
      </c>
      <c r="V10" s="40" t="n">
        <v>0.3332219</v>
      </c>
    </row>
    <row r="11" ht="16" customHeight="1">
      <c r="A11" s="32" t="n">
        <v>7</v>
      </c>
      <c r="B11" s="19" t="inlineStr">
        <is>
          <t>AXON</t>
        </is>
      </c>
      <c r="C11" s="20" t="inlineStr">
        <is>
          <t>Axon Enterprise, Inc.</t>
        </is>
      </c>
      <c r="D11" s="21" t="n">
        <v>41037.4</v>
      </c>
      <c r="E11" s="33" t="n">
        <v>509.78</v>
      </c>
      <c r="F11" s="34" t="n">
        <v>0.353</v>
      </c>
      <c r="G11" s="34" t="n">
        <v>0.025</v>
      </c>
      <c r="H11" s="34" t="n">
        <v>0.604</v>
      </c>
      <c r="I11" s="34" t="n">
        <v>0.07400000000000001</v>
      </c>
      <c r="J11" s="34" t="n">
        <v>0.057</v>
      </c>
      <c r="K11" s="35" t="n">
        <v>76.2</v>
      </c>
      <c r="L11" s="35" t="n">
        <v>57.3</v>
      </c>
      <c r="M11" s="36" t="n">
        <v>63.8</v>
      </c>
      <c r="N11" s="24" t="n">
        <v>56.9</v>
      </c>
      <c r="O11" s="37" t="inlineStr">
        <is>
          <t>—</t>
        </is>
      </c>
      <c r="P11" s="44" t="n">
        <v>33.6</v>
      </c>
      <c r="Q11" s="45" t="inlineStr">
        <is>
          <t>Speculative</t>
        </is>
      </c>
      <c r="R11" s="34" t="n">
        <v>-0.1073186</v>
      </c>
      <c r="S11" s="34" t="n">
        <v>0.0820915</v>
      </c>
      <c r="T11" s="34" t="n">
        <v>-0.1119841</v>
      </c>
      <c r="U11" s="34" t="n">
        <v>-0.1024774</v>
      </c>
      <c r="V11" s="34" t="n">
        <v>-0.311743</v>
      </c>
    </row>
    <row r="12" ht="16" customHeight="1">
      <c r="A12" s="32" t="n">
        <v>8</v>
      </c>
      <c r="B12" s="26" t="inlineStr">
        <is>
          <t>TDG</t>
        </is>
      </c>
      <c r="C12" s="27" t="inlineStr">
        <is>
          <t>TransDigm Group Incorporated</t>
        </is>
      </c>
      <c r="D12" s="28" t="n">
        <v>64116.7</v>
      </c>
      <c r="E12" s="39" t="n">
        <v>1147.775</v>
      </c>
      <c r="F12" s="40" t="n">
        <v>0.225</v>
      </c>
      <c r="G12" s="40" t="n">
        <v>0.132</v>
      </c>
      <c r="H12" s="40" t="n">
        <v>0.594</v>
      </c>
      <c r="I12" s="40" t="n">
        <v>0.01</v>
      </c>
      <c r="J12" s="40" t="n">
        <v>0.013</v>
      </c>
      <c r="K12" s="41" t="n">
        <v>67.90000000000001</v>
      </c>
      <c r="L12" s="41" t="n">
        <v>56.1</v>
      </c>
      <c r="M12" s="42" t="n">
        <v>63.6</v>
      </c>
      <c r="N12" s="24" t="n">
        <v>64.5</v>
      </c>
      <c r="O12" s="43" t="inlineStr">
        <is>
          <t>—</t>
        </is>
      </c>
      <c r="P12" s="44" t="n">
        <v>3.3</v>
      </c>
      <c r="Q12" s="45" t="inlineStr">
        <is>
          <t>Speculative</t>
        </is>
      </c>
      <c r="R12" s="40" t="n">
        <v>-0.063232</v>
      </c>
      <c r="S12" s="40" t="n">
        <v>-0.0485003</v>
      </c>
      <c r="T12" s="40" t="n">
        <v>-0.1133655</v>
      </c>
      <c r="U12" s="40" t="n">
        <v>-0.1369139</v>
      </c>
      <c r="V12" s="40" t="n">
        <v>-0.1124811</v>
      </c>
    </row>
    <row r="13" ht="16" customHeight="1">
      <c r="A13" s="32" t="n">
        <v>9</v>
      </c>
      <c r="B13" s="19" t="inlineStr">
        <is>
          <t>FTAI</t>
        </is>
      </c>
      <c r="C13" s="20" t="inlineStr">
        <is>
          <t>FTAI Aviation Ltd.</t>
        </is>
      </c>
      <c r="D13" s="21" t="n">
        <v>20414</v>
      </c>
      <c r="E13" s="33" t="n">
        <v>198.9917</v>
      </c>
      <c r="F13" s="34" t="n">
        <v>0.409</v>
      </c>
      <c r="G13" s="34" t="n">
        <v>-0.103</v>
      </c>
      <c r="H13" s="34" t="n">
        <v>0.333</v>
      </c>
      <c r="I13" s="34" t="n">
        <v>0.027</v>
      </c>
      <c r="J13" s="34" t="n">
        <v>0.011</v>
      </c>
      <c r="K13" s="35" t="n">
        <v>66.5</v>
      </c>
      <c r="L13" s="35" t="n">
        <v>77.59999999999999</v>
      </c>
      <c r="M13" s="36" t="n">
        <v>63.6</v>
      </c>
      <c r="N13" s="24" t="n">
        <v>52.2</v>
      </c>
      <c r="O13" s="37" t="inlineStr">
        <is>
          <t>—</t>
        </is>
      </c>
      <c r="P13" s="44" t="n">
        <v>26.6</v>
      </c>
      <c r="Q13" s="45" t="inlineStr">
        <is>
          <t>Speculative</t>
        </is>
      </c>
      <c r="R13" s="34" t="n">
        <v>-0.0788476</v>
      </c>
      <c r="S13" s="34" t="n">
        <v>-0.1356852</v>
      </c>
      <c r="T13" s="34" t="n">
        <v>-0.2349145</v>
      </c>
      <c r="U13" s="34" t="n">
        <v>0.0118872</v>
      </c>
      <c r="V13" s="34" t="n">
        <v>0.1969114</v>
      </c>
    </row>
    <row r="14" ht="16" customHeight="1">
      <c r="A14" s="32" t="n">
        <v>10</v>
      </c>
      <c r="B14" s="26" t="inlineStr">
        <is>
          <t>TDY</t>
        </is>
      </c>
      <c r="C14" s="27" t="inlineStr">
        <is>
          <t>Teledyne Technologies Incorporated</t>
        </is>
      </c>
      <c r="D14" s="28" t="n">
        <v>28081.3</v>
      </c>
      <c r="E14" s="39" t="n">
        <v>605.9</v>
      </c>
      <c r="F14" s="40" t="n">
        <v>0.098</v>
      </c>
      <c r="G14" s="40" t="n">
        <v>-0.004</v>
      </c>
      <c r="H14" s="40" t="n">
        <v>0.444</v>
      </c>
      <c r="I14" s="40" t="n">
        <v>-0.004</v>
      </c>
      <c r="J14" s="40" t="n">
        <v>0.009000000000000001</v>
      </c>
      <c r="K14" s="41" t="n">
        <v>54.6</v>
      </c>
      <c r="L14" s="41" t="n">
        <v>77.7</v>
      </c>
      <c r="M14" s="42" t="n">
        <v>63.2</v>
      </c>
      <c r="N14" s="24" t="n">
        <v>61.6</v>
      </c>
      <c r="O14" s="43" t="inlineStr">
        <is>
          <t>—</t>
        </is>
      </c>
      <c r="P14" s="44" t="n">
        <v>31.5</v>
      </c>
      <c r="Q14" s="45" t="inlineStr">
        <is>
          <t>Speculative</t>
        </is>
      </c>
      <c r="R14" s="40" t="n">
        <v>-0.1235354</v>
      </c>
      <c r="S14" s="40" t="n">
        <v>-0.0105817</v>
      </c>
      <c r="T14" s="40" t="n">
        <v>-0.0644494</v>
      </c>
      <c r="U14" s="40" t="n">
        <v>0.1863411</v>
      </c>
      <c r="V14" s="40" t="n">
        <v>0.1090976</v>
      </c>
    </row>
    <row r="17" ht="22" customHeight="1">
      <c r="A17" s="16" t="inlineStr">
        <is>
          <t>SCORE COMPONENT BREAKDOWN</t>
        </is>
      </c>
      <c r="B17" s="17" t="n"/>
      <c r="C17" s="17" t="n"/>
      <c r="D17" s="17" t="n"/>
      <c r="E17" s="17" t="n"/>
      <c r="F17" s="17" t="n"/>
      <c r="G17" s="17" t="n"/>
      <c r="H17" s="17" t="n"/>
      <c r="I17" s="17" t="n"/>
      <c r="J17" s="17" t="n"/>
      <c r="K17" s="17" t="n"/>
      <c r="L17" s="17" t="n"/>
      <c r="M17" s="17" t="n"/>
      <c r="N17" s="17" t="n"/>
      <c r="O17" s="17" t="n"/>
      <c r="P17" s="17" t="n"/>
      <c r="Q17" s="17" t="n"/>
      <c r="R17" s="17" t="n"/>
      <c r="S17" s="17" t="n"/>
      <c r="T17" s="17" t="n"/>
      <c r="U17" s="17" t="n"/>
      <c r="V17" s="17" t="n"/>
    </row>
    <row r="18" ht="18" customHeight="1">
      <c r="A18" s="18" t="inlineStr">
        <is>
          <t>Ticker</t>
        </is>
      </c>
      <c r="B18" s="18" t="inlineStr">
        <is>
          <t>Rev Growth</t>
        </is>
      </c>
      <c r="C18" s="18" t="inlineStr">
        <is>
          <t>Gross Margin</t>
        </is>
      </c>
      <c r="D18" s="18" t="inlineStr">
        <is>
          <t>Dilution</t>
        </is>
      </c>
      <c r="E18" s="18" t="inlineStr">
        <is>
          <t>Insider Own</t>
        </is>
      </c>
      <c r="F18" s="18" t="inlineStr">
        <is>
          <t>Acceleration</t>
        </is>
      </c>
    </row>
    <row r="19" ht="16" customHeight="1">
      <c r="A19" s="19" t="inlineStr">
        <is>
          <t>MPWR</t>
        </is>
      </c>
      <c r="B19" s="35" t="n">
        <v>95.2</v>
      </c>
      <c r="C19" s="35" t="n">
        <v>100</v>
      </c>
      <c r="D19" s="35" t="n">
        <v>100</v>
      </c>
      <c r="E19" s="35" t="n">
        <v>36</v>
      </c>
      <c r="F19" s="35" t="n">
        <v>91.5</v>
      </c>
    </row>
    <row r="20" ht="16" customHeight="1">
      <c r="A20" s="26" t="inlineStr">
        <is>
          <t>MCHP</t>
        </is>
      </c>
      <c r="B20" s="41" t="n">
        <v>76</v>
      </c>
      <c r="C20" s="41" t="n">
        <v>100</v>
      </c>
      <c r="D20" s="41" t="n">
        <v>100</v>
      </c>
      <c r="E20" s="41" t="n">
        <v>20</v>
      </c>
      <c r="F20" s="41" t="n">
        <v>100</v>
      </c>
    </row>
    <row r="21" ht="16" customHeight="1">
      <c r="A21" s="19" t="inlineStr">
        <is>
          <t>HEI</t>
        </is>
      </c>
      <c r="B21" s="35" t="n">
        <v>46.2</v>
      </c>
      <c r="C21" s="35" t="n">
        <v>100</v>
      </c>
      <c r="D21" s="35" t="n">
        <v>100</v>
      </c>
      <c r="E21" s="35" t="n">
        <v>100</v>
      </c>
      <c r="F21" s="35" t="n">
        <v>68.5</v>
      </c>
    </row>
    <row r="22" ht="16" customHeight="1">
      <c r="A22" s="26" t="inlineStr">
        <is>
          <t>UI</t>
        </is>
      </c>
      <c r="B22" s="41" t="n">
        <v>47</v>
      </c>
      <c r="C22" s="41" t="n">
        <v>100</v>
      </c>
      <c r="D22" s="41" t="n">
        <v>100</v>
      </c>
      <c r="E22" s="41" t="n">
        <v>100</v>
      </c>
      <c r="F22" s="41" t="n">
        <v>0</v>
      </c>
    </row>
    <row r="23" ht="16" customHeight="1">
      <c r="A23" s="19" t="inlineStr">
        <is>
          <t>RBC</t>
        </is>
      </c>
      <c r="B23" s="35" t="n">
        <v>38.4</v>
      </c>
      <c r="C23" s="35" t="n">
        <v>100</v>
      </c>
      <c r="D23" s="35" t="n">
        <v>82.8</v>
      </c>
      <c r="E23" s="35" t="n">
        <v>91</v>
      </c>
      <c r="F23" s="35" t="n">
        <v>79.8</v>
      </c>
    </row>
    <row r="24" ht="16" customHeight="1">
      <c r="A24" s="26" t="inlineStr">
        <is>
          <t>HWM</t>
        </is>
      </c>
      <c r="B24" s="41" t="n">
        <v>48.2</v>
      </c>
      <c r="C24" s="41" t="n">
        <v>93.2</v>
      </c>
      <c r="D24" s="41" t="n">
        <v>100</v>
      </c>
      <c r="E24" s="41" t="n">
        <v>10</v>
      </c>
      <c r="F24" s="41" t="n">
        <v>87.2</v>
      </c>
    </row>
    <row r="25" ht="16" customHeight="1">
      <c r="A25" s="19" t="inlineStr">
        <is>
          <t>AXON</t>
        </is>
      </c>
      <c r="B25" s="35" t="n">
        <v>70.59999999999999</v>
      </c>
      <c r="C25" s="35" t="n">
        <v>100</v>
      </c>
      <c r="D25" s="35" t="n">
        <v>90.40000000000001</v>
      </c>
      <c r="E25" s="35" t="n">
        <v>57</v>
      </c>
      <c r="F25" s="35" t="n">
        <v>56.2</v>
      </c>
    </row>
    <row r="26" ht="16" customHeight="1">
      <c r="A26" s="26" t="inlineStr">
        <is>
          <t>TDG</t>
        </is>
      </c>
      <c r="B26" s="41" t="n">
        <v>45</v>
      </c>
      <c r="C26" s="41" t="n">
        <v>100</v>
      </c>
      <c r="D26" s="41" t="n">
        <v>100</v>
      </c>
      <c r="E26" s="41" t="n">
        <v>13</v>
      </c>
      <c r="F26" s="41" t="n">
        <v>83</v>
      </c>
    </row>
    <row r="27" ht="16" customHeight="1">
      <c r="A27" s="19" t="inlineStr">
        <is>
          <t>FTAI</t>
        </is>
      </c>
      <c r="B27" s="35" t="n">
        <v>81.8</v>
      </c>
      <c r="C27" s="35" t="n">
        <v>83.2</v>
      </c>
      <c r="D27" s="35" t="n">
        <v>100</v>
      </c>
      <c r="E27" s="35" t="n">
        <v>11</v>
      </c>
      <c r="F27" s="35" t="n">
        <v>24.2</v>
      </c>
    </row>
    <row r="28" ht="16" customHeight="1">
      <c r="A28" s="26" t="inlineStr">
        <is>
          <t>TDY</t>
        </is>
      </c>
      <c r="B28" s="41" t="n">
        <v>19.6</v>
      </c>
      <c r="C28" s="41" t="n">
        <v>100</v>
      </c>
      <c r="D28" s="41" t="n">
        <v>100</v>
      </c>
      <c r="E28" s="41" t="n">
        <v>9</v>
      </c>
      <c r="F28" s="41" t="n">
        <v>49</v>
      </c>
    </row>
    <row r="60">
      <c r="A60" t="inlineStr">
        <is>
          <t>Ticker</t>
        </is>
      </c>
      <c r="B60" t="inlineStr">
        <is>
          <t>Gross Margin</t>
        </is>
      </c>
      <c r="C60" t="inlineStr">
        <is>
          <t>Rev Growth</t>
        </is>
      </c>
      <c r="D60" t="inlineStr">
        <is>
          <t>Mkt Cap</t>
        </is>
      </c>
    </row>
    <row r="61">
      <c r="A61" t="inlineStr">
        <is>
          <t>MPWR</t>
        </is>
      </c>
      <c r="B61" t="n">
        <v>55.2</v>
      </c>
      <c r="C61" t="n">
        <v>47.6</v>
      </c>
      <c r="D61" t="n">
        <v>60014.5</v>
      </c>
    </row>
    <row r="62">
      <c r="A62" t="inlineStr">
        <is>
          <t>MCHP</t>
        </is>
      </c>
      <c r="B62" t="n">
        <v>63.2</v>
      </c>
      <c r="C62" t="n">
        <v>38</v>
      </c>
      <c r="D62" t="n">
        <v>40144.6</v>
      </c>
    </row>
    <row r="63">
      <c r="A63" t="inlineStr">
        <is>
          <t>HEI</t>
        </is>
      </c>
      <c r="B63" t="n">
        <v>41.1</v>
      </c>
      <c r="C63" t="n">
        <v>23.1</v>
      </c>
      <c r="D63" t="n">
        <v>44349.6</v>
      </c>
    </row>
    <row r="64">
      <c r="A64" t="inlineStr">
        <is>
          <t>UI</t>
        </is>
      </c>
      <c r="B64" t="n">
        <v>45.8</v>
      </c>
      <c r="C64" t="n">
        <v>23.5</v>
      </c>
      <c r="D64" t="n">
        <v>34616.2</v>
      </c>
    </row>
    <row r="65">
      <c r="A65" t="inlineStr">
        <is>
          <t>RBC</t>
        </is>
      </c>
      <c r="B65" t="n">
        <v>47.7</v>
      </c>
      <c r="C65" t="n">
        <v>19.2</v>
      </c>
      <c r="D65" t="n">
        <v>15470</v>
      </c>
    </row>
    <row r="66">
      <c r="A66" t="inlineStr">
        <is>
          <t>HWM</t>
        </is>
      </c>
      <c r="B66" t="n">
        <v>37.3</v>
      </c>
      <c r="C66" t="n">
        <v>24.1</v>
      </c>
      <c r="D66" t="n">
        <v>96029.8</v>
      </c>
    </row>
    <row r="67">
      <c r="A67" t="inlineStr">
        <is>
          <t>AXON</t>
        </is>
      </c>
      <c r="B67" t="n">
        <v>60.4</v>
      </c>
      <c r="C67" t="n">
        <v>35.3</v>
      </c>
      <c r="D67" t="n">
        <v>41037.4</v>
      </c>
    </row>
    <row r="68">
      <c r="A68" t="inlineStr">
        <is>
          <t>TDG</t>
        </is>
      </c>
      <c r="B68" t="n">
        <v>59.4</v>
      </c>
      <c r="C68" t="n">
        <v>22.5</v>
      </c>
      <c r="D68" t="n">
        <v>64116.7</v>
      </c>
    </row>
    <row r="69">
      <c r="A69" t="inlineStr">
        <is>
          <t>FTAI</t>
        </is>
      </c>
      <c r="B69" t="n">
        <v>33.3</v>
      </c>
      <c r="C69" t="n">
        <v>40.9</v>
      </c>
      <c r="D69" t="n">
        <v>20414</v>
      </c>
    </row>
    <row r="70">
      <c r="A70" t="inlineStr">
        <is>
          <t>TDY</t>
        </is>
      </c>
      <c r="B70" t="n">
        <v>44.4</v>
      </c>
      <c r="C70" t="n">
        <v>9.800000000000001</v>
      </c>
      <c r="D70" t="n">
        <v>28081.3</v>
      </c>
    </row>
  </sheetData>
  <mergeCells count="3">
    <mergeCell ref="A2:V2"/>
    <mergeCell ref="A1:V1"/>
    <mergeCell ref="A17:V17"/>
  </mergeCells>
  <conditionalFormatting sqref="K5:K14">
    <cfRule type="colorScale" priority="1">
      <colorScale>
        <cfvo type="num" val="0"/>
        <cfvo type="num" val="50"/>
        <cfvo type="num" val="100"/>
        <color rgb="00C1121F"/>
        <color rgb="00F9C74F"/>
        <color rgb="001A6B3C"/>
      </colorScale>
    </cfRule>
  </conditionalFormatting>
  <conditionalFormatting sqref="L5:L14">
    <cfRule type="colorScale" priority="2">
      <colorScale>
        <cfvo type="num" val="0"/>
        <cfvo type="num" val="50"/>
        <cfvo type="num" val="100"/>
        <color rgb="00C1121F"/>
        <color rgb="00F9C74F"/>
        <color rgb="001A6B3C"/>
      </colorScale>
    </cfRule>
  </conditionalFormatting>
  <conditionalFormatting sqref="M5:M14">
    <cfRule type="colorScale" priority="3">
      <colorScale>
        <cfvo type="num" val="0"/>
        <cfvo type="num" val="50"/>
        <cfvo type="num" val="100"/>
        <color rgb="00C1121F"/>
        <color rgb="00F9C74F"/>
        <color rgb="001A6B3C"/>
      </colorScale>
    </cfRule>
  </conditionalFormatting>
  <conditionalFormatting sqref="N5:N14">
    <cfRule type="colorScale" priority="4">
      <colorScale>
        <cfvo type="num" val="0"/>
        <cfvo type="num" val="50"/>
        <cfvo type="num" val="100"/>
        <color rgb="00C1121F"/>
        <color rgb="00F9C74F"/>
        <color rgb="001A6B3C"/>
      </colorScale>
    </cfRule>
  </conditionalFormatting>
  <conditionalFormatting sqref="P5:P14">
    <cfRule type="colorScale" priority="5">
      <colorScale>
        <cfvo type="min"/>
        <cfvo type="max"/>
        <color rgb="002A9D8F"/>
        <color rgb="00E76F51"/>
      </colorScale>
    </cfRule>
  </conditionalFormatting>
  <conditionalFormatting sqref="F5:F14">
    <cfRule type="colorScale" priority="6">
      <colorScale>
        <cfvo type="min"/>
        <cfvo type="max"/>
        <color rgb="00FFFFFF"/>
        <color rgb="002A9D8F"/>
      </colorScale>
    </cfRule>
  </conditionalFormatting>
  <conditionalFormatting sqref="H5:H14">
    <cfRule type="colorScale" priority="7">
      <colorScale>
        <cfvo type="min"/>
        <cfvo type="max"/>
        <color rgb="00FFFFFF"/>
        <color rgb="002A9D8F"/>
      </colorScale>
    </cfRule>
  </conditionalFormatting>
  <conditionalFormatting sqref="I5:I14">
    <cfRule type="colorScale" priority="8">
      <colorScale>
        <cfvo type="min"/>
        <cfvo type="max"/>
        <color rgb="002A9D8F"/>
        <color rgb="00E76F51"/>
      </colorScale>
    </cfRule>
  </conditionalFormatting>
  <conditionalFormatting sqref="J5:J14">
    <cfRule type="colorScale" priority="9">
      <colorScale>
        <cfvo type="min"/>
        <cfvo type="max"/>
        <color rgb="00FFFFFF"/>
        <color rgb="002A9D8F"/>
      </colorScale>
    </cfRule>
  </conditionalFormatting>
  <conditionalFormatting sqref="R5:R14">
    <cfRule type="colorScale" priority="10">
      <colorScale>
        <cfvo type="min"/>
        <cfvo type="num" val="0"/>
        <cfvo type="max"/>
        <color rgb="00E76F51"/>
        <color rgb="00FFFFFF"/>
        <color rgb="002A9D8F"/>
      </colorScale>
    </cfRule>
  </conditionalFormatting>
  <conditionalFormatting sqref="S5:S14">
    <cfRule type="colorScale" priority="11">
      <colorScale>
        <cfvo type="min"/>
        <cfvo type="num" val="0"/>
        <cfvo type="max"/>
        <color rgb="00E76F51"/>
        <color rgb="00FFFFFF"/>
        <color rgb="002A9D8F"/>
      </colorScale>
    </cfRule>
  </conditionalFormatting>
  <conditionalFormatting sqref="T5:T14">
    <cfRule type="colorScale" priority="12">
      <colorScale>
        <cfvo type="min"/>
        <cfvo type="num" val="0"/>
        <cfvo type="max"/>
        <color rgb="00E76F51"/>
        <color rgb="00FFFFFF"/>
        <color rgb="002A9D8F"/>
      </colorScale>
    </cfRule>
  </conditionalFormatting>
  <conditionalFormatting sqref="U5:U14">
    <cfRule type="colorScale" priority="13">
      <colorScale>
        <cfvo type="min"/>
        <cfvo type="num" val="0"/>
        <cfvo type="max"/>
        <color rgb="00E76F51"/>
        <color rgb="00FFFFFF"/>
        <color rgb="002A9D8F"/>
      </colorScale>
    </cfRule>
  </conditionalFormatting>
  <conditionalFormatting sqref="V5:V14">
    <cfRule type="colorScale" priority="14">
      <colorScale>
        <cfvo type="min"/>
        <cfvo type="num" val="0"/>
        <cfvo type="max"/>
        <color rgb="00E76F51"/>
        <color rgb="00FFFFFF"/>
        <color rgb="002A9D8F"/>
      </colorScale>
    </cfRule>
  </conditionalFormatting>
  <conditionalFormatting sqref="B19:B28">
    <cfRule type="colorScale" priority="15">
      <colorScale>
        <cfvo type="num" val="0"/>
        <cfvo type="num" val="50"/>
        <cfvo type="num" val="100"/>
        <color rgb="00C1121F"/>
        <color rgb="00F9C74F"/>
        <color rgb="001A6B3C"/>
      </colorScale>
    </cfRule>
  </conditionalFormatting>
  <conditionalFormatting sqref="C19:C28">
    <cfRule type="colorScale" priority="16">
      <colorScale>
        <cfvo type="num" val="0"/>
        <cfvo type="num" val="50"/>
        <cfvo type="num" val="100"/>
        <color rgb="00C1121F"/>
        <color rgb="00F9C74F"/>
        <color rgb="001A6B3C"/>
      </colorScale>
    </cfRule>
  </conditionalFormatting>
  <conditionalFormatting sqref="D19:D28">
    <cfRule type="colorScale" priority="17">
      <colorScale>
        <cfvo type="num" val="0"/>
        <cfvo type="num" val="50"/>
        <cfvo type="num" val="100"/>
        <color rgb="00C1121F"/>
        <color rgb="00F9C74F"/>
        <color rgb="001A6B3C"/>
      </colorScale>
    </cfRule>
  </conditionalFormatting>
  <conditionalFormatting sqref="E19:E28">
    <cfRule type="colorScale" priority="18">
      <colorScale>
        <cfvo type="num" val="0"/>
        <cfvo type="num" val="50"/>
        <cfvo type="num" val="100"/>
        <color rgb="00C1121F"/>
        <color rgb="00F9C74F"/>
        <color rgb="001A6B3C"/>
      </colorScale>
    </cfRule>
  </conditionalFormatting>
  <conditionalFormatting sqref="F19:F28">
    <cfRule type="colorScale" priority="19">
      <colorScale>
        <cfvo type="num" val="0"/>
        <cfvo type="num" val="50"/>
        <cfvo type="num" val="100"/>
        <color rgb="00C1121F"/>
        <color rgb="00F9C74F"/>
        <color rgb="001A6B3C"/>
      </colorScale>
    </cfRule>
  </conditionalFormatting>
  <pageMargins left="0.75" right="0.75" top="1" bottom="1" header="0.5" footer="0.5"/>
  <pageSetup orientation="landscape" fitToWidth="1"/>
  <drawing xmlns:r="http://schemas.openxmlformats.org/officeDocument/2006/relationships" r:id="rId1"/>
</worksheet>
</file>

<file path=xl/worksheets/sheet6.xml><?xml version="1.0" encoding="utf-8"?>
<worksheet xmlns="http://schemas.openxmlformats.org/spreadsheetml/2006/main">
  <sheetPr>
    <tabColor rgb="002E3B4E"/>
    <outlinePr summaryBelow="1" summaryRight="1"/>
    <pageSetUpPr fitToPage="1"/>
  </sheetPr>
  <dimension ref="A1:F4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8" customWidth="1" min="2" max="2"/>
    <col width="18" customWidth="1" min="3" max="3"/>
    <col width="22" customWidth="1" min="4" max="4"/>
    <col width="12" customWidth="1" min="5" max="5"/>
    <col width="55" customWidth="1" min="6" max="6"/>
  </cols>
  <sheetData>
    <row r="1" ht="28" customHeight="1">
      <c r="A1" s="30" t="inlineStr">
        <is>
          <t>Company Descriptions &amp; Profiles</t>
        </is>
      </c>
      <c r="B1" s="11" t="n"/>
      <c r="C1" s="11" t="n"/>
      <c r="D1" s="11" t="n"/>
      <c r="E1" s="11" t="n"/>
      <c r="F1" s="11" t="n"/>
    </row>
    <row r="2" ht="22" customHeight="1">
      <c r="A2" s="31" t="inlineStr">
        <is>
          <t>All screened companies  |  September 08, 2026</t>
        </is>
      </c>
      <c r="B2" s="12" t="n"/>
      <c r="C2" s="12" t="n"/>
      <c r="D2" s="12" t="n"/>
      <c r="E2" s="12" t="n"/>
      <c r="F2" s="12" t="n"/>
    </row>
    <row r="3" ht="8" customHeight="1"/>
    <row r="4" ht="18" customHeight="1">
      <c r="A4" s="18" t="inlineStr">
        <is>
          <t>Ticker</t>
        </is>
      </c>
      <c r="B4" s="18" t="inlineStr">
        <is>
          <t>Company</t>
        </is>
      </c>
      <c r="C4" s="18" t="inlineStr">
        <is>
          <t>Sector</t>
        </is>
      </c>
      <c r="D4" s="18" t="inlineStr">
        <is>
          <t>Industry</t>
        </is>
      </c>
      <c r="E4" s="18" t="inlineStr">
        <is>
          <t>Tier</t>
        </is>
      </c>
      <c r="F4" s="18" t="inlineStr">
        <is>
          <t>Description</t>
        </is>
      </c>
    </row>
    <row r="5" ht="60" customHeight="1">
      <c r="A5" s="19" t="inlineStr">
        <is>
          <t>SODI</t>
        </is>
      </c>
      <c r="B5" s="20" t="inlineStr">
        <is>
          <t>Solitron Devices, Inc.</t>
        </is>
      </c>
      <c r="C5" s="20" t="inlineStr">
        <is>
          <t>Technology</t>
        </is>
      </c>
      <c r="D5" s="46" t="inlineStr">
        <is>
          <t>Semiconductors</t>
        </is>
      </c>
      <c r="E5" s="47" t="inlineStr">
        <is>
          <t>Nano Cap</t>
        </is>
      </c>
      <c r="F5" s="48" t="inlineStr">
        <is>
          <t>Solitron Devices, Inc. creates, produces, and sells semiconductor components primarily for the defense and aerospace sectors. Their product range includes various transistors (bipolar, MOS, and field effect), power and control hybrids, diodes, and voltage regulators that meet military specifications. These electronic parts are vital components for military, commercial, and aerospace systems, including ground and airborne radar, power distribution networks, missiles, missile control systems, satellites, and other space applications. Furthermore, their offerings extend to non-military scientific and industrial uses. Established in 1959 and headquartered in West Palm Beach, Florida, the company maintains a global presence, serving customers across North America, Latin America, Asia, and the Middle East.</t>
        </is>
      </c>
    </row>
    <row r="6" ht="60" customHeight="1">
      <c r="A6" s="26" t="inlineStr">
        <is>
          <t>SCTQ</t>
        </is>
      </c>
      <c r="B6" s="27" t="inlineStr">
        <is>
          <t>Spectra Systems Corporation</t>
        </is>
      </c>
      <c r="C6" s="27" t="inlineStr">
        <is>
          <t>Technology</t>
        </is>
      </c>
      <c r="D6" s="27" t="inlineStr">
        <is>
          <t>Software - Application</t>
        </is>
      </c>
      <c r="E6" s="49" t="inlineStr">
        <is>
          <t>Nano Cap</t>
        </is>
      </c>
      <c r="F6" s="50" t="inlineStr">
        <is>
          <t>Spectra Systems Corporation, founded in 1996 and headquartered in Providence, Rhode Island, specializes in the innovation, development, and global distribution of integrated optical systems. The company, which was formerly known as Spectra Science Corporation until its rebranding in June 2001, manages its operations through three distinct divisions: Authentication Systems, Secure Transactions, and Banknote Cleaning. Its Authentication Systems segment delivers comprehensive solutions, including a blend of unique taggant materials and sophisticated sensor technology, vital for the verification of banknotes used by central banks, and contributes to passport security for G7 nations. This division also provides authentication tools for brand-name products. Furthermore, it produces advanced optical materials crucial for security and quality assurance, such as fluorescent, phosphorescent, invisible pigments and dyes, and gasochromic response materials, alongside offering custom material and h</t>
        </is>
      </c>
    </row>
    <row r="7" ht="60" customHeight="1">
      <c r="A7" s="19" t="inlineStr">
        <is>
          <t>RELL</t>
        </is>
      </c>
      <c r="B7" s="20" t="inlineStr">
        <is>
          <t>Richardson Electronics, Ltd.</t>
        </is>
      </c>
      <c r="C7" s="20" t="inlineStr">
        <is>
          <t>Technology</t>
        </is>
      </c>
      <c r="D7" s="20" t="inlineStr">
        <is>
          <t>Hardware, Equipment &amp; Parts</t>
        </is>
      </c>
      <c r="E7" s="47" t="inlineStr">
        <is>
          <t>Nano Cap</t>
        </is>
      </c>
      <c r="F7" s="48" t="inlineStr">
        <is>
          <t>Richardson Electronics, Ltd. provides engineered solutions, power grid and microwave tube, and related consumables in North America, the Asia Pacific, Europe, and Latin America. The company’s Power and Microwave Technologies segment manufactures electron tubes and radio frequency (RF), microwave and power components used in semiconductor manufacturing equipment, RF, and wireless and industrial power applications, as well as various applications, including broadcast transmission, CO2 laser cutting, diagnostic imaging, dielectric and induction heating, energy transfer, high voltage switching, plasma, power conversion, radar, and radiation oncology. This segment also provides thyratrons and rectifiers, power tubes, ignitrons, magnetrons, phototubes, microwave generators, ultracapacitor modules, and liquid crystal display monitors under the Amperex, Cetron, and National brands. Its Green Energy Solutions segment operates as a designer, manufacturer, technology partner, and distributor of p</t>
        </is>
      </c>
    </row>
    <row r="8" ht="60" customHeight="1">
      <c r="A8" s="26" t="inlineStr">
        <is>
          <t>GLTK</t>
        </is>
      </c>
      <c r="B8" s="27" t="inlineStr">
        <is>
          <t>GlobalTech Corporation</t>
        </is>
      </c>
      <c r="C8" s="27" t="inlineStr">
        <is>
          <t>Communication Services</t>
        </is>
      </c>
      <c r="D8" s="27" t="inlineStr">
        <is>
          <t>Telecommunications Services</t>
        </is>
      </c>
      <c r="E8" s="49" t="inlineStr">
        <is>
          <t>Nano Cap</t>
        </is>
      </c>
      <c r="F8" s="50" t="inlineStr">
        <is>
          <t>GlobalTech Corporation focuses its operations on the communications and broadband sector within Pakistan. The company furnishes wireless local loop (WLL) services, alongside managing a vast infrastructure of long-distance and international networks that enable both domestic and global interconnectivity for its own subscribers and other telecommunications companies. Furthermore, GlobalTech is involved in the re-transmission of various broadcast signals, encompassing international and national satellite, terrestrial wireless, cable television, and radio content. It also offers interactive communication platforms, provides licensed telephony services, and delivers digital television, conventional analog cable TV, and high-speed broadband internet access. Serving both residential and corporate customers, the firm supplies a wide array of solutions, including fiber optic-based communications and full-service managed IT support tailored for major businesses. Originally incorporated in 2017 u</t>
        </is>
      </c>
    </row>
    <row r="9" ht="60" customHeight="1">
      <c r="A9" s="19" t="inlineStr">
        <is>
          <t>INTT</t>
        </is>
      </c>
      <c r="B9" s="20" t="inlineStr">
        <is>
          <t>inTEST Corporation</t>
        </is>
      </c>
      <c r="C9" s="20" t="inlineStr">
        <is>
          <t>Technology</t>
        </is>
      </c>
      <c r="D9" s="46" t="inlineStr">
        <is>
          <t>Semiconductors</t>
        </is>
      </c>
      <c r="E9" s="47" t="inlineStr">
        <is>
          <t>Nano Cap</t>
        </is>
      </c>
      <c r="F9" s="48" t="inlineStr">
        <is>
          <t xml:space="preserve">inTEST Corporation is a global provider of specialized equipment and services for manufacturing and testing processes across various industries, including automotive, defense/aerospace, industrial, life sciences, security, and semiconductor sectors. The company operates through two main divisions: Thermal Products and Electromechanical Semiconductor Products (EMS). The Thermal Products segment delivers a range of environmental and thermal management solutions. This includes ThermoStream products, which function as standalone temperature control units or integrate into diverse electronic test setups. The segment also offers Thermal Chambers, Thermal Platforms, and Thermonics temperature conditioning units designed to provide precisely tempered gas or fluid. Additionally, it supplies specialized cryogenic storage solutions, such as biomedical freezers, refrigerators, and mobile storage, alongside EKOHEAT and EASYHEAT induction heating systems, and digital streaming and image acquisition </t>
        </is>
      </c>
    </row>
    <row r="10" ht="60" customHeight="1">
      <c r="A10" s="26" t="inlineStr">
        <is>
          <t>AISP</t>
        </is>
      </c>
      <c r="B10" s="27" t="inlineStr">
        <is>
          <t>Airship AI Holdings, Inc.</t>
        </is>
      </c>
      <c r="C10" s="27" t="inlineStr">
        <is>
          <t>Technology</t>
        </is>
      </c>
      <c r="D10" s="27" t="inlineStr">
        <is>
          <t>Software - Infrastructure</t>
        </is>
      </c>
      <c r="E10" s="49" t="inlineStr">
        <is>
          <t>Nano Cap</t>
        </is>
      </c>
      <c r="F10" s="50" t="inlineStr">
        <is>
          <t>Based in the U.S., Airship AI Holdings, Inc. delivers an artificial intelligence-powered surveillance solution that unifies video, sensor, and data management capabilities. Its product portfolio includes Airship Acropolis OS for both IP and traditional analog video surveillance; Airship Command, a comprehensive set of visualization tools enabling users to analyze data and evidence collected at the network edge; and Airship Outpost, which facilitates high-definition recording along with customizable low-bit rate video stream encoding. Their clientele spans various sectors, including governmental bodies, the public sector, law enforcement agencies, military operations, and commercial enterprises. Previously operating as Super Simple AI, Inc., the company officially adopted the name Airship AI Holdings, Inc. in March 2023. Established in 2006, its corporate headquarters are situated in Redmond, Washington.</t>
        </is>
      </c>
    </row>
    <row r="11" ht="60" customHeight="1">
      <c r="A11" s="19" t="inlineStr">
        <is>
          <t>GLOO</t>
        </is>
      </c>
      <c r="B11" s="20" t="inlineStr">
        <is>
          <t>Gloo Holdings, Inc.</t>
        </is>
      </c>
      <c r="C11" s="20" t="inlineStr">
        <is>
          <t>Technology</t>
        </is>
      </c>
      <c r="D11" s="20" t="inlineStr">
        <is>
          <t>Software - Application</t>
        </is>
      </c>
      <c r="E11" s="47" t="inlineStr">
        <is>
          <t>Nano Cap</t>
        </is>
      </c>
      <c r="F11" s="48" t="inlineStr">
        <is>
          <t>Gloo Holdings, Inc., established in Boulder, Colorado in 2013, specializes in developing a targeted technology platform designed to empower the faith and community flourishing sectors. The company serves two primary client groups: network capability providers (NCPs) and a diverse array of churches and frontline organizations (CFLs). For CFLs, Gloo offers a suite of complimentary services, including robust messaging and texting capabilities, carefully curated content, and streamlined access to valuable resources. The company's comprehensive platform is built around several integrated components: Gloo Workspace: An intuitive online portal that acts as a central hub for pastors and ministry leaders. It provides crucial tools for leading, expanding, and managing their operations, encompassing valuable content and insights, communication utilities, practical organizational tools, data analytics, and an integrated e-commerce marketplace. Gloo360: This module delivers an extensive range of en</t>
        </is>
      </c>
    </row>
    <row r="12" ht="60" customHeight="1">
      <c r="A12" s="26" t="inlineStr">
        <is>
          <t>ROC</t>
        </is>
      </c>
      <c r="B12" s="27" t="inlineStr">
        <is>
          <t>Rank One Computing Corp.</t>
        </is>
      </c>
      <c r="C12" s="27" t="inlineStr">
        <is>
          <t>Technology</t>
        </is>
      </c>
      <c r="D12" s="27" t="inlineStr">
        <is>
          <t>Software - Application</t>
        </is>
      </c>
      <c r="E12" s="49" t="inlineStr">
        <is>
          <t>Nano Cap</t>
        </is>
      </c>
      <c r="F12" s="50" t="inlineStr">
        <is>
          <t>Rank One Computing Corporation provides advanced biometric, facial recognition, and vision AI solutions in United States. Its products includes ROC SDK, offers AI / ML developed vision AI algorithms including biometrics (face, fingerprint, and iris) and object detection models (Automated License-Plate Recognition (ALPR), pedestrian, vehicles, optical character recognition; ROC ABIS, an enterprise-grade biometric identity system; ROC Watch, an post-event video analytics platform that delivers multimodal video analytics, visitor management, and threat detection in a single pane of glass; ROC Enroll, a remote identity verification solution that enforces compliant selfie facial capture, spoof-prevention (Liveness), face to ID matching. It serves law enforcement, defense, national security, fintech, public safety, and commercial security and engagement markets. The company was incorporated in 2015 and is based in Denver, Colorado.</t>
        </is>
      </c>
    </row>
    <row r="13" ht="60" customHeight="1">
      <c r="A13" s="19" t="inlineStr">
        <is>
          <t>LTRX</t>
        </is>
      </c>
      <c r="B13" s="20" t="inlineStr">
        <is>
          <t>Lantronix, Inc.</t>
        </is>
      </c>
      <c r="C13" s="20" t="inlineStr">
        <is>
          <t>Technology</t>
        </is>
      </c>
      <c r="D13" s="51" t="inlineStr">
        <is>
          <t>Communication Equipment</t>
        </is>
      </c>
      <c r="E13" s="47" t="inlineStr">
        <is>
          <t>Nano Cap</t>
        </is>
      </c>
      <c r="F13" s="48" t="inlineStr">
        <is>
          <t xml:space="preserve">Lantronix, Inc. is a technology company specializing in the delivery of hardware, software-as-a-service (SaaS), and professional engineering services. Its solutions are designed to support edge computing, the Internet of Things (IoT), and remote environment management (REM) for clients across the Americas, Europe, the Middle East, Africa, and the Asia Pacific region. Within its IoT portfolio, Lantronix offers a diverse range of products, categorized broadly into Connectivity, Compute, and Telematics solutions. Its IoT Connectivity offerings facilitate robust wired and wireless connections, significantly boosting the functionality and effectiveness of contemporary electronic systems. These solutions encompass secure network access, Power over Ethernet (PoE) for device power, application hosting, and essential protocol and media conversion, ensuring secure and efficient operation for geographically dispersed IoT implementations. The IoT Compute segment delivers processing power tailored </t>
        </is>
      </c>
    </row>
    <row r="14" ht="60" customHeight="1">
      <c r="A14" s="26" t="inlineStr">
        <is>
          <t>QUIK</t>
        </is>
      </c>
      <c r="B14" s="27" t="inlineStr">
        <is>
          <t>QuickLogic Corporation</t>
        </is>
      </c>
      <c r="C14" s="27" t="inlineStr">
        <is>
          <t>Technology</t>
        </is>
      </c>
      <c r="D14" s="46" t="inlineStr">
        <is>
          <t>Semiconductors</t>
        </is>
      </c>
      <c r="E14" s="49" t="inlineStr">
        <is>
          <t>Nano Cap</t>
        </is>
      </c>
      <c r="F14" s="50" t="inlineStr">
        <is>
          <t>QuickLogic Corporation operates as a fabless semiconductor company. The company offers embedded FPGA intellectual property, low power, multicore semiconductor system-on-chips, discrete FPGAs, and AI software; and end-to-end artificial intelligence/machine learning solution with accurate sensor algorithms using AI technology. It also provides various products, such as software tools, and eFPGA IP enables the practical and efficient field programmability for aerospace and defense, consumer/industrial IoT, and consumer electronics markets. In addition, the company engages in the eFPGA IP Licensing business and associated professional services, consisting of development and integration of eFPGA technology into custom semiconductor solutions. Further, the company offers silicon products, such as EOS, QuickAI, ArcticLink III, PolarPro 3, PolarPro II, PolarPro, and Eclipse II products; Software as a Service (SaaS) subscriptions; and PASIC 3 and QuickRAM, as well as programming hardware and de</t>
        </is>
      </c>
    </row>
    <row r="15" ht="60" customHeight="1">
      <c r="A15" s="19" t="inlineStr">
        <is>
          <t>CLFD</t>
        </is>
      </c>
      <c r="B15" s="20" t="inlineStr">
        <is>
          <t>Clearfield, Inc.</t>
        </is>
      </c>
      <c r="C15" s="20" t="inlineStr">
        <is>
          <t>Technology</t>
        </is>
      </c>
      <c r="D15" s="51" t="inlineStr">
        <is>
          <t>Communication Equipment</t>
        </is>
      </c>
      <c r="E15" s="47" t="inlineStr">
        <is>
          <t>Small Cap</t>
        </is>
      </c>
      <c r="F15" s="48" t="inlineStr">
        <is>
          <t>Clearfield, Inc. specializes in the development, manufacturing, and global distribution of both standard and customized passive fiber optic connectivity solutions. These products cater to a diverse clientele, including entities engaged in fiber-to-the-premises (FTTP) deployments, enterprise networks, and original equipment manufacturers (OEMs) across the United States and internationally. The company's extensive product portfolio encompasses several key lines: FieldSmart: A range of physical infrastructure components such as panels, cabinets, and wall boxes, specifically designed for housing and protecting fiber optic connections. WaveSmart: Optical components critical for managing light signals, enabling functions like coupling, splitting, termination, multiplexing, demultiplexing, and attenuation when integrated into their fiber management systems. Solutions for outdoor network installations, including outdoor and fiber active cabinet products. StreetSmart: Various fiber management p</t>
        </is>
      </c>
    </row>
    <row r="16" ht="60" customHeight="1">
      <c r="A16" s="26" t="inlineStr">
        <is>
          <t>TRC</t>
        </is>
      </c>
      <c r="B16" s="27" t="inlineStr">
        <is>
          <t>Tejon Ranch Co.</t>
        </is>
      </c>
      <c r="C16" s="27" t="inlineStr">
        <is>
          <t>Industrials</t>
        </is>
      </c>
      <c r="D16" s="27" t="inlineStr">
        <is>
          <t>Conglomerates</t>
        </is>
      </c>
      <c r="E16" s="49" t="inlineStr">
        <is>
          <t>Small Cap</t>
        </is>
      </c>
      <c r="F16" s="50" t="inlineStr">
        <is>
          <t>Tejon Ranch Co., through its various subsidiaries, operates as a multifaceted enterprise primarily focused on real estate development and agricultural operations. Its business is structured across five distinct divisions: Commercial/Industrial Real Estate Development, Resort/Residential Real Estate Development, Mineral Resources, Farming, and Ranch Operations. The Commercial/Industrial Real Estate Development division handles the entire process from land planning and obtaining permits to constructing vital infrastructure and developing properties for lease or sale, which includes creating ready-to-occupy buildings or selling plots to other developers. Additionally, it manages communication leases and landscaping services. This segment generates revenue by leasing land to various commercial tenants, such as two auto service stations with convenience stores, thirteen fast-food establishments, a motel, an antique shop, and a post office. It also provides sites for microwave repeaters, rad</t>
        </is>
      </c>
    </row>
    <row r="17" ht="60" customHeight="1">
      <c r="A17" s="19" t="inlineStr">
        <is>
          <t>MRAM</t>
        </is>
      </c>
      <c r="B17" s="20" t="inlineStr">
        <is>
          <t>Everspin Technologies, Inc.</t>
        </is>
      </c>
      <c r="C17" s="20" t="inlineStr">
        <is>
          <t>Technology</t>
        </is>
      </c>
      <c r="D17" s="46" t="inlineStr">
        <is>
          <t>Semiconductors</t>
        </is>
      </c>
      <c r="E17" s="47" t="inlineStr">
        <is>
          <t>Small Cap</t>
        </is>
      </c>
      <c r="F17" s="48" t="inlineStr">
        <is>
          <t>Everspin Technologies, Inc. is a global provider specializing in the development and distribution of advanced magnetoresistive random access memory (MRAM) products. The company's market reach extends across various international regions, including key territories like the United States, Hong Kong, Japan, China, and Canada. Its comprehensive product line encompasses Toggle MRAM, spin-transfer torque MRAM (STT-MRAM), and tunnel magneto resistance (TMR) sensor components, alongside offering foundry services for embedded MRAM solutions. These high-performance memory devices are deployed in a wide array of demanding applications, serving sectors such as data centers, industrial automation, medical technology, automotive and transportation systems, and the aerospace industry. Everspin supplies its offerings to both original equipment manufacturers (OEMs) and original design manufacturers (ODMs) through a combination of direct sales efforts and a robust network of representatives and distribu</t>
        </is>
      </c>
    </row>
    <row r="18" ht="60" customHeight="1">
      <c r="A18" s="26" t="inlineStr">
        <is>
          <t>VPG</t>
        </is>
      </c>
      <c r="B18" s="27" t="inlineStr">
        <is>
          <t>Vishay Precision Group, Inc.</t>
        </is>
      </c>
      <c r="C18" s="27" t="inlineStr">
        <is>
          <t>Technology</t>
        </is>
      </c>
      <c r="D18" s="27" t="inlineStr">
        <is>
          <t>Hardware, Equipment &amp; Parts</t>
        </is>
      </c>
      <c r="E18" s="49" t="inlineStr">
        <is>
          <t>Small Cap</t>
        </is>
      </c>
      <c r="F18" s="50" t="inlineStr">
        <is>
          <t>Vishay Precision Group, Inc. engages in the precision measurement and sensing technologies business in the United States, Europe, Israel, Asia, and Canada. It operates through three segments: Sensors, Weighing Solutions, and Measurement Systems. The company offers precision resistors, strain gages, load cells and force measurement transducers, vehicle weighing and over-load monitoring systems, and control process weighing products; rolling force measuring load cell systems and pressure transmitters; web tension measurement load cells and systems; optical strip width gages; and laser velocimeters for speed and length measurements and closed-loop crop optimization control systems for optimal strip cuts. The company also offers thermal-mechanical simulation systems for metallurgical research; conditioning, data acquisition, and control systems; and data acquisition systems and sensors for product safety testing, as well as electronic displays, signal processors, micro-electromechanical sy</t>
        </is>
      </c>
    </row>
    <row r="19" ht="60" customHeight="1">
      <c r="A19" s="19" t="inlineStr">
        <is>
          <t>CDRE</t>
        </is>
      </c>
      <c r="B19" s="20" t="inlineStr">
        <is>
          <t>Cadre Holdings, Inc.</t>
        </is>
      </c>
      <c r="C19" s="20" t="inlineStr">
        <is>
          <t>Industrials</t>
        </is>
      </c>
      <c r="D19" s="52" t="inlineStr">
        <is>
          <t>Aerospace &amp; Defense</t>
        </is>
      </c>
      <c r="E19" s="47" t="inlineStr">
        <is>
          <t>Small Cap</t>
        </is>
      </c>
      <c r="F19" s="48" t="inlineStr">
        <is>
          <t xml:space="preserve">Cadre Holdings, Inc. specializes in manufacturing and distributing vital safety and survival gear designed to protect individuals in perilous or life-threatening environments, both within the United States and globally. The company operates through two distinct divisions: its proprietary Products segment and a Distribution arm. Under its well-known Safariland and Protech Tactical brands, Cadre produces a wide array of body armor, encompassing discreet concealable vests, correctional facility-specific protection, and tactical models. Their extensive product line also features survival suits, remotely operated vehicles (ROVs), specialized tools, blast detection sensors, various ancillary items, vehicle blast attenuation seating for explosive ordnance disposal technicians, and full bomb suits. Furthermore, they supply essential duty equipment, such as belts and accessories, alongside other protective and law enforcement essentials, including communications systems, forensic investigation </t>
        </is>
      </c>
    </row>
    <row r="20" ht="60" customHeight="1">
      <c r="A20" s="26" t="inlineStr">
        <is>
          <t>ELMT</t>
        </is>
      </c>
      <c r="B20" s="27" t="inlineStr">
        <is>
          <t>Elmet Group Co.</t>
        </is>
      </c>
      <c r="C20" s="27" t="inlineStr">
        <is>
          <t>Industrials</t>
        </is>
      </c>
      <c r="D20" s="52" t="inlineStr">
        <is>
          <t>Aerospace &amp; Defense</t>
        </is>
      </c>
      <c r="E20" s="49" t="inlineStr">
        <is>
          <t>Small Cap</t>
        </is>
      </c>
      <c r="F20" s="50" t="inlineStr">
        <is>
          <t>Elmet Group Co. delivers high-precision engineered components. This firm supplies its products and tailored solutions to a wide array of clients, spanning the aerospace, defense, industrial, medical, semiconductor, electronics, and energy industries, as well as governmental organizations. It conducts its operations through two key divisions: Critical Materials Components and Engineered Microwave Products. The company was established on September 13, 2024, and maintains its corporate headquarters in Portland, Maine.</t>
        </is>
      </c>
    </row>
    <row r="21" ht="60" customHeight="1">
      <c r="A21" s="19" t="inlineStr">
        <is>
          <t>SWBI</t>
        </is>
      </c>
      <c r="B21" s="20" t="inlineStr">
        <is>
          <t>Smith &amp; Wesson Brands, Inc.</t>
        </is>
      </c>
      <c r="C21" s="20" t="inlineStr">
        <is>
          <t>Industrials</t>
        </is>
      </c>
      <c r="D21" s="52" t="inlineStr">
        <is>
          <t>Aerospace &amp; Defense</t>
        </is>
      </c>
      <c r="E21" s="47" t="inlineStr">
        <is>
          <t>Small Cap</t>
        </is>
      </c>
      <c r="F21" s="48" t="inlineStr">
        <is>
          <t>Smith &amp; Wesson Brands, Inc. (SWBI) is a leading global enterprise engaged in the design, production, and worldwide sale of firearms. Their extensive product range features various handguns, including revolvers and semi-automatic pistols, along with long guns such as contemporary sporting rifles and bolt-action models. The company also offers related accessories like restraints (handcuffs) and sound suppressors, primarily under its well-known Smith &amp; Wesson, M&amp;P, and Gemtech labels. Beyond its core firearm manufacturing, SWBI provides a suite of specialized industrial services to other businesses. These capabilities encompass precision processes like forging, heat treating, rapid prototyping, tool fabrication, various finishing techniques, electroplating, advanced machining, and custom plastic injection molding. These services are delivered under the Smith &amp; Wesson and Smith &amp; Wesson Precision Components brand names. The company also distributes components procured from third-party supp</t>
        </is>
      </c>
    </row>
    <row r="22" ht="60" customHeight="1">
      <c r="A22" s="26" t="inlineStr">
        <is>
          <t>AVEX</t>
        </is>
      </c>
      <c r="B22" s="27" t="inlineStr">
        <is>
          <t>Aevex Corp.</t>
        </is>
      </c>
      <c r="C22" s="27" t="inlineStr">
        <is>
          <t>Industrials</t>
        </is>
      </c>
      <c r="D22" s="52" t="inlineStr">
        <is>
          <t>Aerospace &amp; Defense</t>
        </is>
      </c>
      <c r="E22" s="49" t="inlineStr">
        <is>
          <t>Small Cap</t>
        </is>
      </c>
      <c r="F22" s="50" t="inlineStr">
        <is>
          <t>AEVEX Corp. functions as a holding entity, conducting its business through two distinct divisions: Tactical Systems and Global Solutions. The Tactical Systems segment is dedicated to the engineering, creation, and fabrication of autonomous platforms, including uncrewed aerial vehicles and unmanned surface vessels. Meanwhile, the Global Solutions division focuses on providing specialized services and critical mission support to clients within the defense and intelligence sectors. The company was founded in 2017 and its primary corporate offices are situated in Solana Beach, California.</t>
        </is>
      </c>
    </row>
    <row r="23" ht="60" customHeight="1">
      <c r="A23" s="19" t="inlineStr">
        <is>
          <t>PKE</t>
        </is>
      </c>
      <c r="B23" s="20" t="inlineStr">
        <is>
          <t>Park Aerospace Corp.</t>
        </is>
      </c>
      <c r="C23" s="20" t="inlineStr">
        <is>
          <t>Industrials</t>
        </is>
      </c>
      <c r="D23" s="52" t="inlineStr">
        <is>
          <t>Aerospace &amp; Defense</t>
        </is>
      </c>
      <c r="E23" s="47" t="inlineStr">
        <is>
          <t>Small Cap</t>
        </is>
      </c>
      <c r="F23" s="48" t="inlineStr">
        <is>
          <t>Park Aerospace Corp. (PKE) is a manufacturer and innovator of advanced composite materials. Utilizing both solution and hot-melt processes, the company crafts these materials into composite structures primarily for the aerospace market, serving clients across North America, Asia, and Europe. Its portfolio of advanced composites features critical products such as film adhesives and lightning strike protection materials. These are essential for fabricating both primary and secondary structural components found in diverse aircraft types, including jet engines, large and regional airliners, military aircraft, unmanned aerial vehicles (UAVs), business jets, general aviation planes, and rotary-wing aircraft. Additionally, PKE provides specialized ablative materials for rocket motors and nozzles, alongside custom-engineered solutions for radome applications. The company also offers design and fabrication services for composite parts, assemblies, and structures, as well as low-volume tooling s</t>
        </is>
      </c>
    </row>
    <row r="24" ht="60" customHeight="1">
      <c r="A24" s="26" t="inlineStr">
        <is>
          <t>EVLV</t>
        </is>
      </c>
      <c r="B24" s="27" t="inlineStr">
        <is>
          <t>Evolv Technologies Holdings, Inc.</t>
        </is>
      </c>
      <c r="C24" s="27" t="inlineStr">
        <is>
          <t>Industrials</t>
        </is>
      </c>
      <c r="D24" s="27" t="inlineStr">
        <is>
          <t>Security &amp; Protection Services</t>
        </is>
      </c>
      <c r="E24" s="49" t="inlineStr">
        <is>
          <t>Small Cap</t>
        </is>
      </c>
      <c r="F24" s="50" t="inlineStr">
        <is>
          <t>Evolv Technologies Holdings, Inc. develops, manufactures, markets, and sells security screening products and specific services in the United States and internationally. It offers Evolv Express, that is designed to detect firearms, improvised explosive devices, and large tactical knives in unstructured people flows; Evolv eXpedite, an autonomous AI-based weapon detection system for bags being brought to venues by visitors in high clutter environments; and Evolv Insights Analytics Application which provides self-serve access, insights regarding visitor flow and arrival curves, location specific performance, system detection performance and alarm statistics, and comparisons across multiple business dimensions. The company serves various industries comprising education, healthcare, professional sports, notable performing arts and entertainment venues, major tourist destinations and cultural attractions, government and corporate offices, hospitality facilities, distribution facilities, larg</t>
        </is>
      </c>
    </row>
    <row r="25" ht="60" customHeight="1">
      <c r="A25" s="19" t="inlineStr">
        <is>
          <t>KRMN</t>
        </is>
      </c>
      <c r="B25" s="20" t="inlineStr">
        <is>
          <t>Karman Holdings Inc.</t>
        </is>
      </c>
      <c r="C25" s="20" t="inlineStr">
        <is>
          <t>Industrials</t>
        </is>
      </c>
      <c r="D25" s="52" t="inlineStr">
        <is>
          <t>Aerospace &amp; Defense</t>
        </is>
      </c>
      <c r="E25" s="47" t="inlineStr">
        <is>
          <t>Breakout</t>
        </is>
      </c>
      <c r="F25" s="48" t="inlineStr">
        <is>
          <t>Karman Holdings Inc., primarily operating through its Karman Space and Defense division, specializes in the design, rigorous testing, production, and sale of vital systems. These critical components are integral to sectors such as missile and defense, various space programs, hypersonic flight, and launch vehicle technologies. The company's offerings also encompass aerospace-grade metallic and composite flight hardware, alongside their necessary sub-assemblies. Additionally, Karman Holdings provides comprehensive solutions for key elements including payload protection and deployment systems, aerodynamic interstage structures, and propulsion units. Established in 2020, the enterprise is based in Huntington Beach, California, and is ultimately owned by its parent company, TCFIII Spaceco SPV LP.</t>
        </is>
      </c>
    </row>
    <row r="26" ht="60" customHeight="1">
      <c r="A26" s="26" t="inlineStr">
        <is>
          <t>AADX</t>
        </is>
      </c>
      <c r="B26" s="27" t="inlineStr">
        <is>
          <t>Applied Aerospace &amp; Defense, Inc.</t>
        </is>
      </c>
      <c r="C26" s="27" t="inlineStr">
        <is>
          <t>Industrials</t>
        </is>
      </c>
      <c r="D26" s="52" t="inlineStr">
        <is>
          <t>Aerospace &amp; Defense</t>
        </is>
      </c>
      <c r="E26" s="49" t="inlineStr">
        <is>
          <t>Breakout</t>
        </is>
      </c>
      <c r="F26" s="50" t="inlineStr">
        <is>
          <t>Applied Aerospace &amp; Defense, Inc. engages in the provision of integrated manufacturing solutions. It focuses on serving the following markets: Space and Launch Systems, Defense Aviation and Airborne Systems, and C5ISR and Precision Strike Systems. The company was founded on October 7, 2022 and is headquartered in Huntsville, AL.</t>
        </is>
      </c>
    </row>
    <row r="27" ht="60" customHeight="1">
      <c r="A27" s="19" t="inlineStr">
        <is>
          <t>VSH</t>
        </is>
      </c>
      <c r="B27" s="20" t="inlineStr">
        <is>
          <t>Vishay Intertechnology, Inc.</t>
        </is>
      </c>
      <c r="C27" s="20" t="inlineStr">
        <is>
          <t>Technology</t>
        </is>
      </c>
      <c r="D27" s="46" t="inlineStr">
        <is>
          <t>Semiconductors</t>
        </is>
      </c>
      <c r="E27" s="47" t="inlineStr">
        <is>
          <t>Breakout</t>
        </is>
      </c>
      <c r="F27" s="48" t="inlineStr">
        <is>
          <t xml:space="preserve">Vishay Intertechnology, Inc. is a global manufacturer and supplier of discrete semiconductors and passive electronic components, serving customers across Asia, Europe, and the Americas. The company organizes its operations across six primary segments: Metal Oxide Semiconductor Field Effect Transistors (MOSFETs), Diodes, Optoelectronic Components, Resistors, Inductors, and Capacitors. The MOSFETs division offers a variety of products, including low- and medium-voltage TrenchFET MOSFETs, high-voltage planar MOSFETs, high-voltage Super Junction MOSFETs, along with power integrated circuits and integrated function power devices. Its Diodes segment provides rectifiers, small signal diodes, protection diodes, thyristors (also known as silicon-controlled rectifiers), and power modules. The Optoelectronic Components unit features a range of standard and custom-designed products such as infrared (IR) emitters and detectors, IR remote control receivers, optocouplers, solid-state relays, optical </t>
        </is>
      </c>
    </row>
    <row r="28" ht="60" customHeight="1">
      <c r="A28" s="26" t="inlineStr">
        <is>
          <t>RUN</t>
        </is>
      </c>
      <c r="B28" s="27" t="inlineStr">
        <is>
          <t>Sunrun Inc.</t>
        </is>
      </c>
      <c r="C28" s="27" t="inlineStr">
        <is>
          <t>Energy</t>
        </is>
      </c>
      <c r="D28" s="53" t="inlineStr">
        <is>
          <t>Solar</t>
        </is>
      </c>
      <c r="E28" s="49" t="inlineStr">
        <is>
          <t>Breakout</t>
        </is>
      </c>
      <c r="F28" s="50" t="inlineStr">
        <is>
          <t>Sunrun Inc. is a company operating in the United States that specializes in providing comprehensive residential solar energy solutions. Their services encompass the entire lifecycle of a solar system, from initial design and development through installation, sales, ongoing ownership, and maintenance. In addition to complete solar energy systems, Sunrun also offers individual components like solar panels and racking equipment. They further enhance their offerings by integrating battery storage capabilities with their solar installations. Residential homeowners are the primary clientele for Sunrun. The company utilizes a direct-to-consumer sales approach, employing a broad spectrum of marketing and sales channels, including online platforms, retail partnerships, mass and digital media advertising, door-to-door canvassing, field marketing, and referral programs. Sunrun Inc. was founded in 2007 and is headquartered in San Francisco, California.</t>
        </is>
      </c>
    </row>
    <row r="29" ht="60" customHeight="1">
      <c r="A29" s="19" t="inlineStr">
        <is>
          <t>ESI</t>
        </is>
      </c>
      <c r="B29" s="20" t="inlineStr">
        <is>
          <t>Element Solutions Inc</t>
        </is>
      </c>
      <c r="C29" s="20" t="inlineStr">
        <is>
          <t>Basic Materials</t>
        </is>
      </c>
      <c r="D29" s="20" t="inlineStr">
        <is>
          <t>Chemicals - Specialty</t>
        </is>
      </c>
      <c r="E29" s="47" t="inlineStr">
        <is>
          <t>Breakout</t>
        </is>
      </c>
      <c r="F29" s="48" t="inlineStr">
        <is>
          <t xml:space="preserve">Headquartered in Fort Lauderdale, Florida, Element Solutions Inc (ESI) operates as a multinational specialty chemicals enterprise, with significant business operations in the United States, China, and various international territories. The company's activities are divided into two primary segments: Electronics, and Industrial &amp; Specialty. The Electronics division focuses on researching, developing, and supplying advanced chemical formulations and materials essential for a wide spectrum of electronic hardware products. This segment provides crucial supplies for the electronics assembly industry, encompassing solder technologies, fluxes, and various cleaning and attachment solutions. Furthermore, it offers proprietary liquid chemical processes vital for the manufacture of printed circuit boards (PCBs), alongside sophisticated technologies such as advanced copper interconnects, die attachment, wafer bumping processes, and photomask solutions, all indispensable for integrated circuit (IC) </t>
        </is>
      </c>
    </row>
    <row r="30" ht="60" customHeight="1">
      <c r="A30" s="26" t="inlineStr">
        <is>
          <t>BETA</t>
        </is>
      </c>
      <c r="B30" s="27" t="inlineStr">
        <is>
          <t>BETA Technologies, Inc.</t>
        </is>
      </c>
      <c r="C30" s="27" t="inlineStr">
        <is>
          <t>Industrials</t>
        </is>
      </c>
      <c r="D30" s="52" t="inlineStr">
        <is>
          <t>Aerospace &amp; Defense</t>
        </is>
      </c>
      <c r="E30" s="49" t="inlineStr">
        <is>
          <t>Breakout</t>
        </is>
      </c>
      <c r="F30" s="50" t="inlineStr">
        <is>
          <t>BETA Technologies, Inc. is a U.S.-based company that specializes in the design, engineering, and production of innovative electric aircraft platforms and integrated propulsion systems for the aviation sector. Its comprehensive product portfolio encompasses various electric aerial vehicles, advanced electric propulsion units, charging infrastructure, and essential components. The company's electric aircraft offerings include the piloted ALIA-CTOL (CX300), which is designed for freight operations, and the adaptable ALIA VTOL (A250), a vertical takeoff and landing model suitable for cargo, logistics, medical missions, and passenger services. For military applications, BETA provides the ALIA Defense VTOL (MV250), tailored for defense logistics and larger aircraft support. Beyond complete aircraft, BETA produces specialized components such as the H500A and V600 motors, which find application in both aerospace and marine environments, alongside proprietary battery systems for its electric ai</t>
        </is>
      </c>
    </row>
    <row r="31" ht="60" customHeight="1">
      <c r="A31" s="19" t="inlineStr">
        <is>
          <t>LASR</t>
        </is>
      </c>
      <c r="B31" s="20" t="inlineStr">
        <is>
          <t>nLIGHT, Inc.</t>
        </is>
      </c>
      <c r="C31" s="20" t="inlineStr">
        <is>
          <t>Technology</t>
        </is>
      </c>
      <c r="D31" s="46" t="inlineStr">
        <is>
          <t>Semiconductors</t>
        </is>
      </c>
      <c r="E31" s="47" t="inlineStr">
        <is>
          <t>Breakout</t>
        </is>
      </c>
      <c r="F31" s="48" t="inlineStr">
        <is>
          <t>nLIGHT, Inc. specializes in the development, production, and sale of advanced semiconductor and fiber lasers. These sophisticated laser systems find applications across diverse sectors such as industrial manufacturing, precision microfabrication, and the aerospace and defense industries. The company's operations are divided into two main segments: Laser Products and Advanced Development. Furthermore, nLIGHT supplies fiber amplifiers and intricate beam combination and control systems, which are integral to high-energy laser systems used in directed energy applications. The firm utilizes a dual distribution approach, leveraging its direct sales force in key markets including the United States, China, South Korea, and European countries, while also partnering with independent sales representatives and distributors across wider regions in Asia, Europe, and South America. Founded in 2000, the company was originally known as nLight Photonics Corporation before officially adopting its current</t>
        </is>
      </c>
    </row>
    <row r="32" ht="60" customHeight="1">
      <c r="A32" s="26" t="inlineStr">
        <is>
          <t>CALX</t>
        </is>
      </c>
      <c r="B32" s="27" t="inlineStr">
        <is>
          <t>Calix, Inc.</t>
        </is>
      </c>
      <c r="C32" s="27" t="inlineStr">
        <is>
          <t>Technology</t>
        </is>
      </c>
      <c r="D32" s="51" t="inlineStr">
        <is>
          <t>Communication Equipment</t>
        </is>
      </c>
      <c r="E32" s="49" t="inlineStr">
        <is>
          <t>Breakout</t>
        </is>
      </c>
      <c r="F32" s="50" t="inlineStr">
        <is>
          <t>Headquartered in San Jose, California, Calix, Inc., established in 1999, is a global technology provider specializing in cloud and software platforms, robust systems, and comprehensive services. The company's innovative solutions empower broadband service providers (BSPs) to offer a diverse array of services to their customers. Calix's reach extends throughout the United States, the broader Americas, Europe, the Middle East, Africa, and the Asia Pacific region. A core offering is the Calix Cloud platform, an advanced, role-based analytics suite comprising Calix Marketing Cloud, Calix Support Cloud, and Calix Operations Cloud. This platform is highly configurable, delivering tailored insights that enable BSPs to proactively identify and pursue lucrative new revenue streams and applications, often through mobile interfaces. Additionally, Calix provides EXOS, a carrier-class operating system for premises equipment, seamlessly integrated with its GigaSpire family of systems to deliver comp</t>
        </is>
      </c>
    </row>
    <row r="33" ht="60" customHeight="1">
      <c r="A33" s="19" t="inlineStr">
        <is>
          <t>IPGP</t>
        </is>
      </c>
      <c r="B33" s="20" t="inlineStr">
        <is>
          <t>IPG Photonics Corporation</t>
        </is>
      </c>
      <c r="C33" s="20" t="inlineStr">
        <is>
          <t>Technology</t>
        </is>
      </c>
      <c r="D33" s="46" t="inlineStr">
        <is>
          <t>Semiconductors</t>
        </is>
      </c>
      <c r="E33" s="47" t="inlineStr">
        <is>
          <t>Breakout</t>
        </is>
      </c>
      <c r="F33" s="48" t="inlineStr">
        <is>
          <t>Established in 1990 and headquartered in Oxford, Massachusetts, IPG Photonics Corporation is a leading global developer and manufacturer of high-performance fiber, diode, and hybrid fiber-solid state lasers, along with fiber amplifiers. These advanced laser systems are primarily utilized across a wide range of materials processing applications worldwide. The company's extensive product portfolio encompasses a diverse array of laser types, including hybrid fiber-solid state lasers (offering green and UV wavelengths), fiber-pigtailed packaged diodes, fiber-coupled direct diode systems, high-energy pulsed lasers, multi-wavelength and tunable lasers, and single-polarization/single-frequency models. Complementing these are essential accessories such as high-power optical fiber delivery cables, couplers, beam switches, chillers, and scanners. IPG Photonics also offers a comprehensive range of fiber amplifiers, including erbium-doped, Raman, ytterbium, and thulium specialty types, alongside b</t>
        </is>
      </c>
    </row>
    <row r="34" ht="60" customHeight="1">
      <c r="A34" s="26" t="inlineStr">
        <is>
          <t>KD</t>
        </is>
      </c>
      <c r="B34" s="27" t="inlineStr">
        <is>
          <t>Kyndryl Holdings, Inc.</t>
        </is>
      </c>
      <c r="C34" s="27" t="inlineStr">
        <is>
          <t>Technology</t>
        </is>
      </c>
      <c r="D34" s="27" t="inlineStr">
        <is>
          <t>Information Technology Services</t>
        </is>
      </c>
      <c r="E34" s="49" t="inlineStr">
        <is>
          <t>Breakout</t>
        </is>
      </c>
      <c r="F34" s="50" t="inlineStr">
        <is>
          <t>Kyndryl Holdings, Inc. functions as a global technology and IT infrastructure services specialist. The firm delivers a comprehensive portfolio of IT solutions, encompassing cloud computing, foundational enterprise platforms, application development, data analytics, and artificial intelligence capabilities. Additionally, Kyndryl provides services related to modern digital workplaces, robust security and resiliency, alongside advanced network and edge computing solutions. It caters to a diverse clientele across various sectors such as finance, telecommunications, retail, automotive, and logistics. Established in 2020, its corporate headquarters are situated in New York, New York.</t>
        </is>
      </c>
    </row>
    <row r="35" ht="60" customHeight="1">
      <c r="A35" s="19" t="inlineStr">
        <is>
          <t>MPWR</t>
        </is>
      </c>
      <c r="B35" s="20" t="inlineStr">
        <is>
          <t>Monolithic Power Systems, Inc.</t>
        </is>
      </c>
      <c r="C35" s="20" t="inlineStr">
        <is>
          <t>Technology</t>
        </is>
      </c>
      <c r="D35" s="46" t="inlineStr">
        <is>
          <t>Semiconductors</t>
        </is>
      </c>
      <c r="E35" s="47" t="inlineStr">
        <is>
          <t>Vital Link</t>
        </is>
      </c>
      <c r="F35" s="48" t="inlineStr">
        <is>
          <t>Monolithic Power Systems, Inc. specializes in the creation, promotion, and sale of advanced semiconductor components for power management. Their innovative solutions cater to a broad spectrum of industries, including information technology, data storage, automotive, industrial applications, telecommunications, and consumer electronics. A core offering consists of direct current (DC) to DC integrated circuits (ICs), which are vital for regulating and transforming electrical voltages in diverse systems such as portable gadgets, wireless local area network access points, personal computers, displays, car entertainment systems, and medical devices. Additionally, they provide integrated circuits specifically designed for lighting control, essential for illuminating liquid crystal display (LCD) panels in laptops, monitors, vehicle navigation systems, and televisions, alongside general illumination products. The company reaches its clientele, which includes major equipment manufacturers, desi</t>
        </is>
      </c>
    </row>
    <row r="36" ht="60" customHeight="1">
      <c r="A36" s="26" t="inlineStr">
        <is>
          <t>MCHP</t>
        </is>
      </c>
      <c r="B36" s="27" t="inlineStr">
        <is>
          <t>Microchip Technology Incorporated</t>
        </is>
      </c>
      <c r="C36" s="27" t="inlineStr">
        <is>
          <t>Technology</t>
        </is>
      </c>
      <c r="D36" s="46" t="inlineStr">
        <is>
          <t>Semiconductors</t>
        </is>
      </c>
      <c r="E36" s="49" t="inlineStr">
        <is>
          <t>Vital Link</t>
        </is>
      </c>
      <c r="F36" s="50" t="inlineStr">
        <is>
          <t>Microchip Technology Incorporated creates, produces, and sells intelligent, interconnected, and secure embedded control solutions to customers throughout the Americas, Europe, and Asia. The company's core offerings include a range of microcontrollers, such as general-purpose 8-bit, 16-bit, and 32-bit models, as well as 32-bit embedded microprocessors. These specialized microcontrollers are designed for numerous applications across industries like automotive, industrial, computing, communications, lighting, power supplies, motor control, human-machine interfaces, security, and various wired and wireless connectivity needs. Beyond its processors, Microchip provides development tools that enable system designers to program its microcontroller and microprocessor units for specific tasks. Its product lineup also features Field-Programmable Gate Arrays (FPGAs) and a broad selection of analog, interface, mixed-signal, and timing components. This extensive category encompasses power management</t>
        </is>
      </c>
    </row>
    <row r="37" ht="60" customHeight="1">
      <c r="A37" s="19" t="inlineStr">
        <is>
          <t>HEI</t>
        </is>
      </c>
      <c r="B37" s="20" t="inlineStr">
        <is>
          <t>HEICO Corporation</t>
        </is>
      </c>
      <c r="C37" s="20" t="inlineStr">
        <is>
          <t>Industrials</t>
        </is>
      </c>
      <c r="D37" s="52" t="inlineStr">
        <is>
          <t>Aerospace &amp; Defense</t>
        </is>
      </c>
      <c r="E37" s="47" t="inlineStr">
        <is>
          <t>Vital Link</t>
        </is>
      </c>
      <c r="F37" s="48" t="inlineStr">
        <is>
          <t>HEICO Corporation operates as a global enterprise through its various subsidiaries, specializing in the design, manufacturing, and distribution of an extensive range of products and services tailored for the aerospace, defense, and electronics industries. The company's Flight Support Group (FSG) division is a principal supplier of essential replacement components for jet engines and aircraft. Its offerings include specialized thermal insulation products, such as blankets and reusable systems, along with a variety of bespoke parts. The FSG also serves as a distributor for a wide array of hydraulic, pneumatic, structural, interconnect, mechanical, and electro-mechanical components, primarily targeting the commercial, regional, and general aviation sectors. Additionally, this segment provides comprehensive repair and overhaul services, covering jet engine and aircraft parts, avionics, instruments, composites, and flight surfaces for commercial aircraft, as well as navigation systems and v</t>
        </is>
      </c>
    </row>
    <row r="38" ht="60" customHeight="1">
      <c r="A38" s="26" t="inlineStr">
        <is>
          <t>UI</t>
        </is>
      </c>
      <c r="B38" s="27" t="inlineStr">
        <is>
          <t>Ubiquiti Inc.</t>
        </is>
      </c>
      <c r="C38" s="27" t="inlineStr">
        <is>
          <t>Technology</t>
        </is>
      </c>
      <c r="D38" s="51" t="inlineStr">
        <is>
          <t>Communication Equipment</t>
        </is>
      </c>
      <c r="E38" s="49" t="inlineStr">
        <is>
          <t>Vital Link</t>
        </is>
      </c>
      <c r="F38" s="50" t="inlineStr">
        <is>
          <t xml:space="preserve">Ubiquiti Inc. develops networking technology for service providers, enterprises, and consumers in North America, Europe, the Middle East, Africa, Asia Pacific, South America. The company develops technology platforms for high-capacity distributed Internet access, unified information technology, and consumer electronics for professional, home, and personal use. Its service provider product platforms offer carrier-class network infrastructure for fixed wireless broadband, wireless backhaul systems, and routing and related software; and enterprise product platforms provide wireless LAN infrastructure, video surveillance products, switching and routing solutions, security gateways, door access systems, and other WLAN products. It also provides technology platforms, such as UniFi Cloud Gateway, an Enterprise class internet and security gateway device; UniFi Wi-Fi, an enterprise Wi-Fi system; UniFi Protect, a video surveillance platform; UniFi Switch that deliver performance, switching, and </t>
        </is>
      </c>
    </row>
    <row r="39" ht="60" customHeight="1">
      <c r="A39" s="19" t="inlineStr">
        <is>
          <t>RBC</t>
        </is>
      </c>
      <c r="B39" s="20" t="inlineStr">
        <is>
          <t>RBC Bearings Incorporated</t>
        </is>
      </c>
      <c r="C39" s="20" t="inlineStr">
        <is>
          <t>Industrials</t>
        </is>
      </c>
      <c r="D39" s="20" t="inlineStr">
        <is>
          <t>Manufacturing - Tools &amp; Accessories</t>
        </is>
      </c>
      <c r="E39" s="47" t="inlineStr">
        <is>
          <t>Vital Link</t>
        </is>
      </c>
      <c r="F39" s="48" t="inlineStr">
        <is>
          <t>RBC Bearings Incorporated (RBC) is a global enterprise specializing in the design, production, and distribution of precisely engineered bearings and a wide array of related mechanical components. The company strategically operates through two core segments: Aerospace/Defense and Industrial, catering to both domestic and international clients. Its diverse product portfolio includes: Plain bearings: Available in self-lubricating or metal-on-metal designs, featuring rod end, spherical plain, and journal bearings. Roller bearings: These anti-friction devices, such as tapered roller, needle roller, needle bearing track rollers, and cam followers, are vital for various industrial uses and military aircraft platforms. Ball bearings: This category encompasses high-precision aerospace, airframe control, thin section, and industrial ball bearings, all engineered with high-precision ball elements to minimize friction in demanding, high-speed applications. Beyond its primary bearing offerings, RBC</t>
        </is>
      </c>
    </row>
    <row r="40" ht="60" customHeight="1">
      <c r="A40" s="26" t="inlineStr">
        <is>
          <t>HWM</t>
        </is>
      </c>
      <c r="B40" s="27" t="inlineStr">
        <is>
          <t>Howmet Aerospace Inc.</t>
        </is>
      </c>
      <c r="C40" s="27" t="inlineStr">
        <is>
          <t>Industrials</t>
        </is>
      </c>
      <c r="D40" s="52" t="inlineStr">
        <is>
          <t>Aerospace &amp; Defense</t>
        </is>
      </c>
      <c r="E40" s="49" t="inlineStr">
        <is>
          <t>Vital Link</t>
        </is>
      </c>
      <c r="F40" s="50" t="inlineStr">
        <is>
          <t>Howmet Aerospace Inc., headquartered in Pittsburgh, Pennsylvania, and originally established in 1888 as Arconic Inc., is a global leader in providing sophisticated engineered solutions. The company caters to the aerospace and transportation sectors across a wide international footprint, including key markets such as the United States, Japan, France, Germany, the United Kingdom, Mexico, Italy, Canada, Poland, and China. Its business operations are structured into four main segments: Engine Products: This division manufactures critical components like airfoils and seamless rolled rings, primarily utilized in aircraft engines and industrial gas turbines, alongside various rotating and structural parts. Fastening Systems: This segment specializes in producing aerospace-grade fastening systems, as well as fasteners for commercial transportation, general industrial applications, and other uses. Engineered Structures: Responsible for supplying titanium ingots and mill products for aerospace a</t>
        </is>
      </c>
    </row>
    <row r="41" ht="60" customHeight="1">
      <c r="A41" s="19" t="inlineStr">
        <is>
          <t>AXON</t>
        </is>
      </c>
      <c r="B41" s="20" t="inlineStr">
        <is>
          <t>Axon Enterprise, Inc.</t>
        </is>
      </c>
      <c r="C41" s="20" t="inlineStr">
        <is>
          <t>Industrials</t>
        </is>
      </c>
      <c r="D41" s="52" t="inlineStr">
        <is>
          <t>Aerospace &amp; Defense</t>
        </is>
      </c>
      <c r="E41" s="47" t="inlineStr">
        <is>
          <t>Vital Link</t>
        </is>
      </c>
      <c r="F41" s="48" t="inlineStr">
        <is>
          <t xml:space="preserve">Axon Enterprise, Inc., founded in 1993 and headquartered in Scottsdale, Arizona, was previously known as TASER International, Inc. until its rebranding in April 2017. The company specializes in the development, production, and sale of conducted energy devices (CEDs) marketed under its well-known TASER brand, catering to both domestic and international clients. Axon's operations are divided into two primary segments: TASER, and Software and Sensors. In addition to its signature TASER devices, such as the TASER 7, X26P, X2, and consumer models, along with their corresponding cartridges, Axon offers an extensive portfolio of hardware and cloud-based software. These solutions are designed to equip law enforcement agencies with the means to capture, securely archive, manage, share, and analyze video and other digital evidence. Key products in this category include on-officer body cameras, Axon Fleet in-car systems, the Axon Evidence digital evidence management platform, Axon Signal-enabled </t>
        </is>
      </c>
    </row>
    <row r="42" ht="60" customHeight="1">
      <c r="A42" s="26" t="inlineStr">
        <is>
          <t>TDG</t>
        </is>
      </c>
      <c r="B42" s="27" t="inlineStr">
        <is>
          <t>TransDigm Group Incorporated</t>
        </is>
      </c>
      <c r="C42" s="27" t="inlineStr">
        <is>
          <t>Industrials</t>
        </is>
      </c>
      <c r="D42" s="52" t="inlineStr">
        <is>
          <t>Aerospace &amp; Defense</t>
        </is>
      </c>
      <c r="E42" s="49" t="inlineStr">
        <is>
          <t>Vital Link</t>
        </is>
      </c>
      <c r="F42" s="50" t="inlineStr">
        <is>
          <t xml:space="preserve">TransDigm Group Incorporated is a global aerospace enterprise specializing in the development, manufacturing, and distribution of a wide array of aircraft components. Operating across the United States and internationally, its business is structured around three distinct divisions. The Power &amp; Control division focuses on critical systems, providing solutions such as electromechanical actuators and control mechanisms, engine ignition and related technologies, precision pumps and valves, power regulation equipment, specialized electric motors and generators, energy storage units, data communication and power management systems, diverse sensors, switching gear, and material handling equipment including hoists and cargo systems. This segment caters to a broad clientele, including engine and power system manufacturers, airlines, independent maintenance providers, governmental defense agencies, and aircraft repair facilities. The Airframe segment delivers structural and interior components. </t>
        </is>
      </c>
    </row>
    <row r="43" ht="60" customHeight="1">
      <c r="A43" s="19" t="inlineStr">
        <is>
          <t>FTAI</t>
        </is>
      </c>
      <c r="B43" s="20" t="inlineStr">
        <is>
          <t>FTAI Aviation Ltd.</t>
        </is>
      </c>
      <c r="C43" s="20" t="inlineStr">
        <is>
          <t>Industrials</t>
        </is>
      </c>
      <c r="D43" s="52" t="inlineStr">
        <is>
          <t>Aerospace &amp; Defense</t>
        </is>
      </c>
      <c r="E43" s="47" t="inlineStr">
        <is>
          <t>Vital Link</t>
        </is>
      </c>
      <c r="F43" s="48" t="inlineStr">
        <is>
          <t>FTAI Aviation Ltd. is a company dedicated to the ownership and acquisition of critical equipment for the aviation and offshore energy industries, thereby supporting the worldwide movement of goods and people. The company operates through two primary divisions. The Aviation Leasing segment is responsible for managing, leasing, and selling aviation assets, which include commercial aircraft and their engines, to customers. By the end of 2023, specifically December 31st, this division's managed portfolio encompassed 363 aviation assets in total, consisting of 96 commercial aircraft and 267 engines. Notably, this count included 8 aircraft and 17 engines located in Russia. The Aerospace Products segment focuses on the entire lifecycle of aircraft engines and their aftermarket components, covering their development, production, maintenance, and sales. FTAI Aviation Ltd. was established in 2011 and maintains its corporate headquarters in New York, New York.</t>
        </is>
      </c>
    </row>
    <row r="44" ht="60" customHeight="1">
      <c r="A44" s="26" t="inlineStr">
        <is>
          <t>TDY</t>
        </is>
      </c>
      <c r="B44" s="27" t="inlineStr">
        <is>
          <t>Teledyne Technologies Incorporated</t>
        </is>
      </c>
      <c r="C44" s="27" t="inlineStr">
        <is>
          <t>Technology</t>
        </is>
      </c>
      <c r="D44" s="27" t="inlineStr">
        <is>
          <t>Hardware, Equipment &amp; Parts</t>
        </is>
      </c>
      <c r="E44" s="49" t="inlineStr">
        <is>
          <t>Vital Link</t>
        </is>
      </c>
      <c r="F44" s="50" t="inlineStr">
        <is>
          <t>Teledyne Technologies Incorporated develops and supplies advanced technologies primarily for industrial sectors experiencing growth, serving customers across the United States, Canada, the United Kingdom, Belgium, the Netherlands, and other international markets. The company's Instrumentation division provides sophisticated monitoring and control equipment for use in marine environments, environmental management, various industrial processes, and other specialized applications. It also offers electronic tools for testing and measurement, alongside connectivity devices for power and communication within distributed instrumentation setups and sensor networks. Its Digital Imaging segment specializes in a broad range of imaging solutions. This includes visible spectrum sensors and digital cameras vital for industrial machine vision, automated quality control, as well as medical, research, and scientific purposes. Additionally, it offers infrared and X-ray imaging technologies for industria</t>
        </is>
      </c>
    </row>
  </sheetData>
  <autoFilter ref="A4:F44"/>
  <mergeCells count="2">
    <mergeCell ref="A2:F2"/>
    <mergeCell ref="A1:F1"/>
  </mergeCells>
  <pageMargins left="0.75" right="0.75" top="1" bottom="1" header="0.5" footer="0.5"/>
  <pageSetup orientation="landscape" fitToWidth="1"/>
</worksheet>
</file>

<file path=xl/worksheets/sheet7.xml><?xml version="1.0" encoding="utf-8"?>
<worksheet xmlns="http://schemas.openxmlformats.org/spreadsheetml/2006/main">
  <sheetPr>
    <tabColor rgb="002A9D8F"/>
    <outlinePr summaryBelow="1" summaryRight="1"/>
    <pageSetUpPr fitToPage="1"/>
  </sheetPr>
  <dimension ref="A1:G4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8" customWidth="1" min="2" max="2"/>
    <col width="22" customWidth="1" min="3" max="3"/>
    <col width="12" customWidth="1" min="4" max="4"/>
    <col width="10" customWidth="1" min="5" max="5"/>
    <col width="10" customWidth="1" min="6" max="6"/>
    <col width="65" customWidth="1" min="7" max="7"/>
  </cols>
  <sheetData>
    <row r="1" ht="28" customHeight="1">
      <c r="A1" s="30" t="inlineStr">
        <is>
          <t>Competitive Moats &amp; Structural Advantages</t>
        </is>
      </c>
      <c r="B1" s="11" t="n"/>
      <c r="C1" s="11" t="n"/>
      <c r="D1" s="11" t="n"/>
      <c r="E1" s="11" t="n"/>
      <c r="F1" s="11" t="n"/>
      <c r="G1" s="11" t="n"/>
    </row>
    <row r="2" ht="22" customHeight="1">
      <c r="A2" s="31" t="inlineStr">
        <is>
          <t>Derived from financial metrics  |  September 08, 2026</t>
        </is>
      </c>
      <c r="B2" s="12" t="n"/>
      <c r="C2" s="12" t="n"/>
      <c r="D2" s="12" t="n"/>
      <c r="E2" s="12" t="n"/>
      <c r="F2" s="12" t="n"/>
      <c r="G2" s="12" t="n"/>
    </row>
    <row r="3" ht="8" customHeight="1"/>
    <row r="4" ht="18" customHeight="1">
      <c r="A4" s="18" t="inlineStr">
        <is>
          <t>Ticker</t>
        </is>
      </c>
      <c r="B4" s="18" t="inlineStr">
        <is>
          <t>Company</t>
        </is>
      </c>
      <c r="C4" s="18" t="inlineStr">
        <is>
          <t>Industry</t>
        </is>
      </c>
      <c r="D4" s="18" t="inlineStr">
        <is>
          <t>Tier</t>
        </is>
      </c>
      <c r="E4" s="18" t="inlineStr">
        <is>
          <t>GM%</t>
        </is>
      </c>
      <c r="F4" s="18" t="inlineStr">
        <is>
          <t>FP Score</t>
        </is>
      </c>
      <c r="G4" s="18" t="inlineStr">
        <is>
          <t>Moat Analysis</t>
        </is>
      </c>
    </row>
    <row r="5" ht="80" customHeight="1">
      <c r="A5" s="19" t="inlineStr">
        <is>
          <t>SODI</t>
        </is>
      </c>
      <c r="B5" s="20" t="inlineStr">
        <is>
          <t>Solitron Devices, Inc.</t>
        </is>
      </c>
      <c r="C5" s="20" t="inlineStr">
        <is>
          <t>Semiconductors</t>
        </is>
      </c>
      <c r="D5" s="47" t="inlineStr">
        <is>
          <t>Nano Cap</t>
        </is>
      </c>
      <c r="E5" s="47" t="inlineStr">
        <is>
          <t>45%</t>
        </is>
      </c>
      <c r="F5" s="47" t="inlineStr">
        <is>
          <t>73</t>
        </is>
      </c>
      <c r="G5" s="48" t="inlineStr">
        <is>
          <t>Healthy margins (GM 45%) indicate differentiated products with some pricing power above commodity levels. Rapid revenue growth (101% YoY) signals strong product-market fit and expanding TAM capture. Revenue acceleration (133% QoQ) — growth is compounding, indicating an inflection point or expanding customer adoption. Reasonable capital discipline (3% 3yr dilution) — moderate equity issuance suggests funded growth without excessive shareholder dilution. High insider ownership (23%) — founder/management skin in the game strongly aligns incentives with shareholders. Semiconductor design/fab expertise represents years of R&amp;D investment — a significant moat against new entrants. Fingerprint score of 73 — structural profile closely matches historical multi-bagger winners at their inflection points.</t>
        </is>
      </c>
    </row>
    <row r="6" ht="80" customHeight="1">
      <c r="A6" s="26" t="inlineStr">
        <is>
          <t>SCTQ</t>
        </is>
      </c>
      <c r="B6" s="27" t="inlineStr">
        <is>
          <t>Spectra Systems Corporation</t>
        </is>
      </c>
      <c r="C6" s="27" t="inlineStr">
        <is>
          <t>Software - Application</t>
        </is>
      </c>
      <c r="D6" s="49" t="inlineStr">
        <is>
          <t>Nano Cap</t>
        </is>
      </c>
      <c r="E6" s="49" t="inlineStr">
        <is>
          <t>58%</t>
        </is>
      </c>
      <c r="F6" s="49" t="inlineStr">
        <is>
          <t>48</t>
        </is>
      </c>
      <c r="G6" s="50" t="inlineStr">
        <is>
          <t>Healthy margins (GM 58%) indicate differentiated products with some pricing power above commodity levels. Rapid revenue growth (577% YoY) signals strong product-market fit and expanding TAM capture. Reasonable capital discipline (5% 3yr dilution) — moderate equity issuance suggests funded growth without excessive shareholder dilution. Meaningful insider ownership (18%) — management has material personal stake in company performance.</t>
        </is>
      </c>
    </row>
    <row r="7" ht="80" customHeight="1">
      <c r="A7" s="19" t="inlineStr">
        <is>
          <t>RELL</t>
        </is>
      </c>
      <c r="B7" s="20" t="inlineStr">
        <is>
          <t>Richardson Electronics, Ltd.</t>
        </is>
      </c>
      <c r="C7" s="20" t="inlineStr">
        <is>
          <t>Hardware, Equipment &amp; Parts</t>
        </is>
      </c>
      <c r="D7" s="47" t="inlineStr">
        <is>
          <t>Nano Cap</t>
        </is>
      </c>
      <c r="E7" s="47" t="inlineStr">
        <is>
          <t>31%</t>
        </is>
      </c>
      <c r="F7" s="47" t="inlineStr">
        <is>
          <t>69</t>
        </is>
      </c>
      <c r="G7" s="48" t="inlineStr">
        <is>
          <t>Moderate margins (GM 31%) — competitive market, but cost structure supports reinvestment. Solid revenue growth (28% YoY) suggests growing demand and competitive positioning in target markets. Revenue acceleration (18% QoQ) — growth is compounding, indicating an inflection point or expanding customer adoption. Exceptional capital discipline (-8% share growth over 3yr) — management avoids dilution, signaling confidence in organic cash generation. Meaningful insider ownership (18%) — management has material personal stake in company performance. Fingerprint score of 69 — structural profile closely matches historical multi-bagger winners at their inflection points.</t>
        </is>
      </c>
    </row>
    <row r="8" ht="80" customHeight="1">
      <c r="A8" s="26" t="inlineStr">
        <is>
          <t>GLTK</t>
        </is>
      </c>
      <c r="B8" s="27" t="inlineStr">
        <is>
          <t>GlobalTech Corporation</t>
        </is>
      </c>
      <c r="C8" s="27" t="inlineStr">
        <is>
          <t>Telecommunications Services</t>
        </is>
      </c>
      <c r="D8" s="49" t="inlineStr">
        <is>
          <t>Nano Cap</t>
        </is>
      </c>
      <c r="E8" s="49" t="inlineStr">
        <is>
          <t>29%</t>
        </is>
      </c>
      <c r="F8" s="49" t="inlineStr">
        <is>
          <t>65</t>
        </is>
      </c>
      <c r="G8" s="50" t="inlineStr">
        <is>
          <t>Moderate margins (GM 29%) — competitive market, but cost structure supports reinvestment. Rapid revenue growth (98% YoY) signals strong product-market fit and expanding TAM capture. Revenue acceleration (74% QoQ) — growth is compounding, indicating an inflection point or expanding customer adoption. Reasonable capital discipline (8% 3yr dilution) — moderate equity issuance suggests funded growth without excessive shareholder dilution. High insider ownership (78%) — founder/management skin in the game strongly aligns incentives with shareholders.</t>
        </is>
      </c>
    </row>
    <row r="9" ht="80" customHeight="1">
      <c r="A9" s="19" t="inlineStr">
        <is>
          <t>INTT</t>
        </is>
      </c>
      <c r="B9" s="20" t="inlineStr">
        <is>
          <t>inTEST Corporation</t>
        </is>
      </c>
      <c r="C9" s="20" t="inlineStr">
        <is>
          <t>Semiconductors</t>
        </is>
      </c>
      <c r="D9" s="47" t="inlineStr">
        <is>
          <t>Nano Cap</t>
        </is>
      </c>
      <c r="E9" s="47" t="inlineStr">
        <is>
          <t>40%</t>
        </is>
      </c>
      <c r="F9" s="47" t="inlineStr">
        <is>
          <t>71</t>
        </is>
      </c>
      <c r="G9" s="48" t="inlineStr">
        <is>
          <t>Healthy margins (GM 40%) indicate differentiated products with some pricing power above commodity levels. Solid revenue growth (26% YoY) suggests growing demand and competitive positioning in target markets. Revenue acceleration (43% QoQ) — growth is compounding, indicating an inflection point or expanding customer adoption. Reasonable capital discipline (4% 3yr dilution) — moderate equity issuance suggests funded growth without excessive shareholder dilution. Meaningful insider ownership (13%) — management has material personal stake in company performance. Semiconductor design/fab expertise represents years of R&amp;D investment — a significant moat against new entrants. Fingerprint score of 71 — structural profile closely matches historical multi-bagger winners at their inflection points.</t>
        </is>
      </c>
    </row>
    <row r="10" ht="80" customHeight="1">
      <c r="A10" s="26" t="inlineStr">
        <is>
          <t>AISP</t>
        </is>
      </c>
      <c r="B10" s="27" t="inlineStr">
        <is>
          <t>Airship AI Holdings, Inc.</t>
        </is>
      </c>
      <c r="C10" s="27" t="inlineStr">
        <is>
          <t>Software - Infrastructure</t>
        </is>
      </c>
      <c r="D10" s="49" t="inlineStr">
        <is>
          <t>Nano Cap</t>
        </is>
      </c>
      <c r="E10" s="49" t="inlineStr">
        <is>
          <t>75%</t>
        </is>
      </c>
      <c r="F10" s="49" t="inlineStr">
        <is>
          <t>42</t>
        </is>
      </c>
      <c r="G10" s="50" t="inlineStr">
        <is>
          <t>Strong pricing power (GM 75%) suggests proprietary technology or IP-protected products with limited direct competition. Rapid revenue growth (92% YoY) signals strong product-market fit and expanding TAM capture. Revenue acceleration (159% QoQ) — growth is compounding, indicating an inflection point or expanding customer adoption. High insider ownership (29%) — founder/management skin in the game strongly aligns incentives with shareholders.</t>
        </is>
      </c>
    </row>
    <row r="11" ht="80" customHeight="1">
      <c r="A11" s="19" t="inlineStr">
        <is>
          <t>GLOO</t>
        </is>
      </c>
      <c r="B11" s="20" t="inlineStr">
        <is>
          <t>Gloo Holdings, Inc.</t>
        </is>
      </c>
      <c r="C11" s="20" t="inlineStr">
        <is>
          <t>Software - Application</t>
        </is>
      </c>
      <c r="D11" s="47" t="inlineStr">
        <is>
          <t>Nano Cap</t>
        </is>
      </c>
      <c r="E11" s="47" t="inlineStr">
        <is>
          <t>32%</t>
        </is>
      </c>
      <c r="F11" s="47" t="inlineStr">
        <is>
          <t>53</t>
        </is>
      </c>
      <c r="G11" s="48" t="inlineStr">
        <is>
          <t>Moderate margins (GM 32%) — competitive market, but cost structure supports reinvestment. Rapid revenue growth (238% YoY) signals strong product-market fit and expanding TAM capture. Revenue acceleration (150% QoQ) — growth is compounding, indicating an inflection point or expanding customer adoption. Exceptional capital discipline (3% share growth over 3yr) — management avoids dilution, signaling confidence in organic cash generation. High insider ownership (70%) — founder/management skin in the game strongly aligns incentives with shareholders.</t>
        </is>
      </c>
    </row>
    <row r="12" ht="80" customHeight="1">
      <c r="A12" s="26" t="inlineStr">
        <is>
          <t>ROC</t>
        </is>
      </c>
      <c r="B12" s="27" t="inlineStr">
        <is>
          <t>Rank One Computing Corp.</t>
        </is>
      </c>
      <c r="C12" s="27" t="inlineStr">
        <is>
          <t>Software - Application</t>
        </is>
      </c>
      <c r="D12" s="49" t="inlineStr">
        <is>
          <t>Nano Cap</t>
        </is>
      </c>
      <c r="E12" s="49" t="inlineStr">
        <is>
          <t>90%</t>
        </is>
      </c>
      <c r="F12" s="49" t="inlineStr">
        <is>
          <t>47</t>
        </is>
      </c>
      <c r="G12" s="50" t="inlineStr">
        <is>
          <t>Strong pricing power (GM 90%) suggests proprietary technology or IP-protected products with limited direct competition. Rapid revenue growth (93% YoY) signals strong product-market fit and expanding TAM capture. Exceptional capital discipline (0% share growth over 3yr) — management avoids dilution, signaling confidence in organic cash generation. High insider ownership (72%) — founder/management skin in the game strongly aligns incentives with shareholders.</t>
        </is>
      </c>
    </row>
    <row r="13" ht="80" customHeight="1">
      <c r="A13" s="19" t="inlineStr">
        <is>
          <t>LTRX</t>
        </is>
      </c>
      <c r="B13" s="20" t="inlineStr">
        <is>
          <t>Lantronix, Inc.</t>
        </is>
      </c>
      <c r="C13" s="20" t="inlineStr">
        <is>
          <t>Communication Equipment</t>
        </is>
      </c>
      <c r="D13" s="47" t="inlineStr">
        <is>
          <t>Nano Cap</t>
        </is>
      </c>
      <c r="E13" s="47" t="inlineStr">
        <is>
          <t>44%</t>
        </is>
      </c>
      <c r="F13" s="47" t="inlineStr">
        <is>
          <t>62</t>
        </is>
      </c>
      <c r="G13" s="48" t="inlineStr">
        <is>
          <t>Healthy margins (GM 44%) indicate differentiated products with some pricing power above commodity levels. Revenue acceleration (49% QoQ) — growth is compounding, indicating an inflection point or expanding customer adoption. High insider ownership (22%) — founder/management skin in the game strongly aligns incentives with shareholders. Networking/communications infrastructure — installed base and switching costs create customer lock-in.</t>
        </is>
      </c>
    </row>
    <row r="14" ht="80" customHeight="1">
      <c r="A14" s="26" t="inlineStr">
        <is>
          <t>QUIK</t>
        </is>
      </c>
      <c r="B14" s="27" t="inlineStr">
        <is>
          <t>QuickLogic Corporation</t>
        </is>
      </c>
      <c r="C14" s="27" t="inlineStr">
        <is>
          <t>Semiconductors</t>
        </is>
      </c>
      <c r="D14" s="49" t="inlineStr">
        <is>
          <t>Nano Cap</t>
        </is>
      </c>
      <c r="E14" s="49" t="inlineStr">
        <is>
          <t>44%</t>
        </is>
      </c>
      <c r="F14" s="49" t="inlineStr">
        <is>
          <t>58</t>
        </is>
      </c>
      <c r="G14" s="50" t="inlineStr">
        <is>
          <t>Healthy margins (GM 44%) indicate differentiated products with some pricing power above commodity levels. Solid revenue growth (49% YoY) suggests growing demand and competitive positioning in target markets. Revenue acceleration (59% QoQ) — growth is compounding, indicating an inflection point or expanding customer adoption. Dilution risk (28% 3yr share growth) — heavy equity issuance may erode per-share value over time. Semiconductor design/fab expertise represents years of R&amp;D investment — a significant moat against new entrants.</t>
        </is>
      </c>
    </row>
    <row r="15" ht="80" customHeight="1">
      <c r="A15" s="19" t="inlineStr">
        <is>
          <t>CLFD</t>
        </is>
      </c>
      <c r="B15" s="20" t="inlineStr">
        <is>
          <t>Clearfield, Inc.</t>
        </is>
      </c>
      <c r="C15" s="20" t="inlineStr">
        <is>
          <t>Communication Equipment</t>
        </is>
      </c>
      <c r="D15" s="47" t="inlineStr">
        <is>
          <t>Small Cap</t>
        </is>
      </c>
      <c r="E15" s="47" t="inlineStr">
        <is>
          <t>32%</t>
        </is>
      </c>
      <c r="F15" s="47" t="inlineStr">
        <is>
          <t>69</t>
        </is>
      </c>
      <c r="G15" s="48" t="inlineStr">
        <is>
          <t>Moderate margins (GM 32%) — competitive market, but cost structure supports reinvestment. Exceptional capital discipline (-11% share growth over 3yr) — management avoids dilution, signaling confidence in organic cash generation. Meaningful insider ownership (18%) — management has material personal stake in company performance. Networking/communications infrastructure — installed base and switching costs create customer lock-in. Fingerprint score of 69 — structural profile closely matches historical multi-bagger winners at their inflection points.</t>
        </is>
      </c>
    </row>
    <row r="16" ht="80" customHeight="1">
      <c r="A16" s="26" t="inlineStr">
        <is>
          <t>TRC</t>
        </is>
      </c>
      <c r="B16" s="27" t="inlineStr">
        <is>
          <t>Tejon Ranch Co.</t>
        </is>
      </c>
      <c r="C16" s="27" t="inlineStr">
        <is>
          <t>Conglomerates</t>
        </is>
      </c>
      <c r="D16" s="49" t="inlineStr">
        <is>
          <t>Small Cap</t>
        </is>
      </c>
      <c r="E16" s="49" t="inlineStr">
        <is>
          <t>22%</t>
        </is>
      </c>
      <c r="F16" s="49" t="inlineStr">
        <is>
          <t>69</t>
        </is>
      </c>
      <c r="G16" s="50" t="inlineStr">
        <is>
          <t>Rapid revenue growth (72% YoY) signals strong product-market fit and expanding TAM capture. Revenue acceleration (26% QoQ) — growth is compounding, indicating an inflection point or expanding customer adoption. Exceptional capital discipline (-1% share growth over 3yr) — management avoids dilution, signaling confidence in organic cash generation. Fingerprint score of 69 — structural profile closely matches historical multi-bagger winners at their inflection points.</t>
        </is>
      </c>
    </row>
    <row r="17" ht="80" customHeight="1">
      <c r="A17" s="19" t="inlineStr">
        <is>
          <t>MRAM</t>
        </is>
      </c>
      <c r="B17" s="20" t="inlineStr">
        <is>
          <t>Everspin Technologies, Inc.</t>
        </is>
      </c>
      <c r="C17" s="20" t="inlineStr">
        <is>
          <t>Semiconductors</t>
        </is>
      </c>
      <c r="D17" s="47" t="inlineStr">
        <is>
          <t>Small Cap</t>
        </is>
      </c>
      <c r="E17" s="47" t="inlineStr">
        <is>
          <t>54%</t>
        </is>
      </c>
      <c r="F17" s="47" t="inlineStr">
        <is>
          <t>61</t>
        </is>
      </c>
      <c r="G17" s="48" t="inlineStr">
        <is>
          <t>Healthy margins (GM 54%) indicate differentiated products with some pricing power above commodity levels. Solid revenue growth (42% YoY) suggests growing demand and competitive positioning in target markets. Revenue acceleration (18% QoQ) — growth is compounding, indicating an inflection point or expanding customer adoption. High insider ownership (20%) — founder/management skin in the game strongly aligns incentives with shareholders. Semiconductor design/fab expertise represents years of R&amp;D investment — a significant moat against new entrants.</t>
        </is>
      </c>
    </row>
    <row r="18" ht="80" customHeight="1">
      <c r="A18" s="26" t="inlineStr">
        <is>
          <t>VPG</t>
        </is>
      </c>
      <c r="B18" s="27" t="inlineStr">
        <is>
          <t>Vishay Precision Group, Inc.</t>
        </is>
      </c>
      <c r="C18" s="27" t="inlineStr">
        <is>
          <t>Hardware, Equipment &amp; Parts</t>
        </is>
      </c>
      <c r="D18" s="49" t="inlineStr">
        <is>
          <t>Small Cap</t>
        </is>
      </c>
      <c r="E18" s="49" t="inlineStr">
        <is>
          <t>39%</t>
        </is>
      </c>
      <c r="F18" s="49" t="inlineStr">
        <is>
          <t>74</t>
        </is>
      </c>
      <c r="G18" s="50" t="inlineStr">
        <is>
          <t>Moderate margins (GM 39%) — competitive market, but cost structure supports reinvestment. Rapid revenue growth (124% YoY) signals strong product-market fit and expanding TAM capture. Revenue acceleration (127% QoQ) — growth is compounding, indicating an inflection point or expanding customer adoption. Exceptional capital discipline (-2% share growth over 3yr) — management avoids dilution, signaling confidence in organic cash generation. Meaningful insider ownership (19%) — management has material personal stake in company performance. Fingerprint score of 74 — structural profile closely matches historical multi-bagger winners at their inflection points.</t>
        </is>
      </c>
    </row>
    <row r="19" ht="80" customHeight="1">
      <c r="A19" s="19" t="inlineStr">
        <is>
          <t>CDRE</t>
        </is>
      </c>
      <c r="B19" s="20" t="inlineStr">
        <is>
          <t>Cadre Holdings, Inc.</t>
        </is>
      </c>
      <c r="C19" s="20" t="inlineStr">
        <is>
          <t>Aerospace &amp; Defense</t>
        </is>
      </c>
      <c r="D19" s="47" t="inlineStr">
        <is>
          <t>Small Cap</t>
        </is>
      </c>
      <c r="E19" s="47" t="inlineStr">
        <is>
          <t>42%</t>
        </is>
      </c>
      <c r="F19" s="47" t="inlineStr">
        <is>
          <t>67</t>
        </is>
      </c>
      <c r="G19" s="48" t="inlineStr">
        <is>
          <t>Healthy margins (GM 42%) indicate differentiated products with some pricing power above commodity levels. Solid revenue growth (32% YoY) suggests growing demand and competitive positioning in target markets. Revenue acceleration (23% QoQ) — growth is compounding, indicating an inflection point or expanding customer adoption. High insider ownership (34%) — founder/management skin in the game strongly aligns incentives with shareholders. Defense/aerospace positioning creates high barriers to entry via security clearances, government contracts, and long procurement cycles. Fingerprint score of 67 — structural profile closely matches historical multi-bagger winners at their inflection points.</t>
        </is>
      </c>
    </row>
    <row r="20" ht="80" customHeight="1">
      <c r="A20" s="26" t="inlineStr">
        <is>
          <t>ELMT</t>
        </is>
      </c>
      <c r="B20" s="27" t="inlineStr">
        <is>
          <t>Elmet Group Co.</t>
        </is>
      </c>
      <c r="C20" s="27" t="inlineStr">
        <is>
          <t>Aerospace &amp; Defense</t>
        </is>
      </c>
      <c r="D20" s="49" t="inlineStr">
        <is>
          <t>Small Cap</t>
        </is>
      </c>
      <c r="E20" s="49" t="inlineStr">
        <is>
          <t>25%</t>
        </is>
      </c>
      <c r="F20" s="49" t="inlineStr">
        <is>
          <t>65</t>
        </is>
      </c>
      <c r="G20" s="50" t="inlineStr">
        <is>
          <t>Moderate margins (GM 25%) — competitive market, but cost structure supports reinvestment. Solid revenue growth (43% YoY) suggests growing demand and competitive positioning in target markets. Exceptional capital discipline (-4% share growth over 3yr) — management avoids dilution, signaling confidence in organic cash generation. High insider ownership (68%) — founder/management skin in the game strongly aligns incentives with shareholders. Defense/aerospace positioning creates high barriers to entry via security clearances, government contracts, and long procurement cycles.</t>
        </is>
      </c>
    </row>
    <row r="21" ht="80" customHeight="1">
      <c r="A21" s="19" t="inlineStr">
        <is>
          <t>SWBI</t>
        </is>
      </c>
      <c r="B21" s="20" t="inlineStr">
        <is>
          <t>Smith &amp; Wesson Brands, Inc.</t>
        </is>
      </c>
      <c r="C21" s="20" t="inlineStr">
        <is>
          <t>Aerospace &amp; Defense</t>
        </is>
      </c>
      <c r="D21" s="47" t="inlineStr">
        <is>
          <t>Small Cap</t>
        </is>
      </c>
      <c r="E21" s="47" t="inlineStr">
        <is>
          <t>29%</t>
        </is>
      </c>
      <c r="F21" s="47" t="inlineStr">
        <is>
          <t>85</t>
        </is>
      </c>
      <c r="G21" s="48" t="inlineStr">
        <is>
          <t>Moderate margins (GM 29%) — competitive market, but cost structure supports reinvestment. Solid revenue growth (32% YoY) suggests growing demand and competitive positioning in target markets. Revenue acceleration (36% QoQ) — growth is compounding, indicating an inflection point or expanding customer adoption. Exceptional capital discipline (-3% share growth over 3yr) — management avoids dilution, signaling confidence in organic cash generation. Defense/aerospace positioning creates high barriers to entry via security clearances, government contracts, and long procurement cycles. Fingerprint score of 85 — structural profile closely matches historical multi-bagger winners at their inflection points.</t>
        </is>
      </c>
    </row>
    <row r="22" ht="80" customHeight="1">
      <c r="A22" s="26" t="inlineStr">
        <is>
          <t>AVEX</t>
        </is>
      </c>
      <c r="B22" s="27" t="inlineStr">
        <is>
          <t>Aevex Corp.</t>
        </is>
      </c>
      <c r="C22" s="27" t="inlineStr">
        <is>
          <t>Aerospace &amp; Defense</t>
        </is>
      </c>
      <c r="D22" s="49" t="inlineStr">
        <is>
          <t>Small Cap</t>
        </is>
      </c>
      <c r="E22" s="49" t="inlineStr">
        <is>
          <t>24%</t>
        </is>
      </c>
      <c r="F22" s="49" t="inlineStr">
        <is>
          <t>51</t>
        </is>
      </c>
      <c r="G22" s="50" t="inlineStr">
        <is>
          <t>Rapid revenue growth (100% YoY) signals strong product-market fit and expanding TAM capture. High insider ownership (59%) — founder/management skin in the game strongly aligns incentives with shareholders. Defense/aerospace positioning creates high barriers to entry via security clearances, government contracts, and long procurement cycles.</t>
        </is>
      </c>
    </row>
    <row r="23" ht="80" customHeight="1">
      <c r="A23" s="19" t="inlineStr">
        <is>
          <t>PKE</t>
        </is>
      </c>
      <c r="B23" s="20" t="inlineStr">
        <is>
          <t>Park Aerospace Corp.</t>
        </is>
      </c>
      <c r="C23" s="20" t="inlineStr">
        <is>
          <t>Aerospace &amp; Defense</t>
        </is>
      </c>
      <c r="D23" s="47" t="inlineStr">
        <is>
          <t>Small Cap</t>
        </is>
      </c>
      <c r="E23" s="47" t="inlineStr">
        <is>
          <t>35%</t>
        </is>
      </c>
      <c r="F23" s="47" t="inlineStr">
        <is>
          <t>85</t>
        </is>
      </c>
      <c r="G23" s="48" t="inlineStr">
        <is>
          <t>Moderate margins (GM 35%) — competitive market, but cost structure supports reinvestment. Revenue acceleration (9% QoQ) — growth is compounding, indicating an inflection point or expanding customer adoption. Reasonable capital discipline (3% 3yr dilution) — moderate equity issuance suggests funded growth without excessive shareholder dilution. Defense/aerospace positioning creates high barriers to entry via security clearances, government contracts, and long procurement cycles. Fingerprint score of 85 — structural profile closely matches historical multi-bagger winners at their inflection points.</t>
        </is>
      </c>
    </row>
    <row r="24" ht="80" customHeight="1">
      <c r="A24" s="26" t="inlineStr">
        <is>
          <t>EVLV</t>
        </is>
      </c>
      <c r="B24" s="27" t="inlineStr">
        <is>
          <t>Evolv Technologies Holdings, Inc.</t>
        </is>
      </c>
      <c r="C24" s="27" t="inlineStr">
        <is>
          <t>Security &amp; Protection Services</t>
        </is>
      </c>
      <c r="D24" s="49" t="inlineStr">
        <is>
          <t>Small Cap</t>
        </is>
      </c>
      <c r="E24" s="49" t="inlineStr">
        <is>
          <t>50%</t>
        </is>
      </c>
      <c r="F24" s="49" t="inlineStr">
        <is>
          <t>74</t>
        </is>
      </c>
      <c r="G24" s="50" t="inlineStr">
        <is>
          <t>Healthy margins (GM 50%) indicate differentiated products with some pricing power above commodity levels. Solid revenue growth (34% YoY) suggests growing demand and competitive positioning in target markets. Revenue acceleration (7% QoQ) — growth is compounding, indicating an inflection point or expanding customer adoption. Fingerprint score of 74 — structural profile closely matches historical multi-bagger winners at their inflection points.</t>
        </is>
      </c>
    </row>
    <row r="25" ht="80" customHeight="1">
      <c r="A25" s="19" t="inlineStr">
        <is>
          <t>KRMN</t>
        </is>
      </c>
      <c r="B25" s="20" t="inlineStr">
        <is>
          <t>Karman Holdings Inc.</t>
        </is>
      </c>
      <c r="C25" s="20" t="inlineStr">
        <is>
          <t>Aerospace &amp; Defense</t>
        </is>
      </c>
      <c r="D25" s="47" t="inlineStr">
        <is>
          <t>Breakout</t>
        </is>
      </c>
      <c r="E25" s="47" t="inlineStr">
        <is>
          <t>43%</t>
        </is>
      </c>
      <c r="F25" s="47" t="inlineStr">
        <is>
          <t>56</t>
        </is>
      </c>
      <c r="G25" s="48" t="inlineStr">
        <is>
          <t>Healthy margins (GM 43%) indicate differentiated products with some pricing power above commodity levels. Rapid revenue growth (58% YoY) signals strong product-market fit and expanding TAM capture. Revenue acceleration (23% QoQ) — growth is compounding, indicating an inflection point or expanding customer adoption. Exceptional capital discipline (0% share growth over 3yr) — management avoids dilution, signaling confidence in organic cash generation. High insider ownership (78%) — founder/management skin in the game strongly aligns incentives with shareholders. Defense/aerospace positioning creates high barriers to entry via security clearances, government contracts, and long procurement cycles.</t>
        </is>
      </c>
    </row>
    <row r="26" ht="80" customHeight="1">
      <c r="A26" s="26" t="inlineStr">
        <is>
          <t>AADX</t>
        </is>
      </c>
      <c r="B26" s="27" t="inlineStr">
        <is>
          <t>Applied Aerospace &amp; Defense, Inc.</t>
        </is>
      </c>
      <c r="C26" s="27" t="inlineStr">
        <is>
          <t>Aerospace &amp; Defense</t>
        </is>
      </c>
      <c r="D26" s="49" t="inlineStr">
        <is>
          <t>Breakout</t>
        </is>
      </c>
      <c r="E26" s="49" t="inlineStr">
        <is>
          <t>22%</t>
        </is>
      </c>
      <c r="F26" s="49" t="inlineStr">
        <is>
          <t>65</t>
        </is>
      </c>
      <c r="G26" s="50" t="inlineStr">
        <is>
          <t>Solid revenue growth (47% YoY) suggests growing demand and competitive positioning in target markets. Revenue acceleration (40% QoQ) — growth is compounding, indicating an inflection point or expanding customer adoption. Exceptional capital discipline (-13% share growth over 3yr) — management avoids dilution, signaling confidence in organic cash generation. High insider ownership (81%) — founder/management skin in the game strongly aligns incentives with shareholders. Defense/aerospace positioning creates high barriers to entry via security clearances, government contracts, and long procurement cycles. Fingerprint score of 65 — structural profile closely matches historical multi-bagger winners at their inflection points.</t>
        </is>
      </c>
    </row>
    <row r="27" ht="80" customHeight="1">
      <c r="A27" s="19" t="inlineStr">
        <is>
          <t>VSH</t>
        </is>
      </c>
      <c r="B27" s="20" t="inlineStr">
        <is>
          <t>Vishay Intertechnology, Inc.</t>
        </is>
      </c>
      <c r="C27" s="20" t="inlineStr">
        <is>
          <t>Semiconductors</t>
        </is>
      </c>
      <c r="D27" s="47" t="inlineStr">
        <is>
          <t>Breakout</t>
        </is>
      </c>
      <c r="E27" s="47" t="inlineStr">
        <is>
          <t>22%</t>
        </is>
      </c>
      <c r="F27" s="47" t="inlineStr">
        <is>
          <t>53</t>
        </is>
      </c>
      <c r="G27" s="48" t="inlineStr">
        <is>
          <t>Rapid revenue growth (127% YoY) signals strong product-market fit and expanding TAM capture. Revenue acceleration (124% QoQ) — growth is compounding, indicating an inflection point or expanding customer adoption. Exceptional capital discipline (-2% share growth over 3yr) — management avoids dilution, signaling confidence in organic cash generation. Meaningful insider ownership (11%) — management has material personal stake in company performance. Semiconductor design/fab expertise represents years of R&amp;D investment — a significant moat against new entrants.</t>
        </is>
      </c>
    </row>
    <row r="28" ht="80" customHeight="1">
      <c r="A28" s="26" t="inlineStr">
        <is>
          <t>RUN</t>
        </is>
      </c>
      <c r="B28" s="27" t="inlineStr">
        <is>
          <t>Sunrun Inc.</t>
        </is>
      </c>
      <c r="C28" s="27" t="inlineStr">
        <is>
          <t>Solar</t>
        </is>
      </c>
      <c r="D28" s="49" t="inlineStr">
        <is>
          <t>Breakout</t>
        </is>
      </c>
      <c r="E28" s="49" t="inlineStr">
        <is>
          <t>38%</t>
        </is>
      </c>
      <c r="F28" s="49" t="inlineStr">
        <is>
          <t>71</t>
        </is>
      </c>
      <c r="G28" s="50" t="inlineStr">
        <is>
          <t>Moderate margins (GM 38%) — competitive market, but cost structure supports reinvestment. Rapid revenue growth (53% YoY) signals strong product-market fit and expanding TAM capture. Revenue acceleration (44% QoQ) — growth is compounding, indicating an inflection point or expanding customer adoption. Reasonable capital discipline (10% 3yr dilution) — moderate equity issuance suggests funded growth without excessive shareholder dilution. Fingerprint score of 71 — structural profile closely matches historical multi-bagger winners at their inflection points.</t>
        </is>
      </c>
    </row>
    <row r="29" ht="80" customHeight="1">
      <c r="A29" s="19" t="inlineStr">
        <is>
          <t>ESI</t>
        </is>
      </c>
      <c r="B29" s="20" t="inlineStr">
        <is>
          <t>Element Solutions Inc</t>
        </is>
      </c>
      <c r="C29" s="20" t="inlineStr">
        <is>
          <t>Chemicals - Specialty</t>
        </is>
      </c>
      <c r="D29" s="47" t="inlineStr">
        <is>
          <t>Breakout</t>
        </is>
      </c>
      <c r="E29" s="47" t="inlineStr">
        <is>
          <t>34%</t>
        </is>
      </c>
      <c r="F29" s="47" t="inlineStr">
        <is>
          <t>63</t>
        </is>
      </c>
      <c r="G29" s="48" t="inlineStr">
        <is>
          <t>Moderate margins (GM 34%) — competitive market, but cost structure supports reinvestment. Rapid revenue growth (56% YoY) signals strong product-market fit and expanding TAM capture. Revenue acceleration (54% QoQ) — growth is compounding, indicating an inflection point or expanding customer adoption. Exceptional capital discipline (1% share growth over 3yr) — management avoids dilution, signaling confidence in organic cash generation.</t>
        </is>
      </c>
    </row>
    <row r="30" ht="80" customHeight="1">
      <c r="A30" s="26" t="inlineStr">
        <is>
          <t>BETA</t>
        </is>
      </c>
      <c r="B30" s="27" t="inlineStr">
        <is>
          <t>BETA Technologies, Inc.</t>
        </is>
      </c>
      <c r="C30" s="27" t="inlineStr">
        <is>
          <t>Aerospace &amp; Defense</t>
        </is>
      </c>
      <c r="D30" s="49" t="inlineStr">
        <is>
          <t>Breakout</t>
        </is>
      </c>
      <c r="E30" s="49" t="inlineStr">
        <is>
          <t>55%</t>
        </is>
      </c>
      <c r="F30" s="49" t="inlineStr">
        <is>
          <t>41</t>
        </is>
      </c>
      <c r="G30" s="50" t="inlineStr">
        <is>
          <t>Healthy margins (GM 55%) indicate differentiated products with some pricing power above commodity levels. Rapid revenue growth (88% YoY) signals strong product-market fit and expanding TAM capture. Reasonable capital discipline (4% 3yr dilution) — moderate equity issuance suggests funded growth without excessive shareholder dilution. High insider ownership (49%) — founder/management skin in the game strongly aligns incentives with shareholders. Defense/aerospace positioning creates high barriers to entry via security clearances, government contracts, and long procurement cycles.</t>
        </is>
      </c>
    </row>
    <row r="31" ht="80" customHeight="1">
      <c r="A31" s="19" t="inlineStr">
        <is>
          <t>LASR</t>
        </is>
      </c>
      <c r="B31" s="20" t="inlineStr">
        <is>
          <t>nLIGHT, Inc.</t>
        </is>
      </c>
      <c r="C31" s="20" t="inlineStr">
        <is>
          <t>Semiconductors</t>
        </is>
      </c>
      <c r="D31" s="47" t="inlineStr">
        <is>
          <t>Breakout</t>
        </is>
      </c>
      <c r="E31" s="47" t="inlineStr">
        <is>
          <t>31%</t>
        </is>
      </c>
      <c r="F31" s="47" t="inlineStr">
        <is>
          <t>63</t>
        </is>
      </c>
      <c r="G31" s="48" t="inlineStr">
        <is>
          <t>Moderate margins (GM 31%) — competitive market, but cost structure supports reinvestment. Solid revenue growth (34% YoY) suggests growing demand and competitive positioning in target markets. Revenue acceleration (12% QoQ) — growth is compounding, indicating an inflection point or expanding customer adoption. Semiconductor design/fab expertise represents years of R&amp;D investment — a significant moat against new entrants.</t>
        </is>
      </c>
    </row>
    <row r="32" ht="80" customHeight="1">
      <c r="A32" s="26" t="inlineStr">
        <is>
          <t>CALX</t>
        </is>
      </c>
      <c r="B32" s="27" t="inlineStr">
        <is>
          <t>Calix, Inc.</t>
        </is>
      </c>
      <c r="C32" s="27" t="inlineStr">
        <is>
          <t>Communication Equipment</t>
        </is>
      </c>
      <c r="D32" s="49" t="inlineStr">
        <is>
          <t>Breakout</t>
        </is>
      </c>
      <c r="E32" s="49" t="inlineStr">
        <is>
          <t>55%</t>
        </is>
      </c>
      <c r="F32" s="49" t="inlineStr">
        <is>
          <t>84</t>
        </is>
      </c>
      <c r="G32" s="50" t="inlineStr">
        <is>
          <t>Healthy margins (GM 55%) indicate differentiated products with some pricing power above commodity levels. Exceptional capital discipline (-4% share growth over 3yr) — management avoids dilution, signaling confidence in organic cash generation. Networking/communications infrastructure — installed base and switching costs create customer lock-in. Fingerprint score of 84 — structural profile closely matches historical multi-bagger winners at their inflection points.</t>
        </is>
      </c>
    </row>
    <row r="33" ht="80" customHeight="1">
      <c r="A33" s="19" t="inlineStr">
        <is>
          <t>IPGP</t>
        </is>
      </c>
      <c r="B33" s="20" t="inlineStr">
        <is>
          <t>IPG Photonics Corporation</t>
        </is>
      </c>
      <c r="C33" s="20" t="inlineStr">
        <is>
          <t>Semiconductors</t>
        </is>
      </c>
      <c r="D33" s="47" t="inlineStr">
        <is>
          <t>Breakout</t>
        </is>
      </c>
      <c r="E33" s="47" t="inlineStr">
        <is>
          <t>40%</t>
        </is>
      </c>
      <c r="F33" s="47" t="inlineStr">
        <is>
          <t>54</t>
        </is>
      </c>
      <c r="G33" s="48" t="inlineStr">
        <is>
          <t>Healthy margins (GM 40%) indicate differentiated products with some pricing power above commodity levels. Revenue acceleration (14% QoQ) — growth is compounding, indicating an inflection point or expanding customer adoption. Exceptional capital discipline (-10% share growth over 3yr) — management avoids dilution, signaling confidence in organic cash generation. High insider ownership (38%) — founder/management skin in the game strongly aligns incentives with shareholders. Semiconductor design/fab expertise represents years of R&amp;D investment — a significant moat against new entrants.</t>
        </is>
      </c>
    </row>
    <row r="34" ht="80" customHeight="1">
      <c r="A34" s="26" t="inlineStr">
        <is>
          <t>KD</t>
        </is>
      </c>
      <c r="B34" s="27" t="inlineStr">
        <is>
          <t>Kyndryl Holdings, Inc.</t>
        </is>
      </c>
      <c r="C34" s="27" t="inlineStr">
        <is>
          <t>Information Technology Services</t>
        </is>
      </c>
      <c r="D34" s="49" t="inlineStr">
        <is>
          <t>Breakout</t>
        </is>
      </c>
      <c r="E34" s="49" t="inlineStr">
        <is>
          <t>22%</t>
        </is>
      </c>
      <c r="F34" s="49" t="inlineStr">
        <is>
          <t>62</t>
        </is>
      </c>
      <c r="G34" s="50" t="inlineStr">
        <is>
          <t>Rapid revenue growth (303% YoY) signals strong product-market fit and expanding TAM capture. Revenue acceleration (303% QoQ) — growth is compounding, indicating an inflection point or expanding customer adoption. Exceptional capital discipline (-0% share growth over 3yr) — management avoids dilution, signaling confidence in organic cash generation.</t>
        </is>
      </c>
    </row>
    <row r="35" ht="80" customHeight="1">
      <c r="A35" s="19" t="inlineStr">
        <is>
          <t>MPWR</t>
        </is>
      </c>
      <c r="B35" s="20" t="inlineStr">
        <is>
          <t>Monolithic Power Systems, Inc.</t>
        </is>
      </c>
      <c r="C35" s="20" t="inlineStr">
        <is>
          <t>Semiconductors</t>
        </is>
      </c>
      <c r="D35" s="47" t="inlineStr">
        <is>
          <t>Vital Link</t>
        </is>
      </c>
      <c r="E35" s="47" t="inlineStr">
        <is>
          <t>55%</t>
        </is>
      </c>
      <c r="F35" s="47" t="inlineStr">
        <is>
          <t>58</t>
        </is>
      </c>
      <c r="G35" s="48" t="inlineStr">
        <is>
          <t>Healthy margins (GM 55%) indicate differentiated products with some pricing power above commodity levels. Solid revenue growth (48% YoY) suggests growing demand and competitive positioning in target markets. Revenue acceleration (17% QoQ) — growth is compounding, indicating an inflection point or expanding customer adoption. Exceptional capital discipline (3% share growth over 3yr) — management avoids dilution, signaling confidence in organic cash generation. Semiconductor design/fab expertise represents years of R&amp;D investment — a significant moat against new entrants.</t>
        </is>
      </c>
    </row>
    <row r="36" ht="80" customHeight="1">
      <c r="A36" s="26" t="inlineStr">
        <is>
          <t>MCHP</t>
        </is>
      </c>
      <c r="B36" s="27" t="inlineStr">
        <is>
          <t>Microchip Technology Incorporated</t>
        </is>
      </c>
      <c r="C36" s="27" t="inlineStr">
        <is>
          <t>Semiconductors</t>
        </is>
      </c>
      <c r="D36" s="49" t="inlineStr">
        <is>
          <t>Vital Link</t>
        </is>
      </c>
      <c r="E36" s="49" t="inlineStr">
        <is>
          <t>63%</t>
        </is>
      </c>
      <c r="F36" s="49" t="inlineStr">
        <is>
          <t>55</t>
        </is>
      </c>
      <c r="G36" s="50" t="inlineStr">
        <is>
          <t>Strong pricing power (GM 63%) suggests proprietary technology or IP-protected products with limited direct competition. Solid revenue growth (38% YoY) suggests growing demand and competitive positioning in target markets. Revenue acceleration (51% QoQ) — growth is compounding, indicating an inflection point or expanding customer adoption. Exceptional capital discipline (-0% share growth over 3yr) — management avoids dilution, signaling confidence in organic cash generation. Semiconductor design/fab expertise represents years of R&amp;D investment — a significant moat against new entrants.</t>
        </is>
      </c>
    </row>
    <row r="37" ht="80" customHeight="1">
      <c r="A37" s="19" t="inlineStr">
        <is>
          <t>HEI</t>
        </is>
      </c>
      <c r="B37" s="20" t="inlineStr">
        <is>
          <t>HEICO Corporation</t>
        </is>
      </c>
      <c r="C37" s="20" t="inlineStr">
        <is>
          <t>Aerospace &amp; Defense</t>
        </is>
      </c>
      <c r="D37" s="47" t="inlineStr">
        <is>
          <t>Vital Link</t>
        </is>
      </c>
      <c r="E37" s="47" t="inlineStr">
        <is>
          <t>41%</t>
        </is>
      </c>
      <c r="F37" s="47" t="inlineStr">
        <is>
          <t>69</t>
        </is>
      </c>
      <c r="G37" s="48" t="inlineStr">
        <is>
          <t>Healthy margins (GM 41%) indicate differentiated products with some pricing power above commodity levels. Revenue acceleration (7% QoQ) — growth is compounding, indicating an inflection point or expanding customer adoption. Exceptional capital discipline (1% share growth over 3yr) — management avoids dilution, signaling confidence in organic cash generation. Meaningful insider ownership (11%) — management has material personal stake in company performance. Defense/aerospace positioning creates high barriers to entry via security clearances, government contracts, and long procurement cycles. Fingerprint score of 69 — structural profile closely matches historical multi-bagger winners at their inflection points.</t>
        </is>
      </c>
    </row>
    <row r="38" ht="80" customHeight="1">
      <c r="A38" s="26" t="inlineStr">
        <is>
          <t>UI</t>
        </is>
      </c>
      <c r="B38" s="27" t="inlineStr">
        <is>
          <t>Ubiquiti Inc.</t>
        </is>
      </c>
      <c r="C38" s="27" t="inlineStr">
        <is>
          <t>Communication Equipment</t>
        </is>
      </c>
      <c r="D38" s="49" t="inlineStr">
        <is>
          <t>Vital Link</t>
        </is>
      </c>
      <c r="E38" s="49" t="inlineStr">
        <is>
          <t>46%</t>
        </is>
      </c>
      <c r="F38" s="49" t="inlineStr">
        <is>
          <t>55</t>
        </is>
      </c>
      <c r="G38" s="50" t="inlineStr">
        <is>
          <t>Healthy margins (GM 46%) indicate differentiated products with some pricing power above commodity levels. Exceptional capital discipline (0% share growth over 3yr) — management avoids dilution, signaling confidence in organic cash generation. High insider ownership (93%) — founder/management skin in the game strongly aligns incentives with shareholders. Networking/communications infrastructure — installed base and switching costs create customer lock-in.</t>
        </is>
      </c>
    </row>
    <row r="39" ht="80" customHeight="1">
      <c r="A39" s="19" t="inlineStr">
        <is>
          <t>RBC</t>
        </is>
      </c>
      <c r="B39" s="20" t="inlineStr">
        <is>
          <t>RBC Bearings Incorporated</t>
        </is>
      </c>
      <c r="C39" s="20" t="inlineStr">
        <is>
          <t>Manufacturing - Tools &amp; Accessories</t>
        </is>
      </c>
      <c r="D39" s="47" t="inlineStr">
        <is>
          <t>Vital Link</t>
        </is>
      </c>
      <c r="E39" s="47" t="inlineStr">
        <is>
          <t>48%</t>
        </is>
      </c>
      <c r="F39" s="47" t="inlineStr">
        <is>
          <t>69</t>
        </is>
      </c>
      <c r="G39" s="48" t="inlineStr">
        <is>
          <t>Healthy margins (GM 48%) indicate differentiated products with some pricing power above commodity levels. Revenue acceleration (12% QoQ) — growth is compounding, indicating an inflection point or expanding customer adoption. Reasonable capital discipline (9% 3yr dilution) — moderate equity issuance suggests funded growth without excessive shareholder dilution. Fingerprint score of 69 — structural profile closely matches historical multi-bagger winners at their inflection points.</t>
        </is>
      </c>
    </row>
    <row r="40" ht="80" customHeight="1">
      <c r="A40" s="26" t="inlineStr">
        <is>
          <t>HWM</t>
        </is>
      </c>
      <c r="B40" s="27" t="inlineStr">
        <is>
          <t>Howmet Aerospace Inc.</t>
        </is>
      </c>
      <c r="C40" s="27" t="inlineStr">
        <is>
          <t>Aerospace &amp; Defense</t>
        </is>
      </c>
      <c r="D40" s="49" t="inlineStr">
        <is>
          <t>Vital Link</t>
        </is>
      </c>
      <c r="E40" s="49" t="inlineStr">
        <is>
          <t>37%</t>
        </is>
      </c>
      <c r="F40" s="49" t="inlineStr">
        <is>
          <t>67</t>
        </is>
      </c>
      <c r="G40" s="50" t="inlineStr">
        <is>
          <t>Moderate margins (GM 37%) — competitive market, but cost structure supports reinvestment. Revenue acceleration (15% QoQ) — growth is compounding, indicating an inflection point or expanding customer adoption. Exceptional capital discipline (-3% share growth over 3yr) — management avoids dilution, signaling confidence in organic cash generation. Defense/aerospace positioning creates high barriers to entry via security clearances, government contracts, and long procurement cycles. Fingerprint score of 67 — structural profile closely matches historical multi-bagger winners at their inflection points.</t>
        </is>
      </c>
    </row>
    <row r="41" ht="80" customHeight="1">
      <c r="A41" s="19" t="inlineStr">
        <is>
          <t>AXON</t>
        </is>
      </c>
      <c r="B41" s="20" t="inlineStr">
        <is>
          <t>Axon Enterprise, Inc.</t>
        </is>
      </c>
      <c r="C41" s="20" t="inlineStr">
        <is>
          <t>Aerospace &amp; Defense</t>
        </is>
      </c>
      <c r="D41" s="47" t="inlineStr">
        <is>
          <t>Vital Link</t>
        </is>
      </c>
      <c r="E41" s="47" t="inlineStr">
        <is>
          <t>60%</t>
        </is>
      </c>
      <c r="F41" s="47" t="inlineStr">
        <is>
          <t>57</t>
        </is>
      </c>
      <c r="G41" s="48" t="inlineStr">
        <is>
          <t>Strong pricing power (GM 60%) suggests proprietary technology or IP-protected products with limited direct competition. Solid revenue growth (35% YoY) suggests growing demand and competitive positioning in target markets. Reasonable capital discipline (7% 3yr dilution) — moderate equity issuance suggests funded growth without excessive shareholder dilution. Defense/aerospace positioning creates high barriers to entry via security clearances, government contracts, and long procurement cycles.</t>
        </is>
      </c>
    </row>
    <row r="42" ht="80" customHeight="1">
      <c r="A42" s="26" t="inlineStr">
        <is>
          <t>TDG</t>
        </is>
      </c>
      <c r="B42" s="27" t="inlineStr">
        <is>
          <t>TransDigm Group Incorporated</t>
        </is>
      </c>
      <c r="C42" s="27" t="inlineStr">
        <is>
          <t>Aerospace &amp; Defense</t>
        </is>
      </c>
      <c r="D42" s="49" t="inlineStr">
        <is>
          <t>Vital Link</t>
        </is>
      </c>
      <c r="E42" s="49" t="inlineStr">
        <is>
          <t>59%</t>
        </is>
      </c>
      <c r="F42" s="49" t="inlineStr">
        <is>
          <t>56</t>
        </is>
      </c>
      <c r="G42" s="50" t="inlineStr">
        <is>
          <t>Healthy margins (GM 59%) indicate differentiated products with some pricing power above commodity levels. Revenue acceleration (13% QoQ) — growth is compounding, indicating an inflection point or expanding customer adoption. Exceptional capital discipline (1% share growth over 3yr) — management avoids dilution, signaling confidence in organic cash generation. Defense/aerospace positioning creates high barriers to entry via security clearances, government contracts, and long procurement cycles.</t>
        </is>
      </c>
    </row>
    <row r="43" ht="80" customHeight="1">
      <c r="A43" s="19" t="inlineStr">
        <is>
          <t>FTAI</t>
        </is>
      </c>
      <c r="B43" s="20" t="inlineStr">
        <is>
          <t>FTAI Aviation Ltd.</t>
        </is>
      </c>
      <c r="C43" s="20" t="inlineStr">
        <is>
          <t>Aerospace &amp; Defense</t>
        </is>
      </c>
      <c r="D43" s="47" t="inlineStr">
        <is>
          <t>Vital Link</t>
        </is>
      </c>
      <c r="E43" s="47" t="inlineStr">
        <is>
          <t>33%</t>
        </is>
      </c>
      <c r="F43" s="47" t="inlineStr">
        <is>
          <t>78</t>
        </is>
      </c>
      <c r="G43" s="48" t="inlineStr">
        <is>
          <t>Moderate margins (GM 33%) — competitive market, but cost structure supports reinvestment. Solid revenue growth (41% YoY) suggests growing demand and competitive positioning in target markets. Exceptional capital discipline (3% share growth over 3yr) — management avoids dilution, signaling confidence in organic cash generation. Defense/aerospace positioning creates high barriers to entry via security clearances, government contracts, and long procurement cycles. Fingerprint score of 78 — structural profile closely matches historical multi-bagger winners at their inflection points.</t>
        </is>
      </c>
    </row>
    <row r="44" ht="80" customHeight="1">
      <c r="A44" s="26" t="inlineStr">
        <is>
          <t>TDY</t>
        </is>
      </c>
      <c r="B44" s="27" t="inlineStr">
        <is>
          <t>Teledyne Technologies Incorporated</t>
        </is>
      </c>
      <c r="C44" s="27" t="inlineStr">
        <is>
          <t>Hardware, Equipment &amp; Parts</t>
        </is>
      </c>
      <c r="D44" s="49" t="inlineStr">
        <is>
          <t>Vital Link</t>
        </is>
      </c>
      <c r="E44" s="49" t="inlineStr">
        <is>
          <t>44%</t>
        </is>
      </c>
      <c r="F44" s="49" t="inlineStr">
        <is>
          <t>78</t>
        </is>
      </c>
      <c r="G44" s="50" t="inlineStr">
        <is>
          <t>Healthy margins (GM 44%) indicate differentiated products with some pricing power above commodity levels. Exceptional capital discipline (-0% share growth over 3yr) — management avoids dilution, signaling confidence in organic cash generation. Fingerprint score of 78 — structural profile closely matches historical multi-bagger winners at their inflection points.</t>
        </is>
      </c>
    </row>
  </sheetData>
  <autoFilter ref="A4:G44"/>
  <mergeCells count="2">
    <mergeCell ref="A2:G2"/>
    <mergeCell ref="A1:G1"/>
  </mergeCells>
  <pageMargins left="0.75" right="0.75" top="1" bottom="1" header="0.5" footer="0.5"/>
  <pageSetup orientation="landscape" fitToWidth="1"/>
</worksheet>
</file>

<file path=xl/worksheets/sheet8.xml><?xml version="1.0" encoding="utf-8"?>
<worksheet xmlns="http://schemas.openxmlformats.org/spreadsheetml/2006/main">
  <sheetPr>
    <tabColor rgb="00C9A84C"/>
    <outlinePr summaryBelow="1" summaryRight="1"/>
    <pageSetUpPr fitToPage="1"/>
  </sheetPr>
  <dimension ref="A1:N34"/>
  <sheetViews>
    <sheetView showGridLines="0" workbookViewId="0">
      <pane ySplit="3" topLeftCell="A4" activePane="bottomLeft" state="frozen"/>
      <selection pane="bottomLeft" activeCell="A1" sqref="A1"/>
    </sheetView>
  </sheetViews>
  <sheetFormatPr baseColWidth="8" defaultRowHeight="15"/>
  <cols>
    <col width="3" customWidth="1" min="1" max="1"/>
    <col width="6" customWidth="1" min="2" max="2"/>
    <col width="9" customWidth="1" min="3" max="3"/>
    <col width="24" customWidth="1" min="4" max="4"/>
    <col width="14" customWidth="1" min="5" max="5"/>
    <col width="10" customWidth="1" min="6" max="6"/>
    <col width="12" customWidth="1" min="7" max="7"/>
    <col width="3" customWidth="1" min="8" max="8"/>
    <col width="6" customWidth="1" min="9" max="9"/>
    <col width="9" customWidth="1" min="10" max="10"/>
    <col width="24" customWidth="1" min="11" max="11"/>
    <col width="14" customWidth="1" min="12" max="12"/>
    <col width="10" customWidth="1" min="13" max="13"/>
    <col width="12" customWidth="1" min="14" max="14"/>
  </cols>
  <sheetData>
    <row r="1" ht="28" customHeight="1">
      <c r="A1" s="30" t="inlineStr">
        <is>
          <t>CROSS-TIER STANDOUTS</t>
        </is>
      </c>
      <c r="B1" s="11" t="n"/>
      <c r="C1" s="11" t="n"/>
      <c r="D1" s="11" t="n"/>
      <c r="E1" s="11" t="n"/>
      <c r="F1" s="11" t="n"/>
      <c r="G1" s="11" t="n"/>
      <c r="H1" s="11" t="n"/>
      <c r="I1" s="11" t="n"/>
      <c r="J1" s="11" t="n"/>
      <c r="K1" s="11" t="n"/>
      <c r="L1" s="11" t="n"/>
      <c r="M1" s="11" t="n"/>
      <c r="N1" s="11" t="n"/>
    </row>
    <row r="2" ht="22" customHeight="1">
      <c r="A2" s="31" t="inlineStr">
        <is>
          <t>Top performers across all metrics  |  September 08, 2026</t>
        </is>
      </c>
      <c r="B2" s="12" t="n"/>
      <c r="C2" s="12" t="n"/>
      <c r="D2" s="12" t="n"/>
      <c r="E2" s="12" t="n"/>
      <c r="F2" s="12" t="n"/>
      <c r="G2" s="12" t="n"/>
      <c r="H2" s="12" t="n"/>
      <c r="I2" s="12" t="n"/>
      <c r="J2" s="12" t="n"/>
      <c r="K2" s="12" t="n"/>
      <c r="L2" s="12" t="n"/>
      <c r="M2" s="12" t="n"/>
      <c r="N2" s="12" t="n"/>
    </row>
    <row r="3" ht="8" customHeight="1"/>
    <row r="4" ht="22" customHeight="1">
      <c r="B4" s="54" t="inlineStr">
        <is>
          <t>🏆 Highest Score</t>
        </is>
      </c>
      <c r="C4" s="17" t="n"/>
      <c r="D4" s="17" t="n"/>
      <c r="E4" s="17" t="n"/>
      <c r="F4" s="17" t="n"/>
      <c r="G4" s="55" t="n"/>
      <c r="I4" s="54" t="inlineStr">
        <is>
          <t>🔒 Lowest Dilution</t>
        </is>
      </c>
      <c r="J4" s="17" t="n"/>
      <c r="K4" s="17" t="n"/>
      <c r="L4" s="17" t="n"/>
      <c r="M4" s="17" t="n"/>
      <c r="N4" s="55" t="n"/>
    </row>
    <row r="5" ht="18" customHeight="1">
      <c r="B5" s="56" t="inlineStr">
        <is>
          <t>Rank</t>
        </is>
      </c>
      <c r="C5" s="18" t="inlineStr">
        <is>
          <t>Ticker</t>
        </is>
      </c>
      <c r="D5" s="18" t="inlineStr">
        <is>
          <t>Company</t>
        </is>
      </c>
      <c r="E5" s="18" t="inlineStr">
        <is>
          <t>Score</t>
        </is>
      </c>
      <c r="F5" s="18" t="inlineStr">
        <is>
          <t>Tier</t>
        </is>
      </c>
      <c r="G5" s="57" t="inlineStr">
        <is>
          <t>Score</t>
        </is>
      </c>
      <c r="I5" s="56" t="inlineStr">
        <is>
          <t>Rank</t>
        </is>
      </c>
      <c r="J5" s="18" t="inlineStr">
        <is>
          <t>Ticker</t>
        </is>
      </c>
      <c r="K5" s="18" t="inlineStr">
        <is>
          <t>Company</t>
        </is>
      </c>
      <c r="L5" s="18" t="inlineStr">
        <is>
          <t>Dil %</t>
        </is>
      </c>
      <c r="M5" s="18" t="inlineStr">
        <is>
          <t>Tier</t>
        </is>
      </c>
      <c r="N5" s="57" t="inlineStr">
        <is>
          <t>Score</t>
        </is>
      </c>
    </row>
    <row r="6" ht="16" customHeight="1">
      <c r="B6" s="58" t="inlineStr">
        <is>
          <t>🥇</t>
        </is>
      </c>
      <c r="C6" s="19" t="inlineStr">
        <is>
          <t>SODI</t>
        </is>
      </c>
      <c r="D6" s="20" t="inlineStr">
        <is>
          <t>Solitron Devices, Inc.</t>
        </is>
      </c>
      <c r="E6" s="35" t="n">
        <v>81.3</v>
      </c>
      <c r="F6" s="47" t="inlineStr">
        <is>
          <t>Nano Cap</t>
        </is>
      </c>
      <c r="G6" s="59" t="n">
        <v>81.3</v>
      </c>
      <c r="I6" s="58" t="inlineStr">
        <is>
          <t>🥇</t>
        </is>
      </c>
      <c r="J6" s="19" t="inlineStr">
        <is>
          <t>AADX</t>
        </is>
      </c>
      <c r="K6" s="20" t="inlineStr">
        <is>
          <t>Applied Aerospace &amp; Defense, Inc.</t>
        </is>
      </c>
      <c r="L6" s="35" t="n">
        <v>-13.2</v>
      </c>
      <c r="M6" s="47" t="inlineStr">
        <is>
          <t>Breakout</t>
        </is>
      </c>
      <c r="N6" s="59" t="n">
        <v>75.09999999999999</v>
      </c>
    </row>
    <row r="7" ht="16" customHeight="1">
      <c r="B7" s="60" t="inlineStr">
        <is>
          <t>🥈</t>
        </is>
      </c>
      <c r="C7" s="26" t="inlineStr">
        <is>
          <t>SCTQ</t>
        </is>
      </c>
      <c r="D7" s="27" t="inlineStr">
        <is>
          <t>Spectra Systems Corporation</t>
        </is>
      </c>
      <c r="E7" s="41" t="n">
        <v>78.5</v>
      </c>
      <c r="F7" s="49" t="inlineStr">
        <is>
          <t>Nano Cap</t>
        </is>
      </c>
      <c r="G7" s="61" t="n">
        <v>78.5</v>
      </c>
      <c r="I7" s="60" t="inlineStr">
        <is>
          <t>🥈</t>
        </is>
      </c>
      <c r="J7" s="26" t="inlineStr">
        <is>
          <t>CLFD</t>
        </is>
      </c>
      <c r="K7" s="27" t="inlineStr">
        <is>
          <t>Clearfield, Inc.</t>
        </is>
      </c>
      <c r="L7" s="41" t="n">
        <v>-10.9</v>
      </c>
      <c r="M7" s="49" t="inlineStr">
        <is>
          <t>Small Cap</t>
        </is>
      </c>
      <c r="N7" s="61" t="n">
        <v>76.7</v>
      </c>
    </row>
    <row r="8" ht="16" customHeight="1">
      <c r="B8" s="58" t="inlineStr">
        <is>
          <t>🥉</t>
        </is>
      </c>
      <c r="C8" s="19" t="inlineStr">
        <is>
          <t>KRMN</t>
        </is>
      </c>
      <c r="D8" s="20" t="inlineStr">
        <is>
          <t>Karman Holdings Inc.</t>
        </is>
      </c>
      <c r="E8" s="35" t="n">
        <v>78</v>
      </c>
      <c r="F8" s="47" t="inlineStr">
        <is>
          <t>Breakout</t>
        </is>
      </c>
      <c r="G8" s="59" t="n">
        <v>78</v>
      </c>
      <c r="I8" s="58" t="inlineStr">
        <is>
          <t>🥉</t>
        </is>
      </c>
      <c r="J8" s="19" t="inlineStr">
        <is>
          <t>IPGP</t>
        </is>
      </c>
      <c r="K8" s="20" t="inlineStr">
        <is>
          <t>IPG Photonics Corporation</t>
        </is>
      </c>
      <c r="L8" s="35" t="n">
        <v>-10.3</v>
      </c>
      <c r="M8" s="47" t="inlineStr">
        <is>
          <t>Breakout</t>
        </is>
      </c>
      <c r="N8" s="59" t="n">
        <v>68.7</v>
      </c>
    </row>
    <row r="9" ht="16" customHeight="1">
      <c r="B9" s="60" t="inlineStr">
        <is>
          <t>4th</t>
        </is>
      </c>
      <c r="C9" s="26" t="inlineStr">
        <is>
          <t>CLFD</t>
        </is>
      </c>
      <c r="D9" s="27" t="inlineStr">
        <is>
          <t>Clearfield, Inc.</t>
        </is>
      </c>
      <c r="E9" s="41" t="n">
        <v>76.7</v>
      </c>
      <c r="F9" s="49" t="inlineStr">
        <is>
          <t>Small Cap</t>
        </is>
      </c>
      <c r="G9" s="61" t="n">
        <v>76.7</v>
      </c>
      <c r="I9" s="60" t="inlineStr">
        <is>
          <t>4th</t>
        </is>
      </c>
      <c r="J9" s="26" t="inlineStr">
        <is>
          <t>RELL</t>
        </is>
      </c>
      <c r="K9" s="27" t="inlineStr">
        <is>
          <t>Richardson Electronics, Ltd.</t>
        </is>
      </c>
      <c r="L9" s="41" t="n">
        <v>-7.9</v>
      </c>
      <c r="M9" s="49" t="inlineStr">
        <is>
          <t>Nano Cap</t>
        </is>
      </c>
      <c r="N9" s="61" t="n">
        <v>75.7</v>
      </c>
    </row>
    <row r="10" ht="16" customHeight="1">
      <c r="B10" s="58" t="inlineStr">
        <is>
          <t>5th</t>
        </is>
      </c>
      <c r="C10" s="19" t="inlineStr">
        <is>
          <t>TRC</t>
        </is>
      </c>
      <c r="D10" s="20" t="inlineStr">
        <is>
          <t>Tejon Ranch Co.</t>
        </is>
      </c>
      <c r="E10" s="35" t="n">
        <v>76.40000000000001</v>
      </c>
      <c r="F10" s="47" t="inlineStr">
        <is>
          <t>Small Cap</t>
        </is>
      </c>
      <c r="G10" s="59" t="n">
        <v>76.40000000000001</v>
      </c>
      <c r="I10" s="58" t="inlineStr">
        <is>
          <t>5th</t>
        </is>
      </c>
      <c r="J10" s="19" t="inlineStr">
        <is>
          <t>CALX</t>
        </is>
      </c>
      <c r="K10" s="20" t="inlineStr">
        <is>
          <t>Calix, Inc.</t>
        </is>
      </c>
      <c r="L10" s="35" t="n">
        <v>-4.2</v>
      </c>
      <c r="M10" s="47" t="inlineStr">
        <is>
          <t>Breakout</t>
        </is>
      </c>
      <c r="N10" s="59" t="n">
        <v>69.8</v>
      </c>
    </row>
    <row r="12" ht="22" customHeight="1">
      <c r="B12" s="54" t="inlineStr">
        <is>
          <t>🧬 Best Fingerprint</t>
        </is>
      </c>
      <c r="C12" s="17" t="n"/>
      <c r="D12" s="17" t="n"/>
      <c r="E12" s="17" t="n"/>
      <c r="F12" s="17" t="n"/>
      <c r="G12" s="55" t="n"/>
      <c r="I12" s="54" t="inlineStr">
        <is>
          <t>👤 Highest Insider</t>
        </is>
      </c>
      <c r="J12" s="17" t="n"/>
      <c r="K12" s="17" t="n"/>
      <c r="L12" s="17" t="n"/>
      <c r="M12" s="17" t="n"/>
      <c r="N12" s="55" t="n"/>
    </row>
    <row r="13" ht="18" customHeight="1">
      <c r="B13" s="56" t="inlineStr">
        <is>
          <t>Rank</t>
        </is>
      </c>
      <c r="C13" s="18" t="inlineStr">
        <is>
          <t>Ticker</t>
        </is>
      </c>
      <c r="D13" s="18" t="inlineStr">
        <is>
          <t>Company</t>
        </is>
      </c>
      <c r="E13" s="18" t="inlineStr">
        <is>
          <t>FP Score</t>
        </is>
      </c>
      <c r="F13" s="18" t="inlineStr">
        <is>
          <t>Tier</t>
        </is>
      </c>
      <c r="G13" s="57" t="inlineStr">
        <is>
          <t>Score</t>
        </is>
      </c>
      <c r="I13" s="56" t="inlineStr">
        <is>
          <t>Rank</t>
        </is>
      </c>
      <c r="J13" s="18" t="inlineStr">
        <is>
          <t>Ticker</t>
        </is>
      </c>
      <c r="K13" s="18" t="inlineStr">
        <is>
          <t>Company</t>
        </is>
      </c>
      <c r="L13" s="18" t="inlineStr">
        <is>
          <t>Insider %</t>
        </is>
      </c>
      <c r="M13" s="18" t="inlineStr">
        <is>
          <t>Tier</t>
        </is>
      </c>
      <c r="N13" s="57" t="inlineStr">
        <is>
          <t>Score</t>
        </is>
      </c>
    </row>
    <row r="14" ht="16" customHeight="1">
      <c r="B14" s="58" t="inlineStr">
        <is>
          <t>🥇</t>
        </is>
      </c>
      <c r="C14" s="19" t="inlineStr">
        <is>
          <t>SWBI</t>
        </is>
      </c>
      <c r="D14" s="20" t="inlineStr">
        <is>
          <t>Smith &amp; Wesson Brands, Inc.</t>
        </is>
      </c>
      <c r="E14" s="35" t="n">
        <v>85.40000000000001</v>
      </c>
      <c r="F14" s="47" t="inlineStr">
        <is>
          <t>Small Cap</t>
        </is>
      </c>
      <c r="G14" s="59" t="n">
        <v>71.40000000000001</v>
      </c>
      <c r="I14" s="58" t="inlineStr">
        <is>
          <t>🥇</t>
        </is>
      </c>
      <c r="J14" s="19" t="inlineStr">
        <is>
          <t>UI</t>
        </is>
      </c>
      <c r="K14" s="20" t="inlineStr">
        <is>
          <t>Ubiquiti Inc.</t>
        </is>
      </c>
      <c r="L14" s="35" t="n">
        <v>93</v>
      </c>
      <c r="M14" s="47" t="inlineStr">
        <is>
          <t>Vital Link</t>
        </is>
      </c>
      <c r="N14" s="59" t="n">
        <v>68.59999999999999</v>
      </c>
    </row>
    <row r="15" ht="16" customHeight="1">
      <c r="B15" s="60" t="inlineStr">
        <is>
          <t>🥈</t>
        </is>
      </c>
      <c r="C15" s="26" t="inlineStr">
        <is>
          <t>PKE</t>
        </is>
      </c>
      <c r="D15" s="27" t="inlineStr">
        <is>
          <t>Park Aerospace Corp.</t>
        </is>
      </c>
      <c r="E15" s="41" t="n">
        <v>85.40000000000001</v>
      </c>
      <c r="F15" s="49" t="inlineStr">
        <is>
          <t>Small Cap</t>
        </is>
      </c>
      <c r="G15" s="61" t="n">
        <v>69.90000000000001</v>
      </c>
      <c r="I15" s="60" t="inlineStr">
        <is>
          <t>🥈</t>
        </is>
      </c>
      <c r="J15" s="26" t="inlineStr">
        <is>
          <t>AADX</t>
        </is>
      </c>
      <c r="K15" s="27" t="inlineStr">
        <is>
          <t>Applied Aerospace &amp; Defense, Inc.</t>
        </is>
      </c>
      <c r="L15" s="41" t="n">
        <v>81.09999999999999</v>
      </c>
      <c r="M15" s="49" t="inlineStr">
        <is>
          <t>Breakout</t>
        </is>
      </c>
      <c r="N15" s="61" t="n">
        <v>75.09999999999999</v>
      </c>
    </row>
    <row r="16" ht="16" customHeight="1">
      <c r="B16" s="58" t="inlineStr">
        <is>
          <t>🥉</t>
        </is>
      </c>
      <c r="C16" s="19" t="inlineStr">
        <is>
          <t>CALX</t>
        </is>
      </c>
      <c r="D16" s="20" t="inlineStr">
        <is>
          <t>Calix, Inc.</t>
        </is>
      </c>
      <c r="E16" s="35" t="n">
        <v>83.90000000000001</v>
      </c>
      <c r="F16" s="47" t="inlineStr">
        <is>
          <t>Breakout</t>
        </is>
      </c>
      <c r="G16" s="59" t="n">
        <v>69.8</v>
      </c>
      <c r="I16" s="58" t="inlineStr">
        <is>
          <t>🥉</t>
        </is>
      </c>
      <c r="J16" s="19" t="inlineStr">
        <is>
          <t>KRMN</t>
        </is>
      </c>
      <c r="K16" s="20" t="inlineStr">
        <is>
          <t>Karman Holdings Inc.</t>
        </is>
      </c>
      <c r="L16" s="35" t="n">
        <v>77.7</v>
      </c>
      <c r="M16" s="47" t="inlineStr">
        <is>
          <t>Breakout</t>
        </is>
      </c>
      <c r="N16" s="59" t="n">
        <v>78</v>
      </c>
    </row>
    <row r="17" ht="16" customHeight="1">
      <c r="B17" s="60" t="inlineStr">
        <is>
          <t>4th</t>
        </is>
      </c>
      <c r="C17" s="26" t="inlineStr">
        <is>
          <t>TDY</t>
        </is>
      </c>
      <c r="D17" s="27" t="inlineStr">
        <is>
          <t>Teledyne Technologies Incorporated</t>
        </is>
      </c>
      <c r="E17" s="41" t="n">
        <v>77.7</v>
      </c>
      <c r="F17" s="49" t="inlineStr">
        <is>
          <t>Vital Link</t>
        </is>
      </c>
      <c r="G17" s="61" t="n">
        <v>63.2</v>
      </c>
      <c r="I17" s="60" t="inlineStr">
        <is>
          <t>4th</t>
        </is>
      </c>
      <c r="J17" s="26" t="inlineStr">
        <is>
          <t>GLTK</t>
        </is>
      </c>
      <c r="K17" s="27" t="inlineStr">
        <is>
          <t>GlobalTech Corporation</t>
        </is>
      </c>
      <c r="L17" s="41" t="n">
        <v>77.59999999999999</v>
      </c>
      <c r="M17" s="49" t="inlineStr">
        <is>
          <t>Nano Cap</t>
        </is>
      </c>
      <c r="N17" s="61" t="n">
        <v>74.59999999999999</v>
      </c>
    </row>
    <row r="18" ht="16" customHeight="1">
      <c r="B18" s="58" t="inlineStr">
        <is>
          <t>5th</t>
        </is>
      </c>
      <c r="C18" s="19" t="inlineStr">
        <is>
          <t>FTAI</t>
        </is>
      </c>
      <c r="D18" s="20" t="inlineStr">
        <is>
          <t>FTAI Aviation Ltd.</t>
        </is>
      </c>
      <c r="E18" s="35" t="n">
        <v>77.59999999999999</v>
      </c>
      <c r="F18" s="47" t="inlineStr">
        <is>
          <t>Vital Link</t>
        </is>
      </c>
      <c r="G18" s="59" t="n">
        <v>63.6</v>
      </c>
      <c r="I18" s="58" t="inlineStr">
        <is>
          <t>5th</t>
        </is>
      </c>
      <c r="J18" s="19" t="inlineStr">
        <is>
          <t>ROC</t>
        </is>
      </c>
      <c r="K18" s="20" t="inlineStr">
        <is>
          <t>Rank One Computing Corp.</t>
        </is>
      </c>
      <c r="L18" s="35" t="n">
        <v>71.8</v>
      </c>
      <c r="M18" s="47" t="inlineStr">
        <is>
          <t>Nano Cap</t>
        </is>
      </c>
      <c r="N18" s="59" t="n">
        <v>72.7</v>
      </c>
    </row>
    <row r="20" ht="22" customHeight="1">
      <c r="B20" s="54" t="inlineStr">
        <is>
          <t>🚀 Fastest Growth</t>
        </is>
      </c>
      <c r="C20" s="17" t="n"/>
      <c r="D20" s="17" t="n"/>
      <c r="E20" s="17" t="n"/>
      <c r="F20" s="17" t="n"/>
      <c r="G20" s="55" t="n"/>
      <c r="I20" s="54" t="inlineStr">
        <is>
          <t>🔬 Smallest Cap</t>
        </is>
      </c>
      <c r="J20" s="17" t="n"/>
      <c r="K20" s="17" t="n"/>
      <c r="L20" s="17" t="n"/>
      <c r="M20" s="17" t="n"/>
      <c r="N20" s="55" t="n"/>
    </row>
    <row r="21" ht="18" customHeight="1">
      <c r="B21" s="56" t="inlineStr">
        <is>
          <t>Rank</t>
        </is>
      </c>
      <c r="C21" s="18" t="inlineStr">
        <is>
          <t>Ticker</t>
        </is>
      </c>
      <c r="D21" s="18" t="inlineStr">
        <is>
          <t>Company</t>
        </is>
      </c>
      <c r="E21" s="18" t="inlineStr">
        <is>
          <t>Rev Gr %</t>
        </is>
      </c>
      <c r="F21" s="18" t="inlineStr">
        <is>
          <t>Tier</t>
        </is>
      </c>
      <c r="G21" s="57" t="inlineStr">
        <is>
          <t>Score</t>
        </is>
      </c>
      <c r="I21" s="56" t="inlineStr">
        <is>
          <t>Rank</t>
        </is>
      </c>
      <c r="J21" s="18" t="inlineStr">
        <is>
          <t>Ticker</t>
        </is>
      </c>
      <c r="K21" s="18" t="inlineStr">
        <is>
          <t>Company</t>
        </is>
      </c>
      <c r="L21" s="18" t="inlineStr">
        <is>
          <t>Mkt Cap</t>
        </is>
      </c>
      <c r="M21" s="18" t="inlineStr">
        <is>
          <t>Tier</t>
        </is>
      </c>
      <c r="N21" s="57" t="inlineStr">
        <is>
          <t>Score</t>
        </is>
      </c>
    </row>
    <row r="22" ht="16" customHeight="1">
      <c r="B22" s="58" t="inlineStr">
        <is>
          <t>🥇</t>
        </is>
      </c>
      <c r="C22" s="19" t="inlineStr">
        <is>
          <t>SCTQ</t>
        </is>
      </c>
      <c r="D22" s="20" t="inlineStr">
        <is>
          <t>Spectra Systems Corporation</t>
        </is>
      </c>
      <c r="E22" s="35" t="n">
        <v>576.6</v>
      </c>
      <c r="F22" s="47" t="inlineStr">
        <is>
          <t>Nano Cap</t>
        </is>
      </c>
      <c r="G22" s="59" t="n">
        <v>78.5</v>
      </c>
      <c r="I22" s="58" t="inlineStr">
        <is>
          <t>🥇</t>
        </is>
      </c>
      <c r="J22" s="19" t="inlineStr">
        <is>
          <t>SODI</t>
        </is>
      </c>
      <c r="K22" s="20" t="inlineStr">
        <is>
          <t>Solitron Devices, Inc.</t>
        </is>
      </c>
      <c r="L22" s="21" t="n">
        <v>69.5</v>
      </c>
      <c r="M22" s="47" t="inlineStr">
        <is>
          <t>Nano Cap</t>
        </is>
      </c>
      <c r="N22" s="59" t="n">
        <v>81.3</v>
      </c>
    </row>
    <row r="23" ht="16" customHeight="1">
      <c r="B23" s="60" t="inlineStr">
        <is>
          <t>🥈</t>
        </is>
      </c>
      <c r="C23" s="26" t="inlineStr">
        <is>
          <t>KD</t>
        </is>
      </c>
      <c r="D23" s="27" t="inlineStr">
        <is>
          <t>Kyndryl Holdings, Inc.</t>
        </is>
      </c>
      <c r="E23" s="41" t="n">
        <v>303.2</v>
      </c>
      <c r="F23" s="49" t="inlineStr">
        <is>
          <t>Breakout</t>
        </is>
      </c>
      <c r="G23" s="61" t="n">
        <v>68.59999999999999</v>
      </c>
      <c r="I23" s="60" t="inlineStr">
        <is>
          <t>🥈</t>
        </is>
      </c>
      <c r="J23" s="26" t="inlineStr">
        <is>
          <t>AISP</t>
        </is>
      </c>
      <c r="K23" s="27" t="inlineStr">
        <is>
          <t>Airship AI Holdings, Inc.</t>
        </is>
      </c>
      <c r="L23" s="28" t="n">
        <v>71.8</v>
      </c>
      <c r="M23" s="49" t="inlineStr">
        <is>
          <t>Nano Cap</t>
        </is>
      </c>
      <c r="N23" s="61" t="n">
        <v>74.3</v>
      </c>
    </row>
    <row r="24" ht="16" customHeight="1">
      <c r="B24" s="58" t="inlineStr">
        <is>
          <t>🥉</t>
        </is>
      </c>
      <c r="C24" s="19" t="inlineStr">
        <is>
          <t>GLOO</t>
        </is>
      </c>
      <c r="D24" s="20" t="inlineStr">
        <is>
          <t>Gloo Holdings, Inc.</t>
        </is>
      </c>
      <c r="E24" s="35" t="n">
        <v>237.6</v>
      </c>
      <c r="F24" s="47" t="inlineStr">
        <is>
          <t>Nano Cap</t>
        </is>
      </c>
      <c r="G24" s="59" t="n">
        <v>73</v>
      </c>
      <c r="I24" s="58" t="inlineStr">
        <is>
          <t>🥉</t>
        </is>
      </c>
      <c r="J24" s="19" t="inlineStr">
        <is>
          <t>ROC</t>
        </is>
      </c>
      <c r="K24" s="20" t="inlineStr">
        <is>
          <t>Rank One Computing Corp.</t>
        </is>
      </c>
      <c r="L24" s="21" t="n">
        <v>79.8</v>
      </c>
      <c r="M24" s="47" t="inlineStr">
        <is>
          <t>Nano Cap</t>
        </is>
      </c>
      <c r="N24" s="59" t="n">
        <v>72.7</v>
      </c>
    </row>
    <row r="25" ht="16" customHeight="1">
      <c r="B25" s="60" t="inlineStr">
        <is>
          <t>4th</t>
        </is>
      </c>
      <c r="C25" s="26" t="inlineStr">
        <is>
          <t>VSH</t>
        </is>
      </c>
      <c r="D25" s="27" t="inlineStr">
        <is>
          <t>Vishay Intertechnology, Inc.</t>
        </is>
      </c>
      <c r="E25" s="41" t="n">
        <v>126.7</v>
      </c>
      <c r="F25" s="49" t="inlineStr">
        <is>
          <t>Breakout</t>
        </is>
      </c>
      <c r="G25" s="61" t="n">
        <v>73</v>
      </c>
      <c r="I25" s="60" t="inlineStr">
        <is>
          <t>4th</t>
        </is>
      </c>
      <c r="J25" s="26" t="inlineStr">
        <is>
          <t>SCTQ</t>
        </is>
      </c>
      <c r="K25" s="27" t="inlineStr">
        <is>
          <t>Spectra Systems Corporation</t>
        </is>
      </c>
      <c r="L25" s="28" t="n">
        <v>106.9</v>
      </c>
      <c r="M25" s="49" t="inlineStr">
        <is>
          <t>Nano Cap</t>
        </is>
      </c>
      <c r="N25" s="61" t="n">
        <v>78.5</v>
      </c>
    </row>
    <row r="26" ht="16" customHeight="1">
      <c r="B26" s="58" t="inlineStr">
        <is>
          <t>5th</t>
        </is>
      </c>
      <c r="C26" s="19" t="inlineStr">
        <is>
          <t>VPG</t>
        </is>
      </c>
      <c r="D26" s="20" t="inlineStr">
        <is>
          <t>Vishay Precision Group, Inc.</t>
        </is>
      </c>
      <c r="E26" s="35" t="n">
        <v>123.9</v>
      </c>
      <c r="F26" s="47" t="inlineStr">
        <is>
          <t>Small Cap</t>
        </is>
      </c>
      <c r="G26" s="59" t="n">
        <v>72.90000000000001</v>
      </c>
      <c r="I26" s="58" t="inlineStr">
        <is>
          <t>5th</t>
        </is>
      </c>
      <c r="J26" s="19" t="inlineStr">
        <is>
          <t>INTT</t>
        </is>
      </c>
      <c r="K26" s="20" t="inlineStr">
        <is>
          <t>inTEST Corporation</t>
        </is>
      </c>
      <c r="L26" s="21" t="n">
        <v>146.3</v>
      </c>
      <c r="M26" s="47" t="inlineStr">
        <is>
          <t>Nano Cap</t>
        </is>
      </c>
      <c r="N26" s="59" t="n">
        <v>74.5</v>
      </c>
    </row>
    <row r="28" ht="22" customHeight="1">
      <c r="B28" s="54" t="inlineStr">
        <is>
          <t>📈 Best Momentum</t>
        </is>
      </c>
      <c r="C28" s="17" t="n"/>
      <c r="D28" s="17" t="n"/>
      <c r="E28" s="17" t="n"/>
      <c r="F28" s="17" t="n"/>
      <c r="G28" s="55" t="n"/>
    </row>
    <row r="29" ht="18" customHeight="1">
      <c r="B29" s="56" t="inlineStr">
        <is>
          <t>Rank</t>
        </is>
      </c>
      <c r="C29" s="18" t="inlineStr">
        <is>
          <t>Ticker</t>
        </is>
      </c>
      <c r="D29" s="18" t="inlineStr">
        <is>
          <t>Company</t>
        </is>
      </c>
      <c r="E29" s="18" t="inlineStr">
        <is>
          <t>3M %</t>
        </is>
      </c>
      <c r="F29" s="18" t="inlineStr">
        <is>
          <t>Tier</t>
        </is>
      </c>
      <c r="G29" s="57" t="inlineStr">
        <is>
          <t>Score</t>
        </is>
      </c>
    </row>
    <row r="30" ht="16" customHeight="1">
      <c r="B30" s="58" t="inlineStr">
        <is>
          <t>🥇</t>
        </is>
      </c>
      <c r="C30" s="19" t="inlineStr">
        <is>
          <t>SODI</t>
        </is>
      </c>
      <c r="D30" s="20" t="inlineStr">
        <is>
          <t>Solitron Devices, Inc.</t>
        </is>
      </c>
      <c r="E30" s="35" t="n">
        <v>40.43478</v>
      </c>
      <c r="F30" s="47" t="inlineStr">
        <is>
          <t>Nano Cap</t>
        </is>
      </c>
      <c r="G30" s="59" t="n">
        <v>81.3</v>
      </c>
    </row>
    <row r="31" ht="16" customHeight="1">
      <c r="B31" s="60" t="inlineStr">
        <is>
          <t>🥈</t>
        </is>
      </c>
      <c r="C31" s="26" t="inlineStr">
        <is>
          <t>BETA</t>
        </is>
      </c>
      <c r="D31" s="27" t="inlineStr">
        <is>
          <t>BETA Technologies, Inc.</t>
        </is>
      </c>
      <c r="E31" s="41" t="n">
        <v>24.15613</v>
      </c>
      <c r="F31" s="49" t="inlineStr">
        <is>
          <t>Breakout</t>
        </is>
      </c>
      <c r="G31" s="61" t="n">
        <v>71.3</v>
      </c>
    </row>
    <row r="32" ht="16" customHeight="1">
      <c r="B32" s="58" t="inlineStr">
        <is>
          <t>🥉</t>
        </is>
      </c>
      <c r="C32" s="19" t="inlineStr">
        <is>
          <t>KD</t>
        </is>
      </c>
      <c r="D32" s="20" t="inlineStr">
        <is>
          <t>Kyndryl Holdings, Inc.</t>
        </is>
      </c>
      <c r="E32" s="35" t="n">
        <v>9.29931</v>
      </c>
      <c r="F32" s="47" t="inlineStr">
        <is>
          <t>Breakout</t>
        </is>
      </c>
      <c r="G32" s="59" t="n">
        <v>68.59999999999999</v>
      </c>
    </row>
    <row r="33" ht="16" customHeight="1">
      <c r="B33" s="60" t="inlineStr">
        <is>
          <t>4th</t>
        </is>
      </c>
      <c r="C33" s="26" t="inlineStr">
        <is>
          <t>AXON</t>
        </is>
      </c>
      <c r="D33" s="27" t="inlineStr">
        <is>
          <t>Axon Enterprise, Inc.</t>
        </is>
      </c>
      <c r="E33" s="41" t="n">
        <v>8.209149999999999</v>
      </c>
      <c r="F33" s="49" t="inlineStr">
        <is>
          <t>Vital Link</t>
        </is>
      </c>
      <c r="G33" s="61" t="n">
        <v>63.8</v>
      </c>
    </row>
    <row r="34" ht="16" customHeight="1">
      <c r="B34" s="58" t="inlineStr">
        <is>
          <t>5th</t>
        </is>
      </c>
      <c r="C34" s="19" t="inlineStr">
        <is>
          <t>RELL</t>
        </is>
      </c>
      <c r="D34" s="20" t="inlineStr">
        <is>
          <t>Richardson Electronics, Ltd.</t>
        </is>
      </c>
      <c r="E34" s="35" t="n">
        <v>5.65244</v>
      </c>
      <c r="F34" s="47" t="inlineStr">
        <is>
          <t>Nano Cap</t>
        </is>
      </c>
      <c r="G34" s="59" t="n">
        <v>75.7</v>
      </c>
    </row>
  </sheetData>
  <mergeCells count="9">
    <mergeCell ref="B20:G20"/>
    <mergeCell ref="B28:G28"/>
    <mergeCell ref="A2:N2"/>
    <mergeCell ref="B4:G4"/>
    <mergeCell ref="B12:G12"/>
    <mergeCell ref="I12:N12"/>
    <mergeCell ref="I4:N4"/>
    <mergeCell ref="I20:N20"/>
    <mergeCell ref="A1:N1"/>
  </mergeCells>
  <pageMargins left="0.75" right="0.75" top="1" bottom="1" header="0.5" footer="0.5"/>
  <pageSetup orientation="landscape" fitToWidth="1"/>
</worksheet>
</file>

<file path=xl/worksheets/sheet9.xml><?xml version="1.0" encoding="utf-8"?>
<worksheet xmlns="http://schemas.openxmlformats.org/spreadsheetml/2006/main">
  <sheetPr>
    <tabColor rgb="002A9D8F"/>
    <outlinePr summaryBelow="1" summaryRight="1"/>
    <pageSetUpPr fitToPage="1"/>
  </sheetPr>
  <dimension ref="A1:I53"/>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9" customWidth="1" min="1" max="1"/>
    <col width="28" customWidth="1" min="2" max="2"/>
    <col width="12" customWidth="1" min="3" max="3"/>
    <col width="14" customWidth="1" min="4" max="4"/>
    <col width="18" customWidth="1" min="5" max="5"/>
    <col width="12" customWidth="1" min="6" max="6"/>
    <col width="55" customWidth="1" min="7" max="7"/>
    <col width="30" customWidth="1" min="8" max="8"/>
    <col width="30" customWidth="1" min="9" max="9"/>
  </cols>
  <sheetData>
    <row r="1" ht="28" customHeight="1">
      <c r="A1" s="30" t="inlineStr">
        <is>
          <t>INVESTMENT RECOMMENDATIONS</t>
        </is>
      </c>
      <c r="B1" s="11" t="n"/>
      <c r="C1" s="11" t="n"/>
      <c r="D1" s="11" t="n"/>
      <c r="E1" s="11" t="n"/>
      <c r="F1" s="11" t="n"/>
      <c r="G1" s="11" t="n"/>
      <c r="H1" s="11" t="n"/>
      <c r="I1" s="11" t="n"/>
    </row>
    <row r="2" ht="22" customHeight="1">
      <c r="A2" s="31" t="inlineStr">
        <is>
          <t>Conviction levels based on combined scoring, fundamentals, and risk profile  |  September 08, 2026</t>
        </is>
      </c>
      <c r="B2" s="12" t="n"/>
      <c r="C2" s="12" t="n"/>
      <c r="D2" s="12" t="n"/>
      <c r="E2" s="12" t="n"/>
      <c r="F2" s="12" t="n"/>
      <c r="G2" s="12" t="n"/>
      <c r="H2" s="12" t="n"/>
      <c r="I2" s="12" t="n"/>
    </row>
    <row r="3" ht="8" customHeight="1"/>
    <row r="4" ht="22" customHeight="1">
      <c r="A4" s="62" t="inlineStr">
        <is>
          <t>▼ Filter:</t>
        </is>
      </c>
      <c r="B4" s="63" t="inlineStr">
        <is>
          <t>All</t>
        </is>
      </c>
      <c r="C4" s="63" t="inlineStr">
        <is>
          <t>All</t>
        </is>
      </c>
      <c r="D4" s="63" t="inlineStr">
        <is>
          <t>All</t>
        </is>
      </c>
    </row>
    <row r="5" ht="18" customHeight="1">
      <c r="A5" s="18" t="inlineStr">
        <is>
          <t>Ticker</t>
        </is>
      </c>
      <c r="B5" s="18" t="inlineStr">
        <is>
          <t>Name</t>
        </is>
      </c>
      <c r="C5" s="18" t="inlineStr">
        <is>
          <t>Tier</t>
        </is>
      </c>
      <c r="D5" s="18" t="inlineStr">
        <is>
          <t>Conviction</t>
        </is>
      </c>
      <c r="E5" s="18" t="inlineStr">
        <is>
          <t>Thesis Bucket</t>
        </is>
      </c>
      <c r="F5" s="18" t="inlineStr">
        <is>
          <t>Combined</t>
        </is>
      </c>
      <c r="G5" s="18" t="inlineStr">
        <is>
          <t>Rationale</t>
        </is>
      </c>
      <c r="H5" s="18" t="inlineStr">
        <is>
          <t>Key Strengths</t>
        </is>
      </c>
      <c r="I5" s="18" t="inlineStr">
        <is>
          <t>Key Risks</t>
        </is>
      </c>
    </row>
    <row r="6" ht="40" customHeight="1">
      <c r="A6" s="19" t="inlineStr">
        <is>
          <t>SODI</t>
        </is>
      </c>
      <c r="B6" s="20" t="inlineStr">
        <is>
          <t>Solitron Devices, Inc.</t>
        </is>
      </c>
      <c r="C6" s="47" t="inlineStr">
        <is>
          <t>Nano Cap</t>
        </is>
      </c>
      <c r="D6" s="23" t="inlineStr">
        <is>
          <t>Medium-High</t>
        </is>
      </c>
      <c r="E6" s="20" t="inlineStr">
        <is>
          <t>High-Growth Quality</t>
        </is>
      </c>
      <c r="F6" s="35" t="n">
        <v>81.3</v>
      </c>
      <c r="G6" s="48" t="inlineStr">
        <is>
          <t>Strengths: strong revenue growth, healthy margins, high insider alignment, minimal dilution, positive momentum. Risks: none significant.</t>
        </is>
      </c>
      <c r="H6" s="64" t="inlineStr">
        <is>
          <t>✓ strong revenue growth
✓ healthy margins
✓ high insider alignment
✓ minimal dilution
✓ positive momentum</t>
        </is>
      </c>
      <c r="I6" s="65" t="inlineStr">
        <is>
          <t>—</t>
        </is>
      </c>
    </row>
    <row r="7" ht="40" customHeight="1">
      <c r="A7" s="26" t="inlineStr">
        <is>
          <t>SCTQ</t>
        </is>
      </c>
      <c r="B7" s="27" t="inlineStr">
        <is>
          <t>Spectra Systems Corporation</t>
        </is>
      </c>
      <c r="C7" s="49" t="inlineStr">
        <is>
          <t>Nano Cap</t>
        </is>
      </c>
      <c r="D7" s="23" t="inlineStr">
        <is>
          <t>Medium-High</t>
        </is>
      </c>
      <c r="E7" s="27" t="inlineStr">
        <is>
          <t>High-Growth Quality</t>
        </is>
      </c>
      <c r="F7" s="41" t="n">
        <v>78.5</v>
      </c>
      <c r="G7" s="50" t="inlineStr">
        <is>
          <t>Strengths: strong revenue growth, high-margin business, high insider alignment. Risks: none significant.</t>
        </is>
      </c>
      <c r="H7" s="64" t="inlineStr">
        <is>
          <t>✓ strong revenue growth
✓ high-margin business
✓ high insider alignment</t>
        </is>
      </c>
      <c r="I7" s="65" t="inlineStr">
        <is>
          <t>—</t>
        </is>
      </c>
    </row>
    <row r="8" ht="40" customHeight="1">
      <c r="A8" s="19" t="inlineStr">
        <is>
          <t>KRMN</t>
        </is>
      </c>
      <c r="B8" s="20" t="inlineStr">
        <is>
          <t>Karman Holdings Inc.</t>
        </is>
      </c>
      <c r="C8" s="47" t="inlineStr">
        <is>
          <t>Breakout</t>
        </is>
      </c>
      <c r="D8" s="23" t="inlineStr">
        <is>
          <t>Medium-High</t>
        </is>
      </c>
      <c r="E8" s="20" t="inlineStr">
        <is>
          <t>High-Growth Quality</t>
        </is>
      </c>
      <c r="F8" s="35" t="n">
        <v>78</v>
      </c>
      <c r="G8" s="48" t="inlineStr">
        <is>
          <t>Strengths: strong revenue growth, healthy margins, high insider alignment, minimal dilution. Risks: none significant.</t>
        </is>
      </c>
      <c r="H8" s="64" t="inlineStr">
        <is>
          <t>✓ strong revenue growth
✓ healthy margins
✓ high insider alignment
✓ minimal dilution</t>
        </is>
      </c>
      <c r="I8" s="65" t="inlineStr">
        <is>
          <t>—</t>
        </is>
      </c>
    </row>
    <row r="9" ht="40" customHeight="1">
      <c r="A9" s="26" t="inlineStr">
        <is>
          <t>CLFD</t>
        </is>
      </c>
      <c r="B9" s="27" t="inlineStr">
        <is>
          <t>Clearfield, Inc.</t>
        </is>
      </c>
      <c r="C9" s="49" t="inlineStr">
        <is>
          <t>Small Cap</t>
        </is>
      </c>
      <c r="D9" s="23" t="inlineStr">
        <is>
          <t>Medium-High</t>
        </is>
      </c>
      <c r="E9" s="27" t="inlineStr">
        <is>
          <t>Emerging Watch</t>
        </is>
      </c>
      <c r="F9" s="41" t="n">
        <v>76.7</v>
      </c>
      <c r="G9" s="50" t="inlineStr">
        <is>
          <t>Strengths: high insider alignment, minimal dilution. Risks: modest growth.</t>
        </is>
      </c>
      <c r="H9" s="64" t="inlineStr">
        <is>
          <t>✓ high insider alignment
✓ minimal dilution</t>
        </is>
      </c>
      <c r="I9" s="65" t="inlineStr">
        <is>
          <t>⚠ modest growth</t>
        </is>
      </c>
    </row>
    <row r="10" ht="40" customHeight="1">
      <c r="A10" s="19" t="inlineStr">
        <is>
          <t>TRC</t>
        </is>
      </c>
      <c r="B10" s="20" t="inlineStr">
        <is>
          <t>Tejon Ranch Co.</t>
        </is>
      </c>
      <c r="C10" s="47" t="inlineStr">
        <is>
          <t>Small Cap</t>
        </is>
      </c>
      <c r="D10" s="23" t="inlineStr">
        <is>
          <t>Medium-High</t>
        </is>
      </c>
      <c r="E10" s="20" t="inlineStr">
        <is>
          <t>Growth Inflection</t>
        </is>
      </c>
      <c r="F10" s="35" t="n">
        <v>76.40000000000001</v>
      </c>
      <c r="G10" s="48" t="inlineStr">
        <is>
          <t>Strengths: strong revenue growth, minimal dilution. Risks: thin margins.</t>
        </is>
      </c>
      <c r="H10" s="64" t="inlineStr">
        <is>
          <t>✓ strong revenue growth
✓ minimal dilution</t>
        </is>
      </c>
      <c r="I10" s="65" t="inlineStr">
        <is>
          <t>⚠ thin margins</t>
        </is>
      </c>
    </row>
    <row r="11" ht="40" customHeight="1">
      <c r="A11" s="26" t="inlineStr">
        <is>
          <t>RELL</t>
        </is>
      </c>
      <c r="B11" s="27" t="inlineStr">
        <is>
          <t>Richardson Electronics, Ltd.</t>
        </is>
      </c>
      <c r="C11" s="49" t="inlineStr">
        <is>
          <t>Nano Cap</t>
        </is>
      </c>
      <c r="D11" s="23" t="inlineStr">
        <is>
          <t>Medium-High</t>
        </is>
      </c>
      <c r="E11" s="27" t="inlineStr">
        <is>
          <t>Emerging Watch</t>
        </is>
      </c>
      <c r="F11" s="41" t="n">
        <v>75.7</v>
      </c>
      <c r="G11" s="50" t="inlineStr">
        <is>
          <t>Strengths: solid revenue growth, high insider alignment, minimal dilution. Risks: none significant.</t>
        </is>
      </c>
      <c r="H11" s="64" t="inlineStr">
        <is>
          <t>✓ solid revenue growth
✓ high insider alignment
✓ minimal dilution</t>
        </is>
      </c>
      <c r="I11" s="65" t="inlineStr">
        <is>
          <t>—</t>
        </is>
      </c>
    </row>
    <row r="12" ht="40" customHeight="1">
      <c r="A12" s="19" t="inlineStr">
        <is>
          <t>AADX</t>
        </is>
      </c>
      <c r="B12" s="20" t="inlineStr">
        <is>
          <t>Applied Aerospace &amp; Defense, Inc.</t>
        </is>
      </c>
      <c r="C12" s="47" t="inlineStr">
        <is>
          <t>Breakout</t>
        </is>
      </c>
      <c r="D12" s="23" t="inlineStr">
        <is>
          <t>Medium-High</t>
        </is>
      </c>
      <c r="E12" s="20" t="inlineStr">
        <is>
          <t>Insider Conviction</t>
        </is>
      </c>
      <c r="F12" s="35" t="n">
        <v>75.09999999999999</v>
      </c>
      <c r="G12" s="48" t="inlineStr">
        <is>
          <t>Strengths: strong revenue growth, high insider alignment, minimal dilution. Risks: thin margins, negative momentum.</t>
        </is>
      </c>
      <c r="H12" s="64" t="inlineStr">
        <is>
          <t>✓ strong revenue growth
✓ high insider alignment
✓ minimal dilution</t>
        </is>
      </c>
      <c r="I12" s="65" t="inlineStr">
        <is>
          <t>⚠ thin margins
⚠ negative momentum</t>
        </is>
      </c>
    </row>
    <row r="13" ht="40" customHeight="1">
      <c r="A13" s="26" t="inlineStr">
        <is>
          <t>GLTK</t>
        </is>
      </c>
      <c r="B13" s="27" t="inlineStr">
        <is>
          <t>GlobalTech Corporation</t>
        </is>
      </c>
      <c r="C13" s="49" t="inlineStr">
        <is>
          <t>Nano Cap</t>
        </is>
      </c>
      <c r="D13" s="25" t="inlineStr">
        <is>
          <t>Medium</t>
        </is>
      </c>
      <c r="E13" s="27" t="inlineStr">
        <is>
          <t>Growth Inflection</t>
        </is>
      </c>
      <c r="F13" s="41" t="n">
        <v>74.59999999999999</v>
      </c>
      <c r="G13" s="50" t="inlineStr">
        <is>
          <t>Strengths: strong revenue growth, high insider alignment. Risks: thin margins.</t>
        </is>
      </c>
      <c r="H13" s="64" t="inlineStr">
        <is>
          <t>✓ strong revenue growth
✓ high insider alignment</t>
        </is>
      </c>
      <c r="I13" s="65" t="inlineStr">
        <is>
          <t>⚠ thin margins</t>
        </is>
      </c>
    </row>
    <row r="14" ht="40" customHeight="1">
      <c r="A14" s="19" t="inlineStr">
        <is>
          <t>INTT</t>
        </is>
      </c>
      <c r="B14" s="20" t="inlineStr">
        <is>
          <t>inTEST Corporation</t>
        </is>
      </c>
      <c r="C14" s="47" t="inlineStr">
        <is>
          <t>Nano Cap</t>
        </is>
      </c>
      <c r="D14" s="25" t="inlineStr">
        <is>
          <t>Medium</t>
        </is>
      </c>
      <c r="E14" s="20" t="inlineStr">
        <is>
          <t>Emerging Watch</t>
        </is>
      </c>
      <c r="F14" s="35" t="n">
        <v>74.5</v>
      </c>
      <c r="G14" s="48" t="inlineStr">
        <is>
          <t>Strengths: solid revenue growth, healthy margins, minimal dilution. Risks: none significant.</t>
        </is>
      </c>
      <c r="H14" s="64" t="inlineStr">
        <is>
          <t>✓ solid revenue growth
✓ healthy margins
✓ minimal dilution</t>
        </is>
      </c>
      <c r="I14" s="65" t="inlineStr">
        <is>
          <t>—</t>
        </is>
      </c>
    </row>
    <row r="15" ht="40" customHeight="1">
      <c r="A15" s="26" t="inlineStr">
        <is>
          <t>AISP</t>
        </is>
      </c>
      <c r="B15" s="27" t="inlineStr">
        <is>
          <t>Airship AI Holdings, Inc.</t>
        </is>
      </c>
      <c r="C15" s="49" t="inlineStr">
        <is>
          <t>Nano Cap</t>
        </is>
      </c>
      <c r="D15" s="25" t="inlineStr">
        <is>
          <t>Medium</t>
        </is>
      </c>
      <c r="E15" s="27" t="inlineStr">
        <is>
          <t>High-Growth Quality</t>
        </is>
      </c>
      <c r="F15" s="41" t="n">
        <v>74.3</v>
      </c>
      <c r="G15" s="50" t="inlineStr">
        <is>
          <t>Strengths: strong revenue growth, high-margin business, high insider alignment. Risks: significant dilution.</t>
        </is>
      </c>
      <c r="H15" s="64" t="inlineStr">
        <is>
          <t>✓ strong revenue growth
✓ high-margin business
✓ high insider alignment</t>
        </is>
      </c>
      <c r="I15" s="65" t="inlineStr">
        <is>
          <t>⚠ significant dilution</t>
        </is>
      </c>
    </row>
    <row r="16" ht="40" customHeight="1">
      <c r="A16" s="19" t="inlineStr">
        <is>
          <t>MRAM</t>
        </is>
      </c>
      <c r="B16" s="20" t="inlineStr">
        <is>
          <t>Everspin Technologies, Inc.</t>
        </is>
      </c>
      <c r="C16" s="47" t="inlineStr">
        <is>
          <t>Small Cap</t>
        </is>
      </c>
      <c r="D16" s="25" t="inlineStr">
        <is>
          <t>Medium</t>
        </is>
      </c>
      <c r="E16" s="20" t="inlineStr">
        <is>
          <t>High-Growth Quality</t>
        </is>
      </c>
      <c r="F16" s="35" t="n">
        <v>73.90000000000001</v>
      </c>
      <c r="G16" s="48" t="inlineStr">
        <is>
          <t>Strengths: strong revenue growth, high-margin business, high insider alignment. Risks: none significant.</t>
        </is>
      </c>
      <c r="H16" s="64" t="inlineStr">
        <is>
          <t>✓ strong revenue growth
✓ high-margin business
✓ high insider alignment</t>
        </is>
      </c>
      <c r="I16" s="65" t="inlineStr">
        <is>
          <t>—</t>
        </is>
      </c>
    </row>
    <row r="17" ht="40" customHeight="1">
      <c r="A17" s="26" t="inlineStr">
        <is>
          <t>MPWR</t>
        </is>
      </c>
      <c r="B17" s="27" t="inlineStr">
        <is>
          <t>Monolithic Power Systems, Inc.</t>
        </is>
      </c>
      <c r="C17" s="49" t="inlineStr">
        <is>
          <t>Vital Link</t>
        </is>
      </c>
      <c r="D17" s="25" t="inlineStr">
        <is>
          <t>Medium</t>
        </is>
      </c>
      <c r="E17" s="27" t="inlineStr">
        <is>
          <t>High-Growth Quality</t>
        </is>
      </c>
      <c r="F17" s="41" t="n">
        <v>73.5</v>
      </c>
      <c r="G17" s="50" t="inlineStr">
        <is>
          <t>Strengths: strong revenue growth, high-margin business, minimal dilution. Risks: low insider ownership.</t>
        </is>
      </c>
      <c r="H17" s="64" t="inlineStr">
        <is>
          <t>✓ strong revenue growth
✓ high-margin business
✓ minimal dilution</t>
        </is>
      </c>
      <c r="I17" s="65" t="inlineStr">
        <is>
          <t>⚠ low insider ownership</t>
        </is>
      </c>
    </row>
    <row r="18" ht="40" customHeight="1">
      <c r="A18" s="19" t="inlineStr">
        <is>
          <t>GLOO</t>
        </is>
      </c>
      <c r="B18" s="20" t="inlineStr">
        <is>
          <t>Gloo Holdings, Inc.</t>
        </is>
      </c>
      <c r="C18" s="47" t="inlineStr">
        <is>
          <t>Nano Cap</t>
        </is>
      </c>
      <c r="D18" s="25" t="inlineStr">
        <is>
          <t>Medium</t>
        </is>
      </c>
      <c r="E18" s="20" t="inlineStr">
        <is>
          <t>Insider Conviction</t>
        </is>
      </c>
      <c r="F18" s="35" t="n">
        <v>73</v>
      </c>
      <c r="G18" s="48" t="inlineStr">
        <is>
          <t>Strengths: strong revenue growth, high insider alignment, minimal dilution. Risks: negative momentum.</t>
        </is>
      </c>
      <c r="H18" s="64" t="inlineStr">
        <is>
          <t>✓ strong revenue growth
✓ high insider alignment
✓ minimal dilution</t>
        </is>
      </c>
      <c r="I18" s="65" t="inlineStr">
        <is>
          <t>⚠ negative momentum</t>
        </is>
      </c>
    </row>
    <row r="19" ht="40" customHeight="1">
      <c r="A19" s="26" t="inlineStr">
        <is>
          <t>VSH</t>
        </is>
      </c>
      <c r="B19" s="27" t="inlineStr">
        <is>
          <t>Vishay Intertechnology, Inc.</t>
        </is>
      </c>
      <c r="C19" s="49" t="inlineStr">
        <is>
          <t>Breakout</t>
        </is>
      </c>
      <c r="D19" s="25" t="inlineStr">
        <is>
          <t>Medium</t>
        </is>
      </c>
      <c r="E19" s="27" t="inlineStr">
        <is>
          <t>Growth Inflection</t>
        </is>
      </c>
      <c r="F19" s="41" t="n">
        <v>73</v>
      </c>
      <c r="G19" s="50" t="inlineStr">
        <is>
          <t>Strengths: strong revenue growth, minimal dilution. Risks: thin margins, negative momentum.</t>
        </is>
      </c>
      <c r="H19" s="64" t="inlineStr">
        <is>
          <t>✓ strong revenue growth
✓ minimal dilution</t>
        </is>
      </c>
      <c r="I19" s="65" t="inlineStr">
        <is>
          <t>⚠ thin margins
⚠ negative momentum</t>
        </is>
      </c>
    </row>
    <row r="20" ht="40" customHeight="1">
      <c r="A20" s="19" t="inlineStr">
        <is>
          <t>VPG</t>
        </is>
      </c>
      <c r="B20" s="20" t="inlineStr">
        <is>
          <t>Vishay Precision Group, Inc.</t>
        </is>
      </c>
      <c r="C20" s="47" t="inlineStr">
        <is>
          <t>Small Cap</t>
        </is>
      </c>
      <c r="D20" s="25" t="inlineStr">
        <is>
          <t>Medium</t>
        </is>
      </c>
      <c r="E20" s="20" t="inlineStr">
        <is>
          <t>Growth Inflection</t>
        </is>
      </c>
      <c r="F20" s="35" t="n">
        <v>72.90000000000001</v>
      </c>
      <c r="G20" s="48" t="inlineStr">
        <is>
          <t>Strengths: strong revenue growth, healthy margins, high insider alignment, minimal dilution. Risks: negative momentum.</t>
        </is>
      </c>
      <c r="H20" s="64" t="inlineStr">
        <is>
          <t>✓ strong revenue growth
✓ healthy margins
✓ high insider alignment
✓ minimal dilution</t>
        </is>
      </c>
      <c r="I20" s="65" t="inlineStr">
        <is>
          <t>⚠ negative momentum</t>
        </is>
      </c>
    </row>
    <row r="21" ht="40" customHeight="1">
      <c r="A21" s="26" t="inlineStr">
        <is>
          <t>RUN</t>
        </is>
      </c>
      <c r="B21" s="27" t="inlineStr">
        <is>
          <t>Sunrun Inc.</t>
        </is>
      </c>
      <c r="C21" s="49" t="inlineStr">
        <is>
          <t>Breakout</t>
        </is>
      </c>
      <c r="D21" s="25" t="inlineStr">
        <is>
          <t>Medium</t>
        </is>
      </c>
      <c r="E21" s="27" t="inlineStr">
        <is>
          <t>Growth Inflection</t>
        </is>
      </c>
      <c r="F21" s="41" t="n">
        <v>72.8</v>
      </c>
      <c r="G21" s="50" t="inlineStr">
        <is>
          <t>Strengths: strong revenue growth, healthy margins. Risks: low insider ownership, negative momentum.</t>
        </is>
      </c>
      <c r="H21" s="64" t="inlineStr">
        <is>
          <t>✓ strong revenue growth
✓ healthy margins</t>
        </is>
      </c>
      <c r="I21" s="65" t="inlineStr">
        <is>
          <t>⚠ low insider ownership
⚠ negative momentum</t>
        </is>
      </c>
    </row>
    <row r="22" ht="40" customHeight="1">
      <c r="A22" s="19" t="inlineStr">
        <is>
          <t>ROC</t>
        </is>
      </c>
      <c r="B22" s="20" t="inlineStr">
        <is>
          <t>Rank One Computing Corp.</t>
        </is>
      </c>
      <c r="C22" s="47" t="inlineStr">
        <is>
          <t>Nano Cap</t>
        </is>
      </c>
      <c r="D22" s="25" t="inlineStr">
        <is>
          <t>Medium</t>
        </is>
      </c>
      <c r="E22" s="20" t="inlineStr">
        <is>
          <t>High-Growth Quality</t>
        </is>
      </c>
      <c r="F22" s="35" t="n">
        <v>72.7</v>
      </c>
      <c r="G22" s="48" t="inlineStr">
        <is>
          <t>Strengths: strong revenue growth, high-margin business, high insider alignment, minimal dilution. Risks: none significant.</t>
        </is>
      </c>
      <c r="H22" s="64" t="inlineStr">
        <is>
          <t>✓ strong revenue growth
✓ high-margin business
✓ high insider alignment
✓ minimal dilution</t>
        </is>
      </c>
      <c r="I22" s="65" t="inlineStr">
        <is>
          <t>—</t>
        </is>
      </c>
    </row>
    <row r="23" ht="40" customHeight="1">
      <c r="A23" s="26" t="inlineStr">
        <is>
          <t>CDRE</t>
        </is>
      </c>
      <c r="B23" s="27" t="inlineStr">
        <is>
          <t>Cadre Holdings, Inc.</t>
        </is>
      </c>
      <c r="C23" s="49" t="inlineStr">
        <is>
          <t>Small Cap</t>
        </is>
      </c>
      <c r="D23" s="25" t="inlineStr">
        <is>
          <t>Medium</t>
        </is>
      </c>
      <c r="E23" s="27" t="inlineStr">
        <is>
          <t>Growth Inflection</t>
        </is>
      </c>
      <c r="F23" s="41" t="n">
        <v>72.2</v>
      </c>
      <c r="G23" s="50" t="inlineStr">
        <is>
          <t>Strengths: solid revenue growth, healthy margins, high insider alignment. Risks: none significant.</t>
        </is>
      </c>
      <c r="H23" s="64" t="inlineStr">
        <is>
          <t>✓ solid revenue growth
✓ healthy margins
✓ high insider alignment</t>
        </is>
      </c>
      <c r="I23" s="65" t="inlineStr">
        <is>
          <t>—</t>
        </is>
      </c>
    </row>
    <row r="24" ht="40" customHeight="1">
      <c r="A24" s="19" t="inlineStr">
        <is>
          <t>ELMT</t>
        </is>
      </c>
      <c r="B24" s="20" t="inlineStr">
        <is>
          <t>Elmet Group Co.</t>
        </is>
      </c>
      <c r="C24" s="47" t="inlineStr">
        <is>
          <t>Small Cap</t>
        </is>
      </c>
      <c r="D24" s="25" t="inlineStr">
        <is>
          <t>Medium</t>
        </is>
      </c>
      <c r="E24" s="20" t="inlineStr">
        <is>
          <t>Insider Conviction</t>
        </is>
      </c>
      <c r="F24" s="35" t="n">
        <v>72.09999999999999</v>
      </c>
      <c r="G24" s="48" t="inlineStr">
        <is>
          <t>Strengths: strong revenue growth, high insider alignment, minimal dilution. Risks: thin margins.</t>
        </is>
      </c>
      <c r="H24" s="64" t="inlineStr">
        <is>
          <t>✓ strong revenue growth
✓ high insider alignment
✓ minimal dilution</t>
        </is>
      </c>
      <c r="I24" s="65" t="inlineStr">
        <is>
          <t>⚠ thin margins</t>
        </is>
      </c>
    </row>
    <row r="25" ht="40" customHeight="1">
      <c r="A25" s="26" t="inlineStr">
        <is>
          <t>ESI</t>
        </is>
      </c>
      <c r="B25" s="27" t="inlineStr">
        <is>
          <t>Element Solutions Inc</t>
        </is>
      </c>
      <c r="C25" s="49" t="inlineStr">
        <is>
          <t>Breakout</t>
        </is>
      </c>
      <c r="D25" s="25" t="inlineStr">
        <is>
          <t>Medium</t>
        </is>
      </c>
      <c r="E25" s="27" t="inlineStr">
        <is>
          <t>Growth Inflection</t>
        </is>
      </c>
      <c r="F25" s="41" t="n">
        <v>71.90000000000001</v>
      </c>
      <c r="G25" s="50" t="inlineStr">
        <is>
          <t>Strengths: strong revenue growth, minimal dilution. Risks: none significant.</t>
        </is>
      </c>
      <c r="H25" s="64" t="inlineStr">
        <is>
          <t>✓ strong revenue growth
✓ minimal dilution</t>
        </is>
      </c>
      <c r="I25" s="65" t="inlineStr">
        <is>
          <t>—</t>
        </is>
      </c>
    </row>
    <row r="26" ht="40" customHeight="1">
      <c r="A26" s="19" t="inlineStr">
        <is>
          <t>SWBI</t>
        </is>
      </c>
      <c r="B26" s="20" t="inlineStr">
        <is>
          <t>Smith &amp; Wesson Brands, Inc.</t>
        </is>
      </c>
      <c r="C26" s="47" t="inlineStr">
        <is>
          <t>Small Cap</t>
        </is>
      </c>
      <c r="D26" s="25" t="inlineStr">
        <is>
          <t>Medium</t>
        </is>
      </c>
      <c r="E26" s="20" t="inlineStr">
        <is>
          <t>Fingerprint Match</t>
        </is>
      </c>
      <c r="F26" s="35" t="n">
        <v>71.40000000000001</v>
      </c>
      <c r="G26" s="48" t="inlineStr">
        <is>
          <t>Strengths: solid revenue growth, minimal dilution, strong fingerprint match. Risks: thin margins, low insider ownership.</t>
        </is>
      </c>
      <c r="H26" s="64" t="inlineStr">
        <is>
          <t>✓ solid revenue growth
✓ minimal dilution
✓ strong fingerprint match</t>
        </is>
      </c>
      <c r="I26" s="65" t="inlineStr">
        <is>
          <t>⚠ thin margins
⚠ low insider ownership</t>
        </is>
      </c>
    </row>
    <row r="27" ht="40" customHeight="1">
      <c r="A27" s="26" t="inlineStr">
        <is>
          <t>BETA</t>
        </is>
      </c>
      <c r="B27" s="27" t="inlineStr">
        <is>
          <t>BETA Technologies, Inc.</t>
        </is>
      </c>
      <c r="C27" s="49" t="inlineStr">
        <is>
          <t>Breakout</t>
        </is>
      </c>
      <c r="D27" s="25" t="inlineStr">
        <is>
          <t>Medium</t>
        </is>
      </c>
      <c r="E27" s="27" t="inlineStr">
        <is>
          <t>High-Growth Quality</t>
        </is>
      </c>
      <c r="F27" s="41" t="n">
        <v>71.3</v>
      </c>
      <c r="G27" s="50" t="inlineStr">
        <is>
          <t>Strengths: strong revenue growth, high-margin business, high insider alignment, minimal dilution. Risks: none significant.</t>
        </is>
      </c>
      <c r="H27" s="64" t="inlineStr">
        <is>
          <t>✓ strong revenue growth
✓ high-margin business
✓ high insider alignment
✓ minimal dilution</t>
        </is>
      </c>
      <c r="I27" s="65" t="inlineStr">
        <is>
          <t>—</t>
        </is>
      </c>
    </row>
    <row r="28" ht="40" customHeight="1">
      <c r="A28" s="19" t="inlineStr">
        <is>
          <t>LASR</t>
        </is>
      </c>
      <c r="B28" s="20" t="inlineStr">
        <is>
          <t>nLIGHT, Inc.</t>
        </is>
      </c>
      <c r="C28" s="47" t="inlineStr">
        <is>
          <t>Breakout</t>
        </is>
      </c>
      <c r="D28" s="25" t="inlineStr">
        <is>
          <t>Medium</t>
        </is>
      </c>
      <c r="E28" s="20" t="inlineStr">
        <is>
          <t>Growth Inflection</t>
        </is>
      </c>
      <c r="F28" s="35" t="n">
        <v>70.7</v>
      </c>
      <c r="G28" s="48" t="inlineStr">
        <is>
          <t>Strengths: solid revenue growth. Risks: significant dilution, negative momentum.</t>
        </is>
      </c>
      <c r="H28" s="64" t="inlineStr">
        <is>
          <t>✓ solid revenue growth</t>
        </is>
      </c>
      <c r="I28" s="65" t="inlineStr">
        <is>
          <t>⚠ significant dilution
⚠ negative momentum</t>
        </is>
      </c>
    </row>
    <row r="29" ht="40" customHeight="1">
      <c r="A29" s="26" t="inlineStr">
        <is>
          <t>LTRX</t>
        </is>
      </c>
      <c r="B29" s="27" t="inlineStr">
        <is>
          <t>Lantronix, Inc.</t>
        </is>
      </c>
      <c r="C29" s="49" t="inlineStr">
        <is>
          <t>Nano Cap</t>
        </is>
      </c>
      <c r="D29" s="25" t="inlineStr">
        <is>
          <t>Medium</t>
        </is>
      </c>
      <c r="E29" s="27" t="inlineStr">
        <is>
          <t>Emerging Watch</t>
        </is>
      </c>
      <c r="F29" s="41" t="n">
        <v>70.59999999999999</v>
      </c>
      <c r="G29" s="50" t="inlineStr">
        <is>
          <t>Strengths: healthy margins, high insider alignment. Risks: modest growth.</t>
        </is>
      </c>
      <c r="H29" s="64" t="inlineStr">
        <is>
          <t>✓ healthy margins
✓ high insider alignment</t>
        </is>
      </c>
      <c r="I29" s="65" t="inlineStr">
        <is>
          <t>⚠ modest growth</t>
        </is>
      </c>
    </row>
    <row r="30" ht="40" customHeight="1">
      <c r="A30" s="19" t="inlineStr">
        <is>
          <t>AVEX</t>
        </is>
      </c>
      <c r="B30" s="20" t="inlineStr">
        <is>
          <t>Aevex Corp.</t>
        </is>
      </c>
      <c r="C30" s="47" t="inlineStr">
        <is>
          <t>Small Cap</t>
        </is>
      </c>
      <c r="D30" s="25" t="inlineStr">
        <is>
          <t>Medium</t>
        </is>
      </c>
      <c r="E30" s="20" t="inlineStr">
        <is>
          <t>Growth Inflection</t>
        </is>
      </c>
      <c r="F30" s="35" t="n">
        <v>70.59999999999999</v>
      </c>
      <c r="G30" s="48" t="inlineStr">
        <is>
          <t>Strengths: strong revenue growth, high insider alignment. Risks: thin margins.</t>
        </is>
      </c>
      <c r="H30" s="64" t="inlineStr">
        <is>
          <t>✓ strong revenue growth
✓ high insider alignment</t>
        </is>
      </c>
      <c r="I30" s="65" t="inlineStr">
        <is>
          <t>⚠ thin margins</t>
        </is>
      </c>
    </row>
    <row r="31" ht="40" customHeight="1">
      <c r="A31" s="26" t="inlineStr">
        <is>
          <t>QUIK</t>
        </is>
      </c>
      <c r="B31" s="27" t="inlineStr">
        <is>
          <t>QuickLogic Corporation</t>
        </is>
      </c>
      <c r="C31" s="49" t="inlineStr">
        <is>
          <t>Nano Cap</t>
        </is>
      </c>
      <c r="D31" s="25" t="inlineStr">
        <is>
          <t>Medium</t>
        </is>
      </c>
      <c r="E31" s="27" t="inlineStr">
        <is>
          <t>High-Growth Quality</t>
        </is>
      </c>
      <c r="F31" s="41" t="n">
        <v>70.2</v>
      </c>
      <c r="G31" s="50" t="inlineStr">
        <is>
          <t>Strengths: strong revenue growth, healthy margins. Risks: significant dilution, negative momentum.</t>
        </is>
      </c>
      <c r="H31" s="64" t="inlineStr">
        <is>
          <t>✓ strong revenue growth
✓ healthy margins</t>
        </is>
      </c>
      <c r="I31" s="65" t="inlineStr">
        <is>
          <t>⚠ significant dilution
⚠ negative momentum</t>
        </is>
      </c>
    </row>
    <row r="32" ht="40" customHeight="1">
      <c r="A32" s="19" t="inlineStr">
        <is>
          <t>MCHP</t>
        </is>
      </c>
      <c r="B32" s="20" t="inlineStr">
        <is>
          <t>Microchip Technology Incorporated</t>
        </is>
      </c>
      <c r="C32" s="47" t="inlineStr">
        <is>
          <t>Vital Link</t>
        </is>
      </c>
      <c r="D32" s="25" t="inlineStr">
        <is>
          <t>Medium</t>
        </is>
      </c>
      <c r="E32" s="20" t="inlineStr">
        <is>
          <t>Growth Inflection</t>
        </is>
      </c>
      <c r="F32" s="35" t="n">
        <v>70</v>
      </c>
      <c r="G32" s="48" t="inlineStr">
        <is>
          <t>Strengths: solid revenue growth, high-margin business, minimal dilution. Risks: low insider ownership.</t>
        </is>
      </c>
      <c r="H32" s="64" t="inlineStr">
        <is>
          <t>✓ solid revenue growth
✓ high-margin business
✓ minimal dilution</t>
        </is>
      </c>
      <c r="I32" s="65" t="inlineStr">
        <is>
          <t>⚠ low insider ownership</t>
        </is>
      </c>
    </row>
    <row r="33" ht="40" customHeight="1">
      <c r="A33" s="26" t="inlineStr">
        <is>
          <t>PKE</t>
        </is>
      </c>
      <c r="B33" s="27" t="inlineStr">
        <is>
          <t>Park Aerospace Corp.</t>
        </is>
      </c>
      <c r="C33" s="49" t="inlineStr">
        <is>
          <t>Small Cap</t>
        </is>
      </c>
      <c r="D33" s="25" t="inlineStr">
        <is>
          <t>Medium</t>
        </is>
      </c>
      <c r="E33" s="27" t="inlineStr">
        <is>
          <t>Emerging Watch</t>
        </is>
      </c>
      <c r="F33" s="41" t="n">
        <v>69.90000000000001</v>
      </c>
      <c r="G33" s="50" t="inlineStr">
        <is>
          <t>Strengths: minimal dilution, strong fingerprint match. Risks: none significant.</t>
        </is>
      </c>
      <c r="H33" s="64" t="inlineStr">
        <is>
          <t>✓ minimal dilution
✓ strong fingerprint match</t>
        </is>
      </c>
      <c r="I33" s="65" t="inlineStr">
        <is>
          <t>—</t>
        </is>
      </c>
    </row>
    <row r="34" ht="40" customHeight="1">
      <c r="A34" s="19" t="inlineStr">
        <is>
          <t>HEI</t>
        </is>
      </c>
      <c r="B34" s="20" t="inlineStr">
        <is>
          <t>HEICO Corporation</t>
        </is>
      </c>
      <c r="C34" s="47" t="inlineStr">
        <is>
          <t>Vital Link</t>
        </is>
      </c>
      <c r="D34" s="25" t="inlineStr">
        <is>
          <t>Medium</t>
        </is>
      </c>
      <c r="E34" s="20" t="inlineStr">
        <is>
          <t>Emerging Watch</t>
        </is>
      </c>
      <c r="F34" s="35" t="n">
        <v>69.90000000000001</v>
      </c>
      <c r="G34" s="48" t="inlineStr">
        <is>
          <t>Strengths: solid revenue growth, healthy margins, minimal dilution. Risks: none significant.</t>
        </is>
      </c>
      <c r="H34" s="64" t="inlineStr">
        <is>
          <t>✓ solid revenue growth
✓ healthy margins
✓ minimal dilution</t>
        </is>
      </c>
      <c r="I34" s="65" t="inlineStr">
        <is>
          <t>—</t>
        </is>
      </c>
    </row>
    <row r="35" ht="40" customHeight="1">
      <c r="A35" s="26" t="inlineStr">
        <is>
          <t>CALX</t>
        </is>
      </c>
      <c r="B35" s="27" t="inlineStr">
        <is>
          <t>Calix, Inc.</t>
        </is>
      </c>
      <c r="C35" s="49" t="inlineStr">
        <is>
          <t>Breakout</t>
        </is>
      </c>
      <c r="D35" s="25" t="inlineStr">
        <is>
          <t>Medium</t>
        </is>
      </c>
      <c r="E35" s="27" t="inlineStr">
        <is>
          <t>Fingerprint Match</t>
        </is>
      </c>
      <c r="F35" s="41" t="n">
        <v>69.8</v>
      </c>
      <c r="G35" s="50" t="inlineStr">
        <is>
          <t>Strengths: solid revenue growth, high-margin business, minimal dilution, strong fingerprint match. Risks: none significant.</t>
        </is>
      </c>
      <c r="H35" s="64" t="inlineStr">
        <is>
          <t>✓ solid revenue growth
✓ high-margin business
✓ minimal dilution
✓ strong fingerprint match</t>
        </is>
      </c>
      <c r="I35" s="65" t="inlineStr">
        <is>
          <t>—</t>
        </is>
      </c>
    </row>
    <row r="36" ht="40" customHeight="1">
      <c r="A36" s="19" t="inlineStr">
        <is>
          <t>IPGP</t>
        </is>
      </c>
      <c r="B36" s="20" t="inlineStr">
        <is>
          <t>IPG Photonics Corporation</t>
        </is>
      </c>
      <c r="C36" s="47" t="inlineStr">
        <is>
          <t>Breakout</t>
        </is>
      </c>
      <c r="D36" s="25" t="inlineStr">
        <is>
          <t>Medium</t>
        </is>
      </c>
      <c r="E36" s="20" t="inlineStr">
        <is>
          <t>Insider Conviction</t>
        </is>
      </c>
      <c r="F36" s="35" t="n">
        <v>68.7</v>
      </c>
      <c r="G36" s="48" t="inlineStr">
        <is>
          <t>Strengths: healthy margins, high insider alignment, minimal dilution. Risks: modest growth.</t>
        </is>
      </c>
      <c r="H36" s="64" t="inlineStr">
        <is>
          <t>✓ healthy margins
✓ high insider alignment
✓ minimal dilution</t>
        </is>
      </c>
      <c r="I36" s="65" t="inlineStr">
        <is>
          <t>⚠ modest growth</t>
        </is>
      </c>
    </row>
    <row r="37" ht="40" customHeight="1">
      <c r="A37" s="26" t="inlineStr">
        <is>
          <t>KD</t>
        </is>
      </c>
      <c r="B37" s="27" t="inlineStr">
        <is>
          <t>Kyndryl Holdings, Inc.</t>
        </is>
      </c>
      <c r="C37" s="49" t="inlineStr">
        <is>
          <t>Breakout</t>
        </is>
      </c>
      <c r="D37" s="25" t="inlineStr">
        <is>
          <t>Medium</t>
        </is>
      </c>
      <c r="E37" s="27" t="inlineStr">
        <is>
          <t>Growth Inflection</t>
        </is>
      </c>
      <c r="F37" s="41" t="n">
        <v>68.59999999999999</v>
      </c>
      <c r="G37" s="50" t="inlineStr">
        <is>
          <t>Strengths: strong revenue growth, minimal dilution. Risks: thin margins.</t>
        </is>
      </c>
      <c r="H37" s="64" t="inlineStr">
        <is>
          <t>✓ strong revenue growth
✓ minimal dilution</t>
        </is>
      </c>
      <c r="I37" s="65" t="inlineStr">
        <is>
          <t>⚠ thin margins</t>
        </is>
      </c>
    </row>
    <row r="38" ht="40" customHeight="1">
      <c r="A38" s="19" t="inlineStr">
        <is>
          <t>UI</t>
        </is>
      </c>
      <c r="B38" s="20" t="inlineStr">
        <is>
          <t>Ubiquiti Inc.</t>
        </is>
      </c>
      <c r="C38" s="47" t="inlineStr">
        <is>
          <t>Vital Link</t>
        </is>
      </c>
      <c r="D38" s="25" t="inlineStr">
        <is>
          <t>Medium</t>
        </is>
      </c>
      <c r="E38" s="20" t="inlineStr">
        <is>
          <t>Insider Conviction</t>
        </is>
      </c>
      <c r="F38" s="35" t="n">
        <v>68.59999999999999</v>
      </c>
      <c r="G38" s="48" t="inlineStr">
        <is>
          <t>Strengths: solid revenue growth, healthy margins, high insider alignment, minimal dilution. Risks: none significant.</t>
        </is>
      </c>
      <c r="H38" s="64" t="inlineStr">
        <is>
          <t>✓ solid revenue growth
✓ healthy margins
✓ high insider alignment
✓ minimal dilution</t>
        </is>
      </c>
      <c r="I38" s="65" t="inlineStr">
        <is>
          <t>—</t>
        </is>
      </c>
    </row>
    <row r="39" ht="40" customHeight="1">
      <c r="A39" s="26" t="inlineStr">
        <is>
          <t>EVLV</t>
        </is>
      </c>
      <c r="B39" s="27" t="inlineStr">
        <is>
          <t>Evolv Technologies Holdings, Inc.</t>
        </is>
      </c>
      <c r="C39" s="49" t="inlineStr">
        <is>
          <t>Small Cap</t>
        </is>
      </c>
      <c r="D39" s="25" t="inlineStr">
        <is>
          <t>Medium</t>
        </is>
      </c>
      <c r="E39" s="27" t="inlineStr">
        <is>
          <t>Growth Inflection</t>
        </is>
      </c>
      <c r="F39" s="41" t="n">
        <v>68.40000000000001</v>
      </c>
      <c r="G39" s="50" t="inlineStr">
        <is>
          <t>Strengths: solid revenue growth, high-margin business. Risks: significant dilution.</t>
        </is>
      </c>
      <c r="H39" s="64" t="inlineStr">
        <is>
          <t>✓ solid revenue growth
✓ high-margin business</t>
        </is>
      </c>
      <c r="I39" s="65" t="inlineStr">
        <is>
          <t>⚠ significant dilution</t>
        </is>
      </c>
    </row>
    <row r="40" ht="40" customHeight="1">
      <c r="A40" s="19" t="inlineStr">
        <is>
          <t>RBC</t>
        </is>
      </c>
      <c r="B40" s="20" t="inlineStr">
        <is>
          <t>RBC Bearings Incorporated</t>
        </is>
      </c>
      <c r="C40" s="47" t="inlineStr">
        <is>
          <t>Vital Link</t>
        </is>
      </c>
      <c r="D40" s="25" t="inlineStr">
        <is>
          <t>Medium</t>
        </is>
      </c>
      <c r="E40" s="20" t="inlineStr">
        <is>
          <t>Emerging Watch</t>
        </is>
      </c>
      <c r="F40" s="35" t="n">
        <v>66.90000000000001</v>
      </c>
      <c r="G40" s="48" t="inlineStr">
        <is>
          <t>Strengths: healthy margins. Risks: none significant.</t>
        </is>
      </c>
      <c r="H40" s="64" t="inlineStr">
        <is>
          <t>✓ healthy margins</t>
        </is>
      </c>
      <c r="I40" s="65" t="inlineStr">
        <is>
          <t>—</t>
        </is>
      </c>
    </row>
    <row r="41" ht="40" customHeight="1">
      <c r="A41" s="26" t="inlineStr">
        <is>
          <t>HWM</t>
        </is>
      </c>
      <c r="B41" s="27" t="inlineStr">
        <is>
          <t>Howmet Aerospace Inc.</t>
        </is>
      </c>
      <c r="C41" s="49" t="inlineStr">
        <is>
          <t>Vital Link</t>
        </is>
      </c>
      <c r="D41" s="45" t="inlineStr">
        <is>
          <t>Speculative</t>
        </is>
      </c>
      <c r="E41" s="27" t="inlineStr">
        <is>
          <t>Emerging Watch</t>
        </is>
      </c>
      <c r="F41" s="41" t="n">
        <v>64.2</v>
      </c>
      <c r="G41" s="50" t="inlineStr">
        <is>
          <t>Strengths: solid revenue growth, healthy margins, minimal dilution. Risks: low insider ownership.</t>
        </is>
      </c>
      <c r="H41" s="64" t="inlineStr">
        <is>
          <t>✓ solid revenue growth
✓ healthy margins
✓ minimal dilution</t>
        </is>
      </c>
      <c r="I41" s="65" t="inlineStr">
        <is>
          <t>⚠ low insider ownership</t>
        </is>
      </c>
    </row>
    <row r="42" ht="40" customHeight="1">
      <c r="A42" s="19" t="inlineStr">
        <is>
          <t>AXON</t>
        </is>
      </c>
      <c r="B42" s="20" t="inlineStr">
        <is>
          <t>Axon Enterprise, Inc.</t>
        </is>
      </c>
      <c r="C42" s="47" t="inlineStr">
        <is>
          <t>Vital Link</t>
        </is>
      </c>
      <c r="D42" s="45" t="inlineStr">
        <is>
          <t>Speculative</t>
        </is>
      </c>
      <c r="E42" s="20" t="inlineStr">
        <is>
          <t>Growth Inflection</t>
        </is>
      </c>
      <c r="F42" s="35" t="n">
        <v>63.8</v>
      </c>
      <c r="G42" s="48" t="inlineStr">
        <is>
          <t>Strengths: solid revenue growth, high-margin business. Risks: none significant.</t>
        </is>
      </c>
      <c r="H42" s="64" t="inlineStr">
        <is>
          <t>✓ solid revenue growth
✓ high-margin business</t>
        </is>
      </c>
      <c r="I42" s="65" t="inlineStr">
        <is>
          <t>—</t>
        </is>
      </c>
    </row>
    <row r="43" ht="40" customHeight="1">
      <c r="A43" s="26" t="inlineStr">
        <is>
          <t>TDG</t>
        </is>
      </c>
      <c r="B43" s="27" t="inlineStr">
        <is>
          <t>TransDigm Group Incorporated</t>
        </is>
      </c>
      <c r="C43" s="49" t="inlineStr">
        <is>
          <t>Vital Link</t>
        </is>
      </c>
      <c r="D43" s="45" t="inlineStr">
        <is>
          <t>Speculative</t>
        </is>
      </c>
      <c r="E43" s="27" t="inlineStr">
        <is>
          <t>Emerging Watch</t>
        </is>
      </c>
      <c r="F43" s="41" t="n">
        <v>63.6</v>
      </c>
      <c r="G43" s="50" t="inlineStr">
        <is>
          <t>Strengths: solid revenue growth, high-margin business, minimal dilution. Risks: low insider ownership.</t>
        </is>
      </c>
      <c r="H43" s="64" t="inlineStr">
        <is>
          <t>✓ solid revenue growth
✓ high-margin business
✓ minimal dilution</t>
        </is>
      </c>
      <c r="I43" s="65" t="inlineStr">
        <is>
          <t>⚠ low insider ownership</t>
        </is>
      </c>
    </row>
    <row r="44" ht="40" customHeight="1">
      <c r="A44" s="19" t="inlineStr">
        <is>
          <t>FTAI</t>
        </is>
      </c>
      <c r="B44" s="20" t="inlineStr">
        <is>
          <t>FTAI Aviation Ltd.</t>
        </is>
      </c>
      <c r="C44" s="47" t="inlineStr">
        <is>
          <t>Vital Link</t>
        </is>
      </c>
      <c r="D44" s="45" t="inlineStr">
        <is>
          <t>Speculative</t>
        </is>
      </c>
      <c r="E44" s="20" t="inlineStr">
        <is>
          <t>Growth Inflection</t>
        </is>
      </c>
      <c r="F44" s="35" t="n">
        <v>63.6</v>
      </c>
      <c r="G44" s="48" t="inlineStr">
        <is>
          <t>Strengths: strong revenue growth, minimal dilution. Risks: low insider ownership.</t>
        </is>
      </c>
      <c r="H44" s="64" t="inlineStr">
        <is>
          <t>✓ strong revenue growth
✓ minimal dilution</t>
        </is>
      </c>
      <c r="I44" s="65" t="inlineStr">
        <is>
          <t>⚠ low insider ownership</t>
        </is>
      </c>
    </row>
    <row r="45" ht="40" customHeight="1">
      <c r="A45" s="26" t="inlineStr">
        <is>
          <t>TDY</t>
        </is>
      </c>
      <c r="B45" s="27" t="inlineStr">
        <is>
          <t>Teledyne Technologies Incorporated</t>
        </is>
      </c>
      <c r="C45" s="49" t="inlineStr">
        <is>
          <t>Vital Link</t>
        </is>
      </c>
      <c r="D45" s="45" t="inlineStr">
        <is>
          <t>Speculative</t>
        </is>
      </c>
      <c r="E45" s="27" t="inlineStr">
        <is>
          <t>Emerging Watch</t>
        </is>
      </c>
      <c r="F45" s="41" t="n">
        <v>63.2</v>
      </c>
      <c r="G45" s="50" t="inlineStr">
        <is>
          <t>Strengths: healthy margins, minimal dilution. Risks: low insider ownership, modest growth.</t>
        </is>
      </c>
      <c r="H45" s="64" t="inlineStr">
        <is>
          <t>✓ healthy margins
✓ minimal dilution</t>
        </is>
      </c>
      <c r="I45" s="65" t="inlineStr">
        <is>
          <t>⚠ low insider ownership
⚠ modest growth</t>
        </is>
      </c>
    </row>
    <row r="48" ht="22" customHeight="1">
      <c r="A48" s="16" t="inlineStr">
        <is>
          <t>CONVICTION DISTRIBUTION BY TIER</t>
        </is>
      </c>
      <c r="B48" s="17" t="n"/>
      <c r="C48" s="17" t="n"/>
      <c r="D48" s="17" t="n"/>
      <c r="E48" s="17" t="n"/>
      <c r="F48" s="17" t="n"/>
      <c r="G48" s="17" t="n"/>
      <c r="H48" s="17" t="n"/>
      <c r="I48" s="17" t="n"/>
    </row>
    <row r="49">
      <c r="A49" t="inlineStr">
        <is>
          <t>Tier</t>
        </is>
      </c>
      <c r="B49" t="inlineStr">
        <is>
          <t>High</t>
        </is>
      </c>
      <c r="C49" t="inlineStr">
        <is>
          <t>Medium-High</t>
        </is>
      </c>
      <c r="D49" t="inlineStr">
        <is>
          <t>Medium</t>
        </is>
      </c>
      <c r="E49" t="inlineStr">
        <is>
          <t>Speculative</t>
        </is>
      </c>
    </row>
    <row r="50">
      <c r="A50" t="inlineStr">
        <is>
          <t>Nano Cap</t>
        </is>
      </c>
      <c r="B50" t="n">
        <v>0</v>
      </c>
      <c r="C50" t="n">
        <v>3</v>
      </c>
      <c r="D50" t="n">
        <v>7</v>
      </c>
      <c r="E50" t="n">
        <v>0</v>
      </c>
    </row>
    <row r="51">
      <c r="A51" t="inlineStr">
        <is>
          <t>Small Cap</t>
        </is>
      </c>
      <c r="B51" t="n">
        <v>0</v>
      </c>
      <c r="C51" t="n">
        <v>2</v>
      </c>
      <c r="D51" t="n">
        <v>8</v>
      </c>
      <c r="E51" t="n">
        <v>0</v>
      </c>
    </row>
    <row r="52">
      <c r="A52" t="inlineStr">
        <is>
          <t>Breakout</t>
        </is>
      </c>
      <c r="B52" t="n">
        <v>0</v>
      </c>
      <c r="C52" t="n">
        <v>2</v>
      </c>
      <c r="D52" t="n">
        <v>8</v>
      </c>
      <c r="E52" t="n">
        <v>0</v>
      </c>
    </row>
    <row r="53">
      <c r="A53" t="inlineStr">
        <is>
          <t>Vital Link</t>
        </is>
      </c>
      <c r="B53" t="n">
        <v>0</v>
      </c>
      <c r="C53" t="n">
        <v>0</v>
      </c>
      <c r="D53" t="n">
        <v>5</v>
      </c>
      <c r="E53" t="n">
        <v>5</v>
      </c>
    </row>
  </sheetData>
  <mergeCells count="3">
    <mergeCell ref="A1:I1"/>
    <mergeCell ref="A48:I48"/>
    <mergeCell ref="A2:I2"/>
  </mergeCells>
  <dataValidations count="3">
    <dataValidation sqref="B4" showDropDown="0" showInputMessage="0" showErrorMessage="0" allowBlank="1" errorTitle="Invalid Selection" error="Please select a valid conviction level" type="list">
      <formula1>"All,High,Medium-High,Medium,Speculative"</formula1>
    </dataValidation>
    <dataValidation sqref="C4" showDropDown="0" showInputMessage="0" showErrorMessage="0" allowBlank="1" type="list">
      <formula1>"All,Nano,Small,Breakout,Vital Link"</formula1>
    </dataValidation>
    <dataValidation sqref="D4" showDropDown="0" showInputMessage="0" showErrorMessage="0" allowBlank="1" type="list">
      <formula1>"All,High-Growth Quality,Fingerprint Match,Insider Conviction,Momentum Breakout,Growth Inflection,Emerging Watch"</formula1>
    </dataValidation>
  </dataValidations>
  <pageMargins left="0.75" right="0.75" top="1" bottom="1" header="0.5" footer="0.5"/>
  <pageSetup orientation="landscape" fitToWidth="1"/>
  <drawing xmlns:r="http://schemas.openxmlformats.org/officeDocument/2006/relationships" r:id="rId1"/>
</worksheet>
</file>

<file path=xl/worksheets/sheet10.xml><?xml version="1.0" encoding="utf-8"?>
<worksheet xmlns="http://schemas.openxmlformats.org/spreadsheetml/2006/main">
  <sheetPr>
    <tabColor rgb="001A6B3C"/>
    <outlinePr summaryBelow="1" summaryRight="1"/>
    <pageSetUpPr fitToPage="1"/>
  </sheetPr>
  <dimension ref="A1:N7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4" customWidth="1" min="3" max="3"/>
    <col width="12" customWidth="1" min="4" max="4"/>
    <col width="14" customWidth="1" min="5" max="5"/>
    <col width="14" customWidth="1" min="6" max="6"/>
    <col width="14" customWidth="1" min="7" max="7"/>
    <col width="14" customWidth="1" min="8" max="8"/>
    <col width="14" customWidth="1" min="9" max="9"/>
    <col width="14" customWidth="1" min="10" max="10"/>
    <col width="3" customWidth="1" min="11" max="11"/>
    <col width="14" customWidth="1" min="12" max="12"/>
    <col width="14" customWidth="1" min="13" max="13"/>
    <col width="14" customWidth="1" min="14" max="14"/>
  </cols>
  <sheetData>
    <row r="1" ht="28" customHeight="1">
      <c r="A1" s="30" t="inlineStr">
        <is>
          <t>MODEL PORTFOLIO CONSTRUCTION &amp; RISK METRICS</t>
        </is>
      </c>
      <c r="B1" s="11" t="n"/>
      <c r="C1" s="11" t="n"/>
      <c r="D1" s="11" t="n"/>
      <c r="E1" s="11" t="n"/>
      <c r="F1" s="11" t="n"/>
      <c r="G1" s="11" t="n"/>
      <c r="H1" s="11" t="n"/>
      <c r="I1" s="11" t="n"/>
      <c r="J1" s="11" t="n"/>
      <c r="K1" s="11" t="n"/>
      <c r="L1" s="11" t="n"/>
      <c r="M1" s="11" t="n"/>
      <c r="N1" s="11" t="n"/>
    </row>
    <row r="2" ht="22" customHeight="1">
      <c r="A2" s="31" t="inlineStr">
        <is>
          <t>Position sizing, risk categorization, and portfolio analytics  |  September 08, 2026</t>
        </is>
      </c>
      <c r="B2" s="12" t="n"/>
      <c r="C2" s="12" t="n"/>
      <c r="D2" s="12" t="n"/>
      <c r="E2" s="12" t="n"/>
      <c r="F2" s="12" t="n"/>
      <c r="G2" s="12" t="n"/>
      <c r="H2" s="12" t="n"/>
      <c r="I2" s="12" t="n"/>
      <c r="J2" s="12" t="n"/>
      <c r="K2" s="12" t="n"/>
      <c r="L2" s="12" t="n"/>
      <c r="M2" s="12" t="n"/>
      <c r="N2" s="12" t="n"/>
    </row>
    <row r="4" ht="22" customHeight="1">
      <c r="B4" s="16" t="inlineStr">
        <is>
          <t>PORTFOLIO PARAMETERS</t>
        </is>
      </c>
      <c r="C4" s="17" t="n"/>
      <c r="D4" s="17" t="n"/>
      <c r="E4" s="17" t="n"/>
      <c r="F4" s="17" t="n"/>
      <c r="G4" s="17" t="n"/>
      <c r="H4" s="17" t="n"/>
      <c r="I4" s="17" t="n"/>
      <c r="J4" s="17" t="n"/>
    </row>
    <row r="5" ht="18" customHeight="1">
      <c r="B5" s="66" t="inlineStr">
        <is>
          <t>Portfolio Size ($)</t>
        </is>
      </c>
      <c r="C5" s="67" t="n">
        <v>100000</v>
      </c>
      <c r="D5" s="68" t="inlineStr">
        <is>
          <t>← Input</t>
        </is>
      </c>
    </row>
    <row r="6" ht="18" customHeight="1">
      <c r="B6" s="66" t="inlineStr">
        <is>
          <t>Max Single Position %</t>
        </is>
      </c>
      <c r="C6" s="69" t="n">
        <v>0.08</v>
      </c>
      <c r="D6" s="68" t="inlineStr">
        <is>
          <t>← Input</t>
        </is>
      </c>
    </row>
    <row r="7" ht="18" customHeight="1">
      <c r="B7" s="66" t="inlineStr">
        <is>
          <t>Nano Cap Risk Multiplier</t>
        </is>
      </c>
      <c r="C7" s="70" t="n">
        <v>0.6</v>
      </c>
      <c r="D7" s="68" t="inlineStr">
        <is>
          <t>← Input</t>
        </is>
      </c>
    </row>
    <row r="8" ht="18" customHeight="1">
      <c r="B8" s="66" t="inlineStr">
        <is>
          <t>Breakout Cap Multiplier</t>
        </is>
      </c>
      <c r="C8" s="70" t="n">
        <v>1.2</v>
      </c>
      <c r="D8" s="68" t="inlineStr">
        <is>
          <t>← Input</t>
        </is>
      </c>
    </row>
    <row r="9" ht="18" customHeight="1">
      <c r="B9" s="66" t="inlineStr">
        <is>
          <t>Vital Link Multiplier</t>
        </is>
      </c>
      <c r="C9" s="70" t="n">
        <v>1.4</v>
      </c>
      <c r="D9" s="68" t="inlineStr">
        <is>
          <t>← Input</t>
        </is>
      </c>
    </row>
    <row r="10" ht="18" customHeight="1">
      <c r="B10" s="66" t="inlineStr">
        <is>
          <t>Cash Reserve Target %</t>
        </is>
      </c>
      <c r="C10" s="69" t="n">
        <v>0.1</v>
      </c>
      <c r="D10" s="68" t="inlineStr">
        <is>
          <t>← Input</t>
        </is>
      </c>
    </row>
    <row r="11" ht="8" customHeight="1"/>
    <row r="12" ht="22" customHeight="1">
      <c r="B12" s="16" t="inlineStr">
        <is>
          <t>POSITION SIZING</t>
        </is>
      </c>
      <c r="C12" s="17" t="n"/>
      <c r="D12" s="17" t="n"/>
      <c r="E12" s="17" t="n"/>
      <c r="F12" s="17" t="n"/>
      <c r="G12" s="17" t="n"/>
      <c r="H12" s="17" t="n"/>
      <c r="I12" s="17" t="n"/>
      <c r="J12" s="17" t="n"/>
    </row>
    <row r="13" ht="18" customHeight="1">
      <c r="B13" s="18" t="inlineStr">
        <is>
          <t>Ticker</t>
        </is>
      </c>
      <c r="C13" s="18" t="inlineStr">
        <is>
          <t>Name</t>
        </is>
      </c>
      <c r="D13" s="18" t="inlineStr">
        <is>
          <t>Tier</t>
        </is>
      </c>
      <c r="E13" s="18" t="inlineStr">
        <is>
          <t>Conviction</t>
        </is>
      </c>
      <c r="F13" s="18" t="inlineStr">
        <is>
          <t>Base Wt %</t>
        </is>
      </c>
      <c r="G13" s="18" t="inlineStr">
        <is>
          <t>Risk-Adj Wt %</t>
        </is>
      </c>
      <c r="H13" s="18" t="inlineStr">
        <is>
          <t>Dollar Amt</t>
        </is>
      </c>
      <c r="I13" s="18" t="inlineStr">
        <is>
          <t>Share Ct</t>
        </is>
      </c>
      <c r="J13" s="18" t="inlineStr">
        <is>
          <t>Notes</t>
        </is>
      </c>
    </row>
    <row r="14" ht="16" customHeight="1">
      <c r="B14" s="19" t="inlineStr">
        <is>
          <t>SODI</t>
        </is>
      </c>
      <c r="C14" s="20" t="inlineStr">
        <is>
          <t>Solitron Devices, Inc.</t>
        </is>
      </c>
      <c r="D14" s="47" t="inlineStr">
        <is>
          <t>Nano Cap</t>
        </is>
      </c>
      <c r="E14" s="23" t="inlineStr">
        <is>
          <t>Medium-High</t>
        </is>
      </c>
      <c r="F14" s="34" t="n">
        <v>0.05</v>
      </c>
      <c r="G14" s="71" t="n">
        <v>0.03</v>
      </c>
      <c r="H14" s="72" t="n">
        <v>3000</v>
      </c>
      <c r="I14" s="73" t="n">
        <v>92</v>
      </c>
      <c r="J14" s="74" t="inlineStr">
        <is>
          <t>High risk</t>
        </is>
      </c>
    </row>
    <row r="15" ht="16" customHeight="1">
      <c r="B15" s="26" t="inlineStr">
        <is>
          <t>SCTQ</t>
        </is>
      </c>
      <c r="C15" s="27" t="inlineStr">
        <is>
          <t>Spectra Systems Corporation</t>
        </is>
      </c>
      <c r="D15" s="49" t="inlineStr">
        <is>
          <t>Nano Cap</t>
        </is>
      </c>
      <c r="E15" s="23" t="inlineStr">
        <is>
          <t>Medium-High</t>
        </is>
      </c>
      <c r="F15" s="40" t="n">
        <v>0.05</v>
      </c>
      <c r="G15" s="75" t="n">
        <v>0.03</v>
      </c>
      <c r="H15" s="76" t="n">
        <v>3000</v>
      </c>
      <c r="I15" s="77" t="n">
        <v>1339</v>
      </c>
      <c r="J15" s="78" t="inlineStr">
        <is>
          <t>Medium-High risk</t>
        </is>
      </c>
    </row>
    <row r="16" ht="16" customHeight="1">
      <c r="B16" s="19" t="inlineStr">
        <is>
          <t>KRMN</t>
        </is>
      </c>
      <c r="C16" s="20" t="inlineStr">
        <is>
          <t>Karman Holdings Inc.</t>
        </is>
      </c>
      <c r="D16" s="47" t="inlineStr">
        <is>
          <t>Breakout</t>
        </is>
      </c>
      <c r="E16" s="23" t="inlineStr">
        <is>
          <t>Medium-High</t>
        </is>
      </c>
      <c r="F16" s="34" t="n">
        <v>0.05</v>
      </c>
      <c r="G16" s="71" t="n">
        <v>0.06</v>
      </c>
      <c r="H16" s="72" t="n">
        <v>6000</v>
      </c>
      <c r="I16" s="73" t="n">
        <v>147</v>
      </c>
      <c r="J16" s="74" t="inlineStr">
        <is>
          <t>Medium-Low risk</t>
        </is>
      </c>
    </row>
    <row r="17" ht="16" customHeight="1">
      <c r="B17" s="26" t="inlineStr">
        <is>
          <t>CLFD</t>
        </is>
      </c>
      <c r="C17" s="27" t="inlineStr">
        <is>
          <t>Clearfield, Inc.</t>
        </is>
      </c>
      <c r="D17" s="49" t="inlineStr">
        <is>
          <t>Small Cap</t>
        </is>
      </c>
      <c r="E17" s="23" t="inlineStr">
        <is>
          <t>Medium-High</t>
        </is>
      </c>
      <c r="F17" s="40" t="n">
        <v>0.05</v>
      </c>
      <c r="G17" s="75" t="n">
        <v>0.05</v>
      </c>
      <c r="H17" s="76" t="n">
        <v>5000</v>
      </c>
      <c r="I17" s="77" t="n">
        <v>171</v>
      </c>
      <c r="J17" s="78" t="inlineStr">
        <is>
          <t>Medium-High risk</t>
        </is>
      </c>
    </row>
    <row r="18" ht="16" customHeight="1">
      <c r="B18" s="19" t="inlineStr">
        <is>
          <t>TRC</t>
        </is>
      </c>
      <c r="C18" s="20" t="inlineStr">
        <is>
          <t>Tejon Ranch Co.</t>
        </is>
      </c>
      <c r="D18" s="47" t="inlineStr">
        <is>
          <t>Small Cap</t>
        </is>
      </c>
      <c r="E18" s="23" t="inlineStr">
        <is>
          <t>Medium-High</t>
        </is>
      </c>
      <c r="F18" s="34" t="n">
        <v>0.05</v>
      </c>
      <c r="G18" s="71" t="n">
        <v>0.05</v>
      </c>
      <c r="H18" s="72" t="n">
        <v>5000</v>
      </c>
      <c r="I18" s="73" t="n">
        <v>302</v>
      </c>
      <c r="J18" s="74" t="inlineStr">
        <is>
          <t>High risk</t>
        </is>
      </c>
    </row>
    <row r="19" ht="16" customHeight="1">
      <c r="B19" s="26" t="inlineStr">
        <is>
          <t>RELL</t>
        </is>
      </c>
      <c r="C19" s="27" t="inlineStr">
        <is>
          <t>Richardson Electronics, Ltd.</t>
        </is>
      </c>
      <c r="D19" s="49" t="inlineStr">
        <is>
          <t>Nano Cap</t>
        </is>
      </c>
      <c r="E19" s="23" t="inlineStr">
        <is>
          <t>Medium-High</t>
        </is>
      </c>
      <c r="F19" s="40" t="n">
        <v>0.05</v>
      </c>
      <c r="G19" s="75" t="n">
        <v>0.03</v>
      </c>
      <c r="H19" s="76" t="n">
        <v>3000</v>
      </c>
      <c r="I19" s="77" t="n">
        <v>170</v>
      </c>
      <c r="J19" s="78" t="inlineStr">
        <is>
          <t>Medium-High risk</t>
        </is>
      </c>
    </row>
    <row r="20" ht="16" customHeight="1">
      <c r="B20" s="19" t="inlineStr">
        <is>
          <t>AADX</t>
        </is>
      </c>
      <c r="C20" s="20" t="inlineStr">
        <is>
          <t>Applied Aerospace &amp; Defense, Inc.</t>
        </is>
      </c>
      <c r="D20" s="47" t="inlineStr">
        <is>
          <t>Breakout</t>
        </is>
      </c>
      <c r="E20" s="23" t="inlineStr">
        <is>
          <t>Medium-High</t>
        </is>
      </c>
      <c r="F20" s="34" t="n">
        <v>0.05</v>
      </c>
      <c r="G20" s="71" t="n">
        <v>0.06</v>
      </c>
      <c r="H20" s="72" t="n">
        <v>6000</v>
      </c>
      <c r="I20" s="73" t="n">
        <v>469</v>
      </c>
      <c r="J20" s="74" t="inlineStr">
        <is>
          <t>High risk</t>
        </is>
      </c>
    </row>
    <row r="21" ht="16" customHeight="1">
      <c r="B21" s="26" t="inlineStr">
        <is>
          <t>GLTK</t>
        </is>
      </c>
      <c r="C21" s="27" t="inlineStr">
        <is>
          <t>GlobalTech Corporation</t>
        </is>
      </c>
      <c r="D21" s="49" t="inlineStr">
        <is>
          <t>Nano Cap</t>
        </is>
      </c>
      <c r="E21" s="25" t="inlineStr">
        <is>
          <t>Medium</t>
        </is>
      </c>
      <c r="F21" s="40" t="n">
        <v>0.03</v>
      </c>
      <c r="G21" s="75" t="n">
        <v>0.018</v>
      </c>
      <c r="H21" s="76" t="n">
        <v>1800</v>
      </c>
      <c r="I21" s="77" t="n">
        <v>400</v>
      </c>
      <c r="J21" s="78" t="inlineStr">
        <is>
          <t>Medium-High risk</t>
        </is>
      </c>
    </row>
    <row r="22" ht="16" customHeight="1">
      <c r="B22" s="19" t="inlineStr">
        <is>
          <t>INTT</t>
        </is>
      </c>
      <c r="C22" s="20" t="inlineStr">
        <is>
          <t>inTEST Corporation</t>
        </is>
      </c>
      <c r="D22" s="47" t="inlineStr">
        <is>
          <t>Nano Cap</t>
        </is>
      </c>
      <c r="E22" s="25" t="inlineStr">
        <is>
          <t>Medium</t>
        </is>
      </c>
      <c r="F22" s="34" t="n">
        <v>0.03</v>
      </c>
      <c r="G22" s="71" t="n">
        <v>0.018</v>
      </c>
      <c r="H22" s="72" t="n">
        <v>1800</v>
      </c>
      <c r="I22" s="73" t="n">
        <v>155</v>
      </c>
      <c r="J22" s="74" t="inlineStr">
        <is>
          <t>Medium-High risk</t>
        </is>
      </c>
    </row>
    <row r="23" ht="16" customHeight="1">
      <c r="B23" s="26" t="inlineStr">
        <is>
          <t>AISP</t>
        </is>
      </c>
      <c r="C23" s="27" t="inlineStr">
        <is>
          <t>Airship AI Holdings, Inc.</t>
        </is>
      </c>
      <c r="D23" s="49" t="inlineStr">
        <is>
          <t>Nano Cap</t>
        </is>
      </c>
      <c r="E23" s="25" t="inlineStr">
        <is>
          <t>Medium</t>
        </is>
      </c>
      <c r="F23" s="40" t="n">
        <v>0.03</v>
      </c>
      <c r="G23" s="75" t="n">
        <v>0.018</v>
      </c>
      <c r="H23" s="76" t="n">
        <v>1800</v>
      </c>
      <c r="I23" s="77" t="n">
        <v>863</v>
      </c>
      <c r="J23" s="78" t="inlineStr">
        <is>
          <t>High risk</t>
        </is>
      </c>
    </row>
    <row r="24" ht="16" customHeight="1">
      <c r="B24" s="19" t="inlineStr">
        <is>
          <t>MRAM</t>
        </is>
      </c>
      <c r="C24" s="20" t="inlineStr">
        <is>
          <t>Everspin Technologies, Inc.</t>
        </is>
      </c>
      <c r="D24" s="47" t="inlineStr">
        <is>
          <t>Small Cap</t>
        </is>
      </c>
      <c r="E24" s="25" t="inlineStr">
        <is>
          <t>Medium</t>
        </is>
      </c>
      <c r="F24" s="34" t="n">
        <v>0.03</v>
      </c>
      <c r="G24" s="71" t="n">
        <v>0.03</v>
      </c>
      <c r="H24" s="72" t="n">
        <v>3000</v>
      </c>
      <c r="I24" s="73" t="n">
        <v>176</v>
      </c>
      <c r="J24" s="74" t="inlineStr">
        <is>
          <t>Medium-High risk</t>
        </is>
      </c>
    </row>
    <row r="25" ht="16" customHeight="1">
      <c r="B25" s="26" t="inlineStr">
        <is>
          <t>MPWR</t>
        </is>
      </c>
      <c r="C25" s="27" t="inlineStr">
        <is>
          <t>Monolithic Power Systems, Inc.</t>
        </is>
      </c>
      <c r="D25" s="49" t="inlineStr">
        <is>
          <t>Vital Link</t>
        </is>
      </c>
      <c r="E25" s="25" t="inlineStr">
        <is>
          <t>Medium</t>
        </is>
      </c>
      <c r="F25" s="40" t="n">
        <v>0.03</v>
      </c>
      <c r="G25" s="75" t="n">
        <v>0.042</v>
      </c>
      <c r="H25" s="76" t="n">
        <v>4200</v>
      </c>
      <c r="I25" s="77" t="n">
        <v>3</v>
      </c>
      <c r="J25" s="78" t="inlineStr">
        <is>
          <t>Medium-Low risk</t>
        </is>
      </c>
    </row>
    <row r="26" ht="16" customHeight="1">
      <c r="B26" s="19" t="inlineStr">
        <is>
          <t>GLOO</t>
        </is>
      </c>
      <c r="C26" s="20" t="inlineStr">
        <is>
          <t>Gloo Holdings, Inc.</t>
        </is>
      </c>
      <c r="D26" s="47" t="inlineStr">
        <is>
          <t>Nano Cap</t>
        </is>
      </c>
      <c r="E26" s="25" t="inlineStr">
        <is>
          <t>Medium</t>
        </is>
      </c>
      <c r="F26" s="34" t="n">
        <v>0.03</v>
      </c>
      <c r="G26" s="71" t="n">
        <v>0.018</v>
      </c>
      <c r="H26" s="72" t="n">
        <v>1800</v>
      </c>
      <c r="I26" s="73" t="n">
        <v>567</v>
      </c>
      <c r="J26" s="74" t="inlineStr">
        <is>
          <t>Medium-High risk</t>
        </is>
      </c>
    </row>
    <row r="27" ht="16" customHeight="1">
      <c r="B27" s="26" t="inlineStr">
        <is>
          <t>VSH</t>
        </is>
      </c>
      <c r="C27" s="27" t="inlineStr">
        <is>
          <t>Vishay Intertechnology, Inc.</t>
        </is>
      </c>
      <c r="D27" s="49" t="inlineStr">
        <is>
          <t>Breakout</t>
        </is>
      </c>
      <c r="E27" s="25" t="inlineStr">
        <is>
          <t>Medium</t>
        </is>
      </c>
      <c r="F27" s="40" t="n">
        <v>0.03</v>
      </c>
      <c r="G27" s="75" t="n">
        <v>0.036</v>
      </c>
      <c r="H27" s="76" t="n">
        <v>3600</v>
      </c>
      <c r="I27" s="77" t="n">
        <v>113</v>
      </c>
      <c r="J27" s="78" t="inlineStr">
        <is>
          <t>High risk</t>
        </is>
      </c>
    </row>
    <row r="28" ht="16" customHeight="1">
      <c r="B28" s="19" t="inlineStr">
        <is>
          <t>VPG</t>
        </is>
      </c>
      <c r="C28" s="20" t="inlineStr">
        <is>
          <t>Vishay Precision Group, Inc.</t>
        </is>
      </c>
      <c r="D28" s="47" t="inlineStr">
        <is>
          <t>Small Cap</t>
        </is>
      </c>
      <c r="E28" s="25" t="inlineStr">
        <is>
          <t>Medium</t>
        </is>
      </c>
      <c r="F28" s="34" t="n">
        <v>0.03</v>
      </c>
      <c r="G28" s="71" t="n">
        <v>0.03</v>
      </c>
      <c r="H28" s="72" t="n">
        <v>3000</v>
      </c>
      <c r="I28" s="73" t="n">
        <v>45</v>
      </c>
      <c r="J28" s="74" t="inlineStr"/>
    </row>
    <row r="29" ht="16" customHeight="1">
      <c r="B29" s="26" t="inlineStr">
        <is>
          <t>RUN</t>
        </is>
      </c>
      <c r="C29" s="27" t="inlineStr">
        <is>
          <t>Sunrun Inc.</t>
        </is>
      </c>
      <c r="D29" s="49" t="inlineStr">
        <is>
          <t>Breakout</t>
        </is>
      </c>
      <c r="E29" s="25" t="inlineStr">
        <is>
          <t>Medium</t>
        </is>
      </c>
      <c r="F29" s="40" t="n">
        <v>0.03</v>
      </c>
      <c r="G29" s="75" t="n">
        <v>0.036</v>
      </c>
      <c r="H29" s="76" t="n">
        <v>3600</v>
      </c>
      <c r="I29" s="77" t="n">
        <v>392</v>
      </c>
      <c r="J29" s="78" t="inlineStr">
        <is>
          <t>Medium-Low risk</t>
        </is>
      </c>
    </row>
    <row r="30" ht="16" customHeight="1">
      <c r="B30" s="19" t="inlineStr">
        <is>
          <t>ROC</t>
        </is>
      </c>
      <c r="C30" s="20" t="inlineStr">
        <is>
          <t>Rank One Computing Corp.</t>
        </is>
      </c>
      <c r="D30" s="47" t="inlineStr">
        <is>
          <t>Nano Cap</t>
        </is>
      </c>
      <c r="E30" s="25" t="inlineStr">
        <is>
          <t>Medium</t>
        </is>
      </c>
      <c r="F30" s="34" t="n">
        <v>0.03</v>
      </c>
      <c r="G30" s="71" t="n">
        <v>0.018</v>
      </c>
      <c r="H30" s="72" t="n">
        <v>1800</v>
      </c>
      <c r="I30" s="73" t="n">
        <v>419</v>
      </c>
      <c r="J30" s="74" t="inlineStr">
        <is>
          <t>High risk</t>
        </is>
      </c>
    </row>
    <row r="31" ht="16" customHeight="1">
      <c r="B31" s="26" t="inlineStr">
        <is>
          <t>CDRE</t>
        </is>
      </c>
      <c r="C31" s="27" t="inlineStr">
        <is>
          <t>Cadre Holdings, Inc.</t>
        </is>
      </c>
      <c r="D31" s="49" t="inlineStr">
        <is>
          <t>Small Cap</t>
        </is>
      </c>
      <c r="E31" s="25" t="inlineStr">
        <is>
          <t>Medium</t>
        </is>
      </c>
      <c r="F31" s="40" t="n">
        <v>0.03</v>
      </c>
      <c r="G31" s="75" t="n">
        <v>0.03</v>
      </c>
      <c r="H31" s="76" t="n">
        <v>3000</v>
      </c>
      <c r="I31" s="77" t="n">
        <v>100</v>
      </c>
      <c r="J31" s="78" t="inlineStr">
        <is>
          <t>Medium-High risk</t>
        </is>
      </c>
    </row>
    <row r="32" ht="16" customHeight="1">
      <c r="B32" s="19" t="inlineStr">
        <is>
          <t>ELMT</t>
        </is>
      </c>
      <c r="C32" s="20" t="inlineStr">
        <is>
          <t>Elmet Group Co.</t>
        </is>
      </c>
      <c r="D32" s="47" t="inlineStr">
        <is>
          <t>Small Cap</t>
        </is>
      </c>
      <c r="E32" s="25" t="inlineStr">
        <is>
          <t>Medium</t>
        </is>
      </c>
      <c r="F32" s="34" t="n">
        <v>0.03</v>
      </c>
      <c r="G32" s="71" t="n">
        <v>0.03</v>
      </c>
      <c r="H32" s="72" t="n">
        <v>3000</v>
      </c>
      <c r="I32" s="73" t="n">
        <v>178</v>
      </c>
      <c r="J32" s="74" t="inlineStr">
        <is>
          <t>Medium-High risk</t>
        </is>
      </c>
    </row>
    <row r="33" ht="16" customHeight="1">
      <c r="B33" s="26" t="inlineStr">
        <is>
          <t>ESI</t>
        </is>
      </c>
      <c r="C33" s="27" t="inlineStr">
        <is>
          <t>Element Solutions Inc</t>
        </is>
      </c>
      <c r="D33" s="49" t="inlineStr">
        <is>
          <t>Breakout</t>
        </is>
      </c>
      <c r="E33" s="25" t="inlineStr">
        <is>
          <t>Medium</t>
        </is>
      </c>
      <c r="F33" s="40" t="n">
        <v>0.03</v>
      </c>
      <c r="G33" s="75" t="n">
        <v>0.036</v>
      </c>
      <c r="H33" s="76" t="n">
        <v>3600</v>
      </c>
      <c r="I33" s="77" t="n">
        <v>98</v>
      </c>
      <c r="J33" s="78" t="inlineStr">
        <is>
          <t>Medium-High risk</t>
        </is>
      </c>
    </row>
    <row r="34" ht="16" customHeight="1">
      <c r="B34" s="19" t="inlineStr">
        <is>
          <t>SWBI</t>
        </is>
      </c>
      <c r="C34" s="20" t="inlineStr">
        <is>
          <t>Smith &amp; Wesson Brands, Inc.</t>
        </is>
      </c>
      <c r="D34" s="47" t="inlineStr">
        <is>
          <t>Small Cap</t>
        </is>
      </c>
      <c r="E34" s="25" t="inlineStr">
        <is>
          <t>Medium</t>
        </is>
      </c>
      <c r="F34" s="34" t="n">
        <v>0.03</v>
      </c>
      <c r="G34" s="71" t="n">
        <v>0.03</v>
      </c>
      <c r="H34" s="72" t="n">
        <v>3000</v>
      </c>
      <c r="I34" s="73" t="n">
        <v>227</v>
      </c>
      <c r="J34" s="74" t="inlineStr">
        <is>
          <t>Medium-High risk</t>
        </is>
      </c>
    </row>
    <row r="35" ht="16" customHeight="1">
      <c r="B35" s="26" t="inlineStr">
        <is>
          <t>BETA</t>
        </is>
      </c>
      <c r="C35" s="27" t="inlineStr">
        <is>
          <t>BETA Technologies, Inc.</t>
        </is>
      </c>
      <c r="D35" s="49" t="inlineStr">
        <is>
          <t>Breakout</t>
        </is>
      </c>
      <c r="E35" s="25" t="inlineStr">
        <is>
          <t>Medium</t>
        </is>
      </c>
      <c r="F35" s="40" t="n">
        <v>0.03</v>
      </c>
      <c r="G35" s="75" t="n">
        <v>0.036</v>
      </c>
      <c r="H35" s="76" t="n">
        <v>3600</v>
      </c>
      <c r="I35" s="77" t="n">
        <v>165</v>
      </c>
      <c r="J35" s="78" t="inlineStr">
        <is>
          <t>Medium-Low risk</t>
        </is>
      </c>
    </row>
    <row r="36" ht="16" customHeight="1">
      <c r="B36" s="19" t="inlineStr">
        <is>
          <t>LASR</t>
        </is>
      </c>
      <c r="C36" s="20" t="inlineStr">
        <is>
          <t>nLIGHT, Inc.</t>
        </is>
      </c>
      <c r="D36" s="47" t="inlineStr">
        <is>
          <t>Breakout</t>
        </is>
      </c>
      <c r="E36" s="25" t="inlineStr">
        <is>
          <t>Medium</t>
        </is>
      </c>
      <c r="F36" s="34" t="n">
        <v>0.03</v>
      </c>
      <c r="G36" s="71" t="n">
        <v>0.036</v>
      </c>
      <c r="H36" s="72" t="n">
        <v>3600</v>
      </c>
      <c r="I36" s="73" t="n">
        <v>87</v>
      </c>
      <c r="J36" s="74" t="inlineStr">
        <is>
          <t>High risk</t>
        </is>
      </c>
    </row>
    <row r="37" ht="16" customHeight="1">
      <c r="B37" s="26" t="inlineStr">
        <is>
          <t>LTRX</t>
        </is>
      </c>
      <c r="C37" s="27" t="inlineStr">
        <is>
          <t>Lantronix, Inc.</t>
        </is>
      </c>
      <c r="D37" s="49" t="inlineStr">
        <is>
          <t>Nano Cap</t>
        </is>
      </c>
      <c r="E37" s="25" t="inlineStr">
        <is>
          <t>Medium</t>
        </is>
      </c>
      <c r="F37" s="40" t="n">
        <v>0.03</v>
      </c>
      <c r="G37" s="75" t="n">
        <v>0.018</v>
      </c>
      <c r="H37" s="76" t="n">
        <v>1800</v>
      </c>
      <c r="I37" s="77" t="n">
        <v>337</v>
      </c>
      <c r="J37" s="78" t="inlineStr">
        <is>
          <t>Medium-High risk</t>
        </is>
      </c>
    </row>
    <row r="38" ht="16" customHeight="1">
      <c r="B38" s="19" t="inlineStr">
        <is>
          <t>AVEX</t>
        </is>
      </c>
      <c r="C38" s="20" t="inlineStr">
        <is>
          <t>Aevex Corp.</t>
        </is>
      </c>
      <c r="D38" s="47" t="inlineStr">
        <is>
          <t>Small Cap</t>
        </is>
      </c>
      <c r="E38" s="25" t="inlineStr">
        <is>
          <t>Medium</t>
        </is>
      </c>
      <c r="F38" s="34" t="n">
        <v>0.03</v>
      </c>
      <c r="G38" s="71" t="n">
        <v>0.03</v>
      </c>
      <c r="H38" s="72" t="n">
        <v>3000</v>
      </c>
      <c r="I38" s="73" t="n">
        <v>179</v>
      </c>
      <c r="J38" s="74" t="inlineStr">
        <is>
          <t>High risk</t>
        </is>
      </c>
    </row>
    <row r="39" ht="16" customHeight="1">
      <c r="B39" s="26" t="inlineStr">
        <is>
          <t>QUIK</t>
        </is>
      </c>
      <c r="C39" s="27" t="inlineStr">
        <is>
          <t>QuickLogic Corporation</t>
        </is>
      </c>
      <c r="D39" s="49" t="inlineStr">
        <is>
          <t>Nano Cap</t>
        </is>
      </c>
      <c r="E39" s="25" t="inlineStr">
        <is>
          <t>Medium</t>
        </is>
      </c>
      <c r="F39" s="40" t="n">
        <v>0.03</v>
      </c>
      <c r="G39" s="75" t="n">
        <v>0.018</v>
      </c>
      <c r="H39" s="76" t="n">
        <v>1800</v>
      </c>
      <c r="I39" s="77" t="n">
        <v>161</v>
      </c>
      <c r="J39" s="78" t="inlineStr">
        <is>
          <t>High risk</t>
        </is>
      </c>
    </row>
    <row r="40" ht="16" customHeight="1">
      <c r="B40" s="19" t="inlineStr">
        <is>
          <t>MCHP</t>
        </is>
      </c>
      <c r="C40" s="20" t="inlineStr">
        <is>
          <t>Microchip Technology Incorporated</t>
        </is>
      </c>
      <c r="D40" s="47" t="inlineStr">
        <is>
          <t>Vital Link</t>
        </is>
      </c>
      <c r="E40" s="25" t="inlineStr">
        <is>
          <t>Medium</t>
        </is>
      </c>
      <c r="F40" s="34" t="n">
        <v>0.03</v>
      </c>
      <c r="G40" s="71" t="n">
        <v>0.042</v>
      </c>
      <c r="H40" s="72" t="n">
        <v>4200</v>
      </c>
      <c r="I40" s="73" t="n">
        <v>56</v>
      </c>
      <c r="J40" s="74" t="inlineStr">
        <is>
          <t>Medium-Low risk</t>
        </is>
      </c>
    </row>
    <row r="41" ht="16" customHeight="1">
      <c r="B41" s="26" t="inlineStr">
        <is>
          <t>PKE</t>
        </is>
      </c>
      <c r="C41" s="27" t="inlineStr">
        <is>
          <t>Park Aerospace Corp.</t>
        </is>
      </c>
      <c r="D41" s="49" t="inlineStr">
        <is>
          <t>Small Cap</t>
        </is>
      </c>
      <c r="E41" s="25" t="inlineStr">
        <is>
          <t>Medium</t>
        </is>
      </c>
      <c r="F41" s="40" t="n">
        <v>0.03</v>
      </c>
      <c r="G41" s="75" t="n">
        <v>0.03</v>
      </c>
      <c r="H41" s="76" t="n">
        <v>3000</v>
      </c>
      <c r="I41" s="77" t="n">
        <v>95</v>
      </c>
      <c r="J41" s="78" t="inlineStr">
        <is>
          <t>Medium-High risk</t>
        </is>
      </c>
    </row>
    <row r="42" ht="16" customHeight="1">
      <c r="B42" s="19" t="inlineStr">
        <is>
          <t>HEI</t>
        </is>
      </c>
      <c r="C42" s="20" t="inlineStr">
        <is>
          <t>HEICO Corporation</t>
        </is>
      </c>
      <c r="D42" s="47" t="inlineStr">
        <is>
          <t>Vital Link</t>
        </is>
      </c>
      <c r="E42" s="25" t="inlineStr">
        <is>
          <t>Medium</t>
        </is>
      </c>
      <c r="F42" s="34" t="n">
        <v>0.03</v>
      </c>
      <c r="G42" s="71" t="n">
        <v>0.042</v>
      </c>
      <c r="H42" s="72" t="n">
        <v>4200</v>
      </c>
      <c r="I42" s="73" t="n">
        <v>13</v>
      </c>
      <c r="J42" s="74" t="inlineStr">
        <is>
          <t>Medium-Low risk</t>
        </is>
      </c>
    </row>
    <row r="43" ht="16" customHeight="1">
      <c r="B43" s="26" t="inlineStr">
        <is>
          <t>CALX</t>
        </is>
      </c>
      <c r="C43" s="27" t="inlineStr">
        <is>
          <t>Calix, Inc.</t>
        </is>
      </c>
      <c r="D43" s="49" t="inlineStr">
        <is>
          <t>Breakout</t>
        </is>
      </c>
      <c r="E43" s="25" t="inlineStr">
        <is>
          <t>Medium</t>
        </is>
      </c>
      <c r="F43" s="40" t="n">
        <v>0.03</v>
      </c>
      <c r="G43" s="75" t="n">
        <v>0.036</v>
      </c>
      <c r="H43" s="76" t="n">
        <v>3600</v>
      </c>
      <c r="I43" s="77" t="n">
        <v>102</v>
      </c>
      <c r="J43" s="78" t="inlineStr">
        <is>
          <t>Medium-Low risk</t>
        </is>
      </c>
    </row>
    <row r="44" ht="16" customHeight="1">
      <c r="B44" s="19" t="inlineStr">
        <is>
          <t>IPGP</t>
        </is>
      </c>
      <c r="C44" s="20" t="inlineStr">
        <is>
          <t>IPG Photonics Corporation</t>
        </is>
      </c>
      <c r="D44" s="47" t="inlineStr">
        <is>
          <t>Breakout</t>
        </is>
      </c>
      <c r="E44" s="25" t="inlineStr">
        <is>
          <t>Medium</t>
        </is>
      </c>
      <c r="F44" s="34" t="n">
        <v>0.03</v>
      </c>
      <c r="G44" s="71" t="n">
        <v>0.036</v>
      </c>
      <c r="H44" s="72" t="n">
        <v>3600</v>
      </c>
      <c r="I44" s="73" t="n">
        <v>45</v>
      </c>
      <c r="J44" s="74" t="inlineStr">
        <is>
          <t>Medium-Low risk</t>
        </is>
      </c>
    </row>
    <row r="45" ht="16" customHeight="1">
      <c r="B45" s="26" t="inlineStr">
        <is>
          <t>KD</t>
        </is>
      </c>
      <c r="C45" s="27" t="inlineStr">
        <is>
          <t>Kyndryl Holdings, Inc.</t>
        </is>
      </c>
      <c r="D45" s="49" t="inlineStr">
        <is>
          <t>Breakout</t>
        </is>
      </c>
      <c r="E45" s="25" t="inlineStr">
        <is>
          <t>Medium</t>
        </is>
      </c>
      <c r="F45" s="40" t="n">
        <v>0.03</v>
      </c>
      <c r="G45" s="75" t="n">
        <v>0.036</v>
      </c>
      <c r="H45" s="76" t="n">
        <v>3600</v>
      </c>
      <c r="I45" s="77" t="n">
        <v>284</v>
      </c>
      <c r="J45" s="78" t="inlineStr">
        <is>
          <t>High risk</t>
        </is>
      </c>
    </row>
    <row r="46" ht="16" customHeight="1">
      <c r="B46" s="19" t="inlineStr">
        <is>
          <t>UI</t>
        </is>
      </c>
      <c r="C46" s="20" t="inlineStr">
        <is>
          <t>Ubiquiti Inc.</t>
        </is>
      </c>
      <c r="D46" s="47" t="inlineStr">
        <is>
          <t>Vital Link</t>
        </is>
      </c>
      <c r="E46" s="25" t="inlineStr">
        <is>
          <t>Medium</t>
        </is>
      </c>
      <c r="F46" s="34" t="n">
        <v>0.03</v>
      </c>
      <c r="G46" s="71" t="n">
        <v>0.042</v>
      </c>
      <c r="H46" s="72" t="n">
        <v>4200</v>
      </c>
      <c r="I46" s="73" t="n">
        <v>7</v>
      </c>
      <c r="J46" s="74" t="inlineStr">
        <is>
          <t>Medium-Low risk</t>
        </is>
      </c>
    </row>
    <row r="47" ht="16" customHeight="1">
      <c r="B47" s="26" t="inlineStr">
        <is>
          <t>EVLV</t>
        </is>
      </c>
      <c r="C47" s="27" t="inlineStr">
        <is>
          <t>Evolv Technologies Holdings, Inc.</t>
        </is>
      </c>
      <c r="D47" s="49" t="inlineStr">
        <is>
          <t>Small Cap</t>
        </is>
      </c>
      <c r="E47" s="25" t="inlineStr">
        <is>
          <t>Medium</t>
        </is>
      </c>
      <c r="F47" s="40" t="n">
        <v>0.03</v>
      </c>
      <c r="G47" s="75" t="n">
        <v>0.03</v>
      </c>
      <c r="H47" s="76" t="n">
        <v>3000</v>
      </c>
      <c r="I47" s="77" t="n">
        <v>589</v>
      </c>
      <c r="J47" s="78" t="inlineStr">
        <is>
          <t>Medium-High risk</t>
        </is>
      </c>
    </row>
    <row r="48" ht="16" customHeight="1">
      <c r="B48" s="19" t="inlineStr">
        <is>
          <t>RBC</t>
        </is>
      </c>
      <c r="C48" s="20" t="inlineStr">
        <is>
          <t>RBC Bearings Incorporated</t>
        </is>
      </c>
      <c r="D48" s="47" t="inlineStr">
        <is>
          <t>Vital Link</t>
        </is>
      </c>
      <c r="E48" s="25" t="inlineStr">
        <is>
          <t>Medium</t>
        </is>
      </c>
      <c r="F48" s="34" t="n">
        <v>0.03</v>
      </c>
      <c r="G48" s="71" t="n">
        <v>0.042</v>
      </c>
      <c r="H48" s="72" t="n">
        <v>4200</v>
      </c>
      <c r="I48" s="73" t="n">
        <v>8</v>
      </c>
      <c r="J48" s="74" t="inlineStr">
        <is>
          <t>Medium-Low risk</t>
        </is>
      </c>
    </row>
    <row r="49" ht="16" customHeight="1">
      <c r="B49" s="26" t="inlineStr">
        <is>
          <t>HWM</t>
        </is>
      </c>
      <c r="C49" s="27" t="inlineStr">
        <is>
          <t>Howmet Aerospace Inc.</t>
        </is>
      </c>
      <c r="D49" s="49" t="inlineStr">
        <is>
          <t>Vital Link</t>
        </is>
      </c>
      <c r="E49" s="45" t="inlineStr">
        <is>
          <t>Speculative</t>
        </is>
      </c>
      <c r="F49" s="40" t="n">
        <v>0.015</v>
      </c>
      <c r="G49" s="75" t="n">
        <v>0.021</v>
      </c>
      <c r="H49" s="76" t="n">
        <v>2100</v>
      </c>
      <c r="I49" s="77" t="n">
        <v>8</v>
      </c>
      <c r="J49" s="78" t="inlineStr">
        <is>
          <t>Medium-Low risk</t>
        </is>
      </c>
    </row>
    <row r="50" ht="16" customHeight="1">
      <c r="B50" s="19" t="inlineStr">
        <is>
          <t>AXON</t>
        </is>
      </c>
      <c r="C50" s="20" t="inlineStr">
        <is>
          <t>Axon Enterprise, Inc.</t>
        </is>
      </c>
      <c r="D50" s="47" t="inlineStr">
        <is>
          <t>Vital Link</t>
        </is>
      </c>
      <c r="E50" s="45" t="inlineStr">
        <is>
          <t>Speculative</t>
        </is>
      </c>
      <c r="F50" s="34" t="n">
        <v>0.015</v>
      </c>
      <c r="G50" s="71" t="n">
        <v>0.021</v>
      </c>
      <c r="H50" s="72" t="n">
        <v>2100</v>
      </c>
      <c r="I50" s="73" t="n">
        <v>4</v>
      </c>
      <c r="J50" s="74" t="inlineStr">
        <is>
          <t>Medium-Low risk</t>
        </is>
      </c>
    </row>
    <row r="51" ht="16" customHeight="1">
      <c r="B51" s="26" t="inlineStr">
        <is>
          <t>TDG</t>
        </is>
      </c>
      <c r="C51" s="27" t="inlineStr">
        <is>
          <t>TransDigm Group Incorporated</t>
        </is>
      </c>
      <c r="D51" s="49" t="inlineStr">
        <is>
          <t>Vital Link</t>
        </is>
      </c>
      <c r="E51" s="45" t="inlineStr">
        <is>
          <t>Speculative</t>
        </is>
      </c>
      <c r="F51" s="40" t="n">
        <v>0.015</v>
      </c>
      <c r="G51" s="75" t="n">
        <v>0.021</v>
      </c>
      <c r="H51" s="76" t="n">
        <v>2100</v>
      </c>
      <c r="I51" s="77" t="n">
        <v>1</v>
      </c>
      <c r="J51" s="78" t="inlineStr">
        <is>
          <t>Medium-Low risk</t>
        </is>
      </c>
    </row>
    <row r="52" ht="16" customHeight="1">
      <c r="B52" s="19" t="inlineStr">
        <is>
          <t>FTAI</t>
        </is>
      </c>
      <c r="C52" s="20" t="inlineStr">
        <is>
          <t>FTAI Aviation Ltd.</t>
        </is>
      </c>
      <c r="D52" s="47" t="inlineStr">
        <is>
          <t>Vital Link</t>
        </is>
      </c>
      <c r="E52" s="45" t="inlineStr">
        <is>
          <t>Speculative</t>
        </is>
      </c>
      <c r="F52" s="34" t="n">
        <v>0.015</v>
      </c>
      <c r="G52" s="71" t="n">
        <v>0.021</v>
      </c>
      <c r="H52" s="72" t="n">
        <v>2100</v>
      </c>
      <c r="I52" s="73" t="n">
        <v>10</v>
      </c>
      <c r="J52" s="74" t="inlineStr">
        <is>
          <t>Medium-High risk</t>
        </is>
      </c>
    </row>
    <row r="53" ht="16" customHeight="1">
      <c r="B53" s="26" t="inlineStr">
        <is>
          <t>TDY</t>
        </is>
      </c>
      <c r="C53" s="27" t="inlineStr">
        <is>
          <t>Teledyne Technologies Incorporated</t>
        </is>
      </c>
      <c r="D53" s="49" t="inlineStr">
        <is>
          <t>Vital Link</t>
        </is>
      </c>
      <c r="E53" s="45" t="inlineStr">
        <is>
          <t>Speculative</t>
        </is>
      </c>
      <c r="F53" s="40" t="n">
        <v>0.015</v>
      </c>
      <c r="G53" s="75" t="n">
        <v>0.021</v>
      </c>
      <c r="H53" s="76" t="n">
        <v>2100</v>
      </c>
      <c r="I53" s="77" t="n">
        <v>3</v>
      </c>
      <c r="J53" s="78" t="inlineStr">
        <is>
          <t>Medium-Low risk</t>
        </is>
      </c>
    </row>
    <row r="55">
      <c r="B55" s="79" t="inlineStr">
        <is>
          <t>TOTAL ALLOCATED</t>
        </is>
      </c>
      <c r="C55" s="80" t="n"/>
      <c r="D55" s="80" t="n"/>
      <c r="E55" s="80" t="n"/>
      <c r="F55" s="80" t="n"/>
      <c r="G55" s="81" t="n">
        <v>1.278999999999999</v>
      </c>
      <c r="H55" s="82" t="n">
        <v>127900</v>
      </c>
    </row>
    <row r="56">
      <c r="B56" s="79" t="inlineStr">
        <is>
          <t>CASH RESERVE</t>
        </is>
      </c>
      <c r="C56" s="80" t="n"/>
      <c r="D56" s="80" t="n"/>
      <c r="E56" s="80" t="n"/>
      <c r="F56" s="80" t="n"/>
      <c r="G56" s="83" t="n">
        <v>0</v>
      </c>
      <c r="H56" s="84" t="n">
        <v>0</v>
      </c>
    </row>
    <row r="59" ht="22" customHeight="1">
      <c r="B59" s="16" t="inlineStr">
        <is>
          <t>SENSITIVITY TO PORTFOLIO SIZE</t>
        </is>
      </c>
      <c r="C59" s="17" t="n"/>
      <c r="D59" s="17" t="n"/>
      <c r="E59" s="17" t="n"/>
      <c r="F59" s="17" t="n"/>
      <c r="G59" s="17" t="n"/>
      <c r="H59" s="17" t="n"/>
      <c r="I59" s="17" t="n"/>
      <c r="J59" s="17" t="n"/>
    </row>
    <row r="60" ht="18" customHeight="1">
      <c r="B60" s="18" t="inlineStr">
        <is>
          <t>Ticker</t>
        </is>
      </c>
      <c r="C60" s="18" t="inlineStr">
        <is>
          <t>$50K</t>
        </is>
      </c>
      <c r="D60" s="18" t="inlineStr">
        <is>
          <t>$100K</t>
        </is>
      </c>
      <c r="E60" s="18" t="inlineStr">
        <is>
          <t>$250K</t>
        </is>
      </c>
      <c r="F60" s="18" t="inlineStr">
        <is>
          <t>$500K</t>
        </is>
      </c>
      <c r="G60" s="18" t="inlineStr">
        <is>
          <t>$1M</t>
        </is>
      </c>
      <c r="L60" t="inlineStr">
        <is>
          <t>Tier</t>
        </is>
      </c>
      <c r="M60" t="inlineStr">
        <is>
          <t>Allocation %</t>
        </is>
      </c>
    </row>
    <row r="61" ht="16" customHeight="1">
      <c r="B61" s="19" t="inlineStr">
        <is>
          <t>SODI</t>
        </is>
      </c>
      <c r="C61" s="21" t="n">
        <v>1500</v>
      </c>
      <c r="D61" s="85" t="n">
        <v>3000</v>
      </c>
      <c r="E61" s="21" t="n">
        <v>7500</v>
      </c>
      <c r="F61" s="21" t="n">
        <v>15000</v>
      </c>
      <c r="G61" s="21" t="n">
        <v>30000</v>
      </c>
      <c r="L61" t="inlineStr">
        <is>
          <t>Nano Cap</t>
        </is>
      </c>
      <c r="M61" t="n">
        <v>21.6</v>
      </c>
    </row>
    <row r="62" ht="16" customHeight="1">
      <c r="B62" s="26" t="inlineStr">
        <is>
          <t>SCTQ</t>
        </is>
      </c>
      <c r="C62" s="28" t="n">
        <v>1500</v>
      </c>
      <c r="D62" s="85" t="n">
        <v>3000</v>
      </c>
      <c r="E62" s="28" t="n">
        <v>7500</v>
      </c>
      <c r="F62" s="28" t="n">
        <v>15000</v>
      </c>
      <c r="G62" s="28" t="n">
        <v>30000</v>
      </c>
      <c r="L62" t="inlineStr">
        <is>
          <t>Breakout</t>
        </is>
      </c>
      <c r="M62" t="n">
        <v>40.8</v>
      </c>
    </row>
    <row r="63" ht="16" customHeight="1">
      <c r="B63" s="19" t="inlineStr">
        <is>
          <t>KRMN</t>
        </is>
      </c>
      <c r="C63" s="21" t="n">
        <v>3000</v>
      </c>
      <c r="D63" s="85" t="n">
        <v>6000</v>
      </c>
      <c r="E63" s="21" t="n">
        <v>15000</v>
      </c>
      <c r="F63" s="21" t="n">
        <v>30000</v>
      </c>
      <c r="G63" s="21" t="n">
        <v>60000</v>
      </c>
      <c r="L63" t="inlineStr">
        <is>
          <t>Small Cap</t>
        </is>
      </c>
      <c r="M63" t="n">
        <v>34</v>
      </c>
    </row>
    <row r="64" ht="16" customHeight="1">
      <c r="B64" s="26" t="inlineStr">
        <is>
          <t>CLFD</t>
        </is>
      </c>
      <c r="C64" s="28" t="n">
        <v>2500</v>
      </c>
      <c r="D64" s="85" t="n">
        <v>5000</v>
      </c>
      <c r="E64" s="28" t="n">
        <v>12500</v>
      </c>
      <c r="F64" s="28" t="n">
        <v>25000</v>
      </c>
      <c r="G64" s="28" t="n">
        <v>50000</v>
      </c>
      <c r="L64" t="inlineStr">
        <is>
          <t>Vital Link</t>
        </is>
      </c>
      <c r="M64" t="n">
        <v>31.50000000000001</v>
      </c>
    </row>
    <row r="65" ht="16" customHeight="1">
      <c r="B65" s="19" t="inlineStr">
        <is>
          <t>TRC</t>
        </is>
      </c>
      <c r="C65" s="21" t="n">
        <v>2500</v>
      </c>
      <c r="D65" s="85" t="n">
        <v>5000</v>
      </c>
      <c r="E65" s="21" t="n">
        <v>12500</v>
      </c>
      <c r="F65" s="21" t="n">
        <v>25000</v>
      </c>
      <c r="G65" s="21" t="n">
        <v>50000</v>
      </c>
      <c r="L65" t="inlineStr">
        <is>
          <t>Cash</t>
        </is>
      </c>
      <c r="M65" t="n">
        <v>0</v>
      </c>
    </row>
    <row r="66" ht="16" customHeight="1">
      <c r="B66" s="26" t="inlineStr">
        <is>
          <t>RELL</t>
        </is>
      </c>
      <c r="C66" s="28" t="n">
        <v>1500</v>
      </c>
      <c r="D66" s="85" t="n">
        <v>3000</v>
      </c>
      <c r="E66" s="28" t="n">
        <v>7500</v>
      </c>
      <c r="F66" s="28" t="n">
        <v>15000</v>
      </c>
      <c r="G66" s="28" t="n">
        <v>30000</v>
      </c>
    </row>
    <row r="67" ht="16" customHeight="1">
      <c r="B67" s="19" t="inlineStr">
        <is>
          <t>AADX</t>
        </is>
      </c>
      <c r="C67" s="21" t="n">
        <v>3000</v>
      </c>
      <c r="D67" s="85" t="n">
        <v>6000</v>
      </c>
      <c r="E67" s="21" t="n">
        <v>15000</v>
      </c>
      <c r="F67" s="21" t="n">
        <v>30000</v>
      </c>
      <c r="G67" s="21" t="n">
        <v>60000</v>
      </c>
    </row>
    <row r="68" ht="16" customHeight="1">
      <c r="B68" s="26" t="inlineStr">
        <is>
          <t>GLTK</t>
        </is>
      </c>
      <c r="C68" s="28" t="n">
        <v>900.0000000000001</v>
      </c>
      <c r="D68" s="85" t="n">
        <v>1800</v>
      </c>
      <c r="E68" s="28" t="n">
        <v>4500.000000000001</v>
      </c>
      <c r="F68" s="28" t="n">
        <v>9000.000000000002</v>
      </c>
      <c r="G68" s="28" t="n">
        <v>18000</v>
      </c>
    </row>
    <row r="69" ht="16" customHeight="1">
      <c r="B69" s="19" t="inlineStr">
        <is>
          <t>INTT</t>
        </is>
      </c>
      <c r="C69" s="21" t="n">
        <v>900.0000000000001</v>
      </c>
      <c r="D69" s="85" t="n">
        <v>1800</v>
      </c>
      <c r="E69" s="21" t="n">
        <v>4500.000000000001</v>
      </c>
      <c r="F69" s="21" t="n">
        <v>9000.000000000002</v>
      </c>
      <c r="G69" s="21" t="n">
        <v>18000</v>
      </c>
    </row>
    <row r="70" ht="16" customHeight="1">
      <c r="B70" s="26" t="inlineStr">
        <is>
          <t>AISP</t>
        </is>
      </c>
      <c r="C70" s="28" t="n">
        <v>900.0000000000001</v>
      </c>
      <c r="D70" s="85" t="n">
        <v>1800</v>
      </c>
      <c r="E70" s="28" t="n">
        <v>4500.000000000001</v>
      </c>
      <c r="F70" s="28" t="n">
        <v>9000.000000000002</v>
      </c>
      <c r="G70" s="28" t="n">
        <v>18000</v>
      </c>
    </row>
  </sheetData>
  <mergeCells count="5">
    <mergeCell ref="B59:J59"/>
    <mergeCell ref="A2:N2"/>
    <mergeCell ref="B4:J4"/>
    <mergeCell ref="B12:J12"/>
    <mergeCell ref="A1:N1"/>
  </mergeCells>
  <pageMargins left="0.75" right="0.75" top="1" bottom="1" header="0.5" footer="0.5"/>
  <pageSetup orientation="landscape" fitToWidth="1"/>
  <drawing xmlns:r="http://schemas.openxmlformats.org/officeDocument/2006/relationships" r:id="rId1"/>
</worksheet>
</file>

<file path=xl/worksheets/sheet11.xml><?xml version="1.0" encoding="utf-8"?>
<worksheet xmlns="http://schemas.openxmlformats.org/spreadsheetml/2006/main">
  <sheetPr>
    <tabColor rgb="00E76F51"/>
    <outlinePr summaryBelow="1" summaryRight="1"/>
    <pageSetUpPr fitToPage="1"/>
  </sheetPr>
  <dimension ref="A1:M65"/>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4" customWidth="1" min="3" max="3"/>
    <col width="12" customWidth="1" min="4" max="4"/>
    <col width="14"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4" customWidth="1" min="13" max="13"/>
  </cols>
  <sheetData>
    <row r="1" ht="28" customHeight="1">
      <c r="A1" s="30" t="inlineStr">
        <is>
          <t>SENSITIVITY ANALYSIS — WEIGHT PROFILE COMPARISON</t>
        </is>
      </c>
      <c r="B1" s="11" t="n"/>
      <c r="C1" s="11" t="n"/>
      <c r="D1" s="11" t="n"/>
      <c r="E1" s="11" t="n"/>
      <c r="F1" s="11" t="n"/>
      <c r="G1" s="11" t="n"/>
      <c r="H1" s="11" t="n"/>
      <c r="I1" s="11" t="n"/>
      <c r="J1" s="11" t="n"/>
      <c r="K1" s="11" t="n"/>
      <c r="L1" s="11" t="n"/>
      <c r="M1" s="11" t="n"/>
    </row>
    <row r="2" ht="22" customHeight="1">
      <c r="A2" s="31" t="inlineStr">
        <is>
          <t>How scores change under different weighting assumptions</t>
        </is>
      </c>
      <c r="B2" s="12" t="n"/>
      <c r="C2" s="12" t="n"/>
      <c r="D2" s="12" t="n"/>
      <c r="E2" s="12" t="n"/>
      <c r="F2" s="12" t="n"/>
      <c r="G2" s="12" t="n"/>
      <c r="H2" s="12" t="n"/>
      <c r="I2" s="12" t="n"/>
      <c r="J2" s="12" t="n"/>
      <c r="K2" s="12" t="n"/>
      <c r="L2" s="12" t="n"/>
      <c r="M2" s="12" t="n"/>
    </row>
    <row r="4" ht="22" customHeight="1">
      <c r="B4" s="16" t="inlineStr">
        <is>
          <t>SCENARIO CONTROL PANEL</t>
        </is>
      </c>
      <c r="C4" s="17" t="n"/>
      <c r="D4" s="17" t="n"/>
      <c r="E4" s="17" t="n"/>
      <c r="F4" s="17" t="n"/>
      <c r="G4" s="17" t="n"/>
      <c r="H4" s="17" t="n"/>
      <c r="I4" s="17" t="n"/>
      <c r="J4" s="17" t="n"/>
      <c r="K4" s="17" t="n"/>
      <c r="L4" s="17" t="n"/>
      <c r="M4" s="17" t="n"/>
    </row>
    <row r="5">
      <c r="B5" s="86" t="inlineStr">
        <is>
          <t>Active Scenario:</t>
        </is>
      </c>
      <c r="C5" s="63" t="inlineStr">
        <is>
          <t>Baseline</t>
        </is>
      </c>
    </row>
    <row r="7" ht="18" customHeight="1">
      <c r="B7" s="18" t="inlineStr">
        <is>
          <t>Weight</t>
        </is>
      </c>
      <c r="C7" s="18" t="inlineStr">
        <is>
          <t>Baseline</t>
        </is>
      </c>
      <c r="D7" s="18" t="inlineStr">
        <is>
          <t>Growth Focus</t>
        </is>
      </c>
      <c r="E7" s="18" t="inlineStr">
        <is>
          <t>Quality Focus</t>
        </is>
      </c>
      <c r="F7" s="18" t="inlineStr">
        <is>
          <t>Insider Focus</t>
        </is>
      </c>
      <c r="G7" s="18" t="inlineStr">
        <is>
          <t>Custom</t>
        </is>
      </c>
    </row>
    <row r="8" ht="16" customHeight="1">
      <c r="B8" s="20" t="inlineStr">
        <is>
          <t>Revenue Growth</t>
        </is>
      </c>
      <c r="C8" s="87" t="n">
        <v>0.3</v>
      </c>
      <c r="D8" s="88" t="n">
        <v>0.4</v>
      </c>
      <c r="E8" s="88" t="n">
        <v>0.2</v>
      </c>
      <c r="F8" s="88" t="n">
        <v>0.2</v>
      </c>
      <c r="G8" s="89" t="n">
        <v>0.3</v>
      </c>
    </row>
    <row r="9" ht="16" customHeight="1">
      <c r="B9" s="20" t="inlineStr">
        <is>
          <t>Gross Margin</t>
        </is>
      </c>
      <c r="C9" s="87" t="n">
        <v>0.2</v>
      </c>
      <c r="D9" s="88" t="n">
        <v>0.15</v>
      </c>
      <c r="E9" s="88" t="n">
        <v>0.3</v>
      </c>
      <c r="F9" s="88" t="n">
        <v>0.15</v>
      </c>
      <c r="G9" s="89" t="n">
        <v>0.2</v>
      </c>
    </row>
    <row r="10" ht="16" customHeight="1">
      <c r="B10" s="20" t="inlineStr">
        <is>
          <t>Dilution</t>
        </is>
      </c>
      <c r="C10" s="87" t="n">
        <v>0.2</v>
      </c>
      <c r="D10" s="88" t="n">
        <v>0.15</v>
      </c>
      <c r="E10" s="88" t="n">
        <v>0.25</v>
      </c>
      <c r="F10" s="88" t="n">
        <v>0.2</v>
      </c>
      <c r="G10" s="89" t="n">
        <v>0.2</v>
      </c>
    </row>
    <row r="11" ht="16" customHeight="1">
      <c r="B11" s="20" t="inlineStr">
        <is>
          <t>Insider Ownership</t>
        </is>
      </c>
      <c r="C11" s="87" t="n">
        <v>0.15</v>
      </c>
      <c r="D11" s="88" t="n">
        <v>0.1</v>
      </c>
      <c r="E11" s="88" t="n">
        <v>0.15</v>
      </c>
      <c r="F11" s="88" t="n">
        <v>0.35</v>
      </c>
      <c r="G11" s="89" t="n">
        <v>0.15</v>
      </c>
    </row>
    <row r="12" ht="16" customHeight="1">
      <c r="B12" s="20" t="inlineStr">
        <is>
          <t>Revenue Acceleration</t>
        </is>
      </c>
      <c r="C12" s="87" t="n">
        <v>0.15</v>
      </c>
      <c r="D12" s="88" t="n">
        <v>0.2</v>
      </c>
      <c r="E12" s="88" t="n">
        <v>0.1</v>
      </c>
      <c r="F12" s="88" t="n">
        <v>0.1</v>
      </c>
      <c r="G12" s="89" t="n">
        <v>0.15</v>
      </c>
    </row>
    <row r="14" ht="22" customHeight="1">
      <c r="B14" s="16" t="inlineStr">
        <is>
          <t>COMBINED SCORES UNDER EACH PROFILE</t>
        </is>
      </c>
      <c r="C14" s="17" t="n"/>
      <c r="D14" s="17" t="n"/>
      <c r="E14" s="17" t="n"/>
      <c r="F14" s="17" t="n"/>
      <c r="G14" s="17" t="n"/>
      <c r="H14" s="17" t="n"/>
      <c r="I14" s="17" t="n"/>
      <c r="J14" s="17" t="n"/>
      <c r="K14" s="17" t="n"/>
      <c r="L14" s="17" t="n"/>
      <c r="M14" s="17" t="n"/>
    </row>
    <row r="15" ht="18" customHeight="1">
      <c r="B15" s="18" t="inlineStr">
        <is>
          <t>Ticker</t>
        </is>
      </c>
      <c r="C15" s="18" t="inlineStr">
        <is>
          <t>Name</t>
        </is>
      </c>
      <c r="D15" s="18" t="inlineStr">
        <is>
          <t>Tier</t>
        </is>
      </c>
      <c r="E15" s="18" t="inlineStr">
        <is>
          <t>Baseline</t>
        </is>
      </c>
      <c r="F15" s="18" t="inlineStr">
        <is>
          <t>Growth Focus</t>
        </is>
      </c>
      <c r="G15" s="18" t="inlineStr">
        <is>
          <t>Quality Focus</t>
        </is>
      </c>
      <c r="H15" s="18" t="inlineStr">
        <is>
          <t>Insider Focus</t>
        </is>
      </c>
      <c r="I15" s="18" t="inlineStr">
        <is>
          <t>Max Score</t>
        </is>
      </c>
      <c r="J15" s="18" t="inlineStr">
        <is>
          <t>Min Score</t>
        </is>
      </c>
      <c r="K15" s="18" t="inlineStr">
        <is>
          <t>Score Range</t>
        </is>
      </c>
      <c r="L15" s="18" t="inlineStr">
        <is>
          <t>Rank Stability</t>
        </is>
      </c>
    </row>
    <row r="16" ht="16" customHeight="1">
      <c r="B16" s="19" t="inlineStr">
        <is>
          <t>SODI</t>
        </is>
      </c>
      <c r="C16" s="20" t="inlineStr">
        <is>
          <t>Solitron Devices, Inc.</t>
        </is>
      </c>
      <c r="D16" s="47" t="inlineStr">
        <is>
          <t>Nano Cap</t>
        </is>
      </c>
      <c r="E16" s="35" t="n">
        <v>81.3</v>
      </c>
      <c r="F16" s="35" t="n">
        <v>81.3</v>
      </c>
      <c r="G16" s="35" t="n">
        <v>81.3</v>
      </c>
      <c r="H16" s="35" t="n">
        <v>81.3</v>
      </c>
      <c r="I16" s="35" t="n">
        <v>81.3</v>
      </c>
      <c r="J16" s="35" t="n">
        <v>81.3</v>
      </c>
      <c r="K16" s="35" t="n">
        <v>0</v>
      </c>
      <c r="L16" s="90" t="inlineStr">
        <is>
          <t>Stable</t>
        </is>
      </c>
    </row>
    <row r="17" ht="16" customHeight="1">
      <c r="B17" s="26" t="inlineStr">
        <is>
          <t>SCTQ</t>
        </is>
      </c>
      <c r="C17" s="27" t="inlineStr">
        <is>
          <t>Spectra Systems Corporation</t>
        </is>
      </c>
      <c r="D17" s="49" t="inlineStr">
        <is>
          <t>Nano Cap</t>
        </is>
      </c>
      <c r="E17" s="41" t="n">
        <v>78.5</v>
      </c>
      <c r="F17" s="41" t="n">
        <v>76.8</v>
      </c>
      <c r="G17" s="41" t="n">
        <v>80.3</v>
      </c>
      <c r="H17" s="41" t="n">
        <v>80.3</v>
      </c>
      <c r="I17" s="41" t="n">
        <v>80.3</v>
      </c>
      <c r="J17" s="41" t="n">
        <v>76.8</v>
      </c>
      <c r="K17" s="41" t="n">
        <v>3.5</v>
      </c>
      <c r="L17" s="90" t="inlineStr">
        <is>
          <t>Stable</t>
        </is>
      </c>
    </row>
    <row r="18" ht="16" customHeight="1">
      <c r="B18" s="19" t="inlineStr">
        <is>
          <t>KRMN</t>
        </is>
      </c>
      <c r="C18" s="20" t="inlineStr">
        <is>
          <t>Karman Holdings Inc.</t>
        </is>
      </c>
      <c r="D18" s="47" t="inlineStr">
        <is>
          <t>Breakout</t>
        </is>
      </c>
      <c r="E18" s="35" t="n">
        <v>78</v>
      </c>
      <c r="F18" s="35" t="n">
        <v>78</v>
      </c>
      <c r="G18" s="35" t="n">
        <v>78</v>
      </c>
      <c r="H18" s="35" t="n">
        <v>78</v>
      </c>
      <c r="I18" s="35" t="n">
        <v>78</v>
      </c>
      <c r="J18" s="35" t="n">
        <v>78</v>
      </c>
      <c r="K18" s="35" t="n">
        <v>0</v>
      </c>
      <c r="L18" s="90" t="inlineStr">
        <is>
          <t>Stable</t>
        </is>
      </c>
    </row>
    <row r="19" ht="16" customHeight="1">
      <c r="B19" s="26" t="inlineStr">
        <is>
          <t>CLFD</t>
        </is>
      </c>
      <c r="C19" s="27" t="inlineStr">
        <is>
          <t>Clearfield, Inc.</t>
        </is>
      </c>
      <c r="D19" s="49" t="inlineStr">
        <is>
          <t>Small Cap</t>
        </is>
      </c>
      <c r="E19" s="41" t="n">
        <v>76.7</v>
      </c>
      <c r="F19" s="41" t="n">
        <v>73.8</v>
      </c>
      <c r="G19" s="41" t="n">
        <v>79.2</v>
      </c>
      <c r="H19" s="41" t="n">
        <v>80.3</v>
      </c>
      <c r="I19" s="41" t="n">
        <v>80.3</v>
      </c>
      <c r="J19" s="41" t="n">
        <v>73.8</v>
      </c>
      <c r="K19" s="41" t="n">
        <v>6.5</v>
      </c>
      <c r="L19" s="90" t="inlineStr">
        <is>
          <t>Stable</t>
        </is>
      </c>
    </row>
    <row r="20" ht="16" customHeight="1">
      <c r="B20" s="19" t="inlineStr">
        <is>
          <t>TRC</t>
        </is>
      </c>
      <c r="C20" s="20" t="inlineStr">
        <is>
          <t>Tejon Ranch Co.</t>
        </is>
      </c>
      <c r="D20" s="47" t="inlineStr">
        <is>
          <t>Small Cap</t>
        </is>
      </c>
      <c r="E20" s="35" t="n">
        <v>76.40000000000001</v>
      </c>
      <c r="F20" s="35" t="n">
        <v>77.5</v>
      </c>
      <c r="G20" s="35" t="n">
        <v>74.8</v>
      </c>
      <c r="H20" s="35" t="n">
        <v>75.8</v>
      </c>
      <c r="I20" s="35" t="n">
        <v>77.5</v>
      </c>
      <c r="J20" s="35" t="n">
        <v>74.8</v>
      </c>
      <c r="K20" s="35" t="n">
        <v>2.700000000000003</v>
      </c>
      <c r="L20" s="90" t="inlineStr">
        <is>
          <t>Stable</t>
        </is>
      </c>
    </row>
    <row r="21" ht="16" customHeight="1">
      <c r="B21" s="26" t="inlineStr">
        <is>
          <t>RELL</t>
        </is>
      </c>
      <c r="C21" s="27" t="inlineStr">
        <is>
          <t>Richardson Electronics, Ltd.</t>
        </is>
      </c>
      <c r="D21" s="49" t="inlineStr">
        <is>
          <t>Nano Cap</t>
        </is>
      </c>
      <c r="E21" s="41" t="n">
        <v>75.7</v>
      </c>
      <c r="F21" s="41" t="n">
        <v>74.5</v>
      </c>
      <c r="G21" s="41" t="n">
        <v>76.59999999999999</v>
      </c>
      <c r="H21" s="41" t="n">
        <v>77.8</v>
      </c>
      <c r="I21" s="41" t="n">
        <v>77.8</v>
      </c>
      <c r="J21" s="41" t="n">
        <v>74.5</v>
      </c>
      <c r="K21" s="41" t="n">
        <v>3.299999999999997</v>
      </c>
      <c r="L21" s="90" t="inlineStr">
        <is>
          <t>Stable</t>
        </is>
      </c>
    </row>
    <row r="22" ht="16" customHeight="1">
      <c r="B22" s="19" t="inlineStr">
        <is>
          <t>AADX</t>
        </is>
      </c>
      <c r="C22" s="20" t="inlineStr">
        <is>
          <t>Applied Aerospace &amp; Defense, Inc.</t>
        </is>
      </c>
      <c r="D22" s="47" t="inlineStr">
        <is>
          <t>Breakout</t>
        </is>
      </c>
      <c r="E22" s="35" t="n">
        <v>75.09999999999999</v>
      </c>
      <c r="F22" s="35" t="n">
        <v>75.7</v>
      </c>
      <c r="G22" s="35" t="n">
        <v>73.8</v>
      </c>
      <c r="H22" s="35" t="n">
        <v>76.09999999999999</v>
      </c>
      <c r="I22" s="35" t="n">
        <v>76.09999999999999</v>
      </c>
      <c r="J22" s="35" t="n">
        <v>73.8</v>
      </c>
      <c r="K22" s="35" t="n">
        <v>2.299999999999997</v>
      </c>
      <c r="L22" s="90" t="inlineStr">
        <is>
          <t>Stable</t>
        </is>
      </c>
    </row>
    <row r="23" ht="16" customHeight="1">
      <c r="B23" s="26" t="inlineStr">
        <is>
          <t>GLTK</t>
        </is>
      </c>
      <c r="C23" s="27" t="inlineStr">
        <is>
          <t>GlobalTech Corporation</t>
        </is>
      </c>
      <c r="D23" s="49" t="inlineStr">
        <is>
          <t>Nano Cap</t>
        </is>
      </c>
      <c r="E23" s="41" t="n">
        <v>74.59999999999999</v>
      </c>
      <c r="F23" s="41" t="n">
        <v>75.2</v>
      </c>
      <c r="G23" s="41" t="n">
        <v>73.40000000000001</v>
      </c>
      <c r="H23" s="41" t="n">
        <v>74.90000000000001</v>
      </c>
      <c r="I23" s="41" t="n">
        <v>75.2</v>
      </c>
      <c r="J23" s="41" t="n">
        <v>73.40000000000001</v>
      </c>
      <c r="K23" s="41" t="n">
        <v>1.799999999999997</v>
      </c>
      <c r="L23" s="90" t="inlineStr">
        <is>
          <t>Stable</t>
        </is>
      </c>
    </row>
    <row r="24" ht="16" customHeight="1">
      <c r="B24" s="19" t="inlineStr">
        <is>
          <t>INTT</t>
        </is>
      </c>
      <c r="C24" s="20" t="inlineStr">
        <is>
          <t>inTEST Corporation</t>
        </is>
      </c>
      <c r="D24" s="47" t="inlineStr">
        <is>
          <t>Nano Cap</t>
        </is>
      </c>
      <c r="E24" s="35" t="n">
        <v>74.5</v>
      </c>
      <c r="F24" s="35" t="n">
        <v>72.8</v>
      </c>
      <c r="G24" s="35" t="n">
        <v>76.2</v>
      </c>
      <c r="H24" s="35" t="n">
        <v>76.2</v>
      </c>
      <c r="I24" s="35" t="n">
        <v>76.2</v>
      </c>
      <c r="J24" s="35" t="n">
        <v>72.8</v>
      </c>
      <c r="K24" s="35" t="n">
        <v>3.400000000000006</v>
      </c>
      <c r="L24" s="90" t="inlineStr">
        <is>
          <t>Stable</t>
        </is>
      </c>
    </row>
    <row r="25" ht="16" customHeight="1">
      <c r="B25" s="26" t="inlineStr">
        <is>
          <t>AISP</t>
        </is>
      </c>
      <c r="C25" s="27" t="inlineStr">
        <is>
          <t>Airship AI Holdings, Inc.</t>
        </is>
      </c>
      <c r="D25" s="49" t="inlineStr">
        <is>
          <t>Nano Cap</t>
        </is>
      </c>
      <c r="E25" s="41" t="n">
        <v>74.3</v>
      </c>
      <c r="F25" s="41" t="n">
        <v>75.40000000000001</v>
      </c>
      <c r="G25" s="41" t="n">
        <v>73.09999999999999</v>
      </c>
      <c r="H25" s="41" t="n">
        <v>74.3</v>
      </c>
      <c r="I25" s="41" t="n">
        <v>75.40000000000001</v>
      </c>
      <c r="J25" s="41" t="n">
        <v>73.09999999999999</v>
      </c>
      <c r="K25" s="41" t="n">
        <v>2.300000000000011</v>
      </c>
      <c r="L25" s="90" t="inlineStr">
        <is>
          <t>Stable</t>
        </is>
      </c>
    </row>
    <row r="26" ht="16" customHeight="1">
      <c r="B26" s="19" t="inlineStr">
        <is>
          <t>MRAM</t>
        </is>
      </c>
      <c r="C26" s="20" t="inlineStr">
        <is>
          <t>Everspin Technologies, Inc.</t>
        </is>
      </c>
      <c r="D26" s="47" t="inlineStr">
        <is>
          <t>Small Cap</t>
        </is>
      </c>
      <c r="E26" s="35" t="n">
        <v>73.90000000000001</v>
      </c>
      <c r="F26" s="35" t="n">
        <v>73.90000000000001</v>
      </c>
      <c r="G26" s="35" t="n">
        <v>73.90000000000001</v>
      </c>
      <c r="H26" s="35" t="n">
        <v>74.5</v>
      </c>
      <c r="I26" s="35" t="n">
        <v>74.5</v>
      </c>
      <c r="J26" s="35" t="n">
        <v>73.90000000000001</v>
      </c>
      <c r="K26" s="35" t="n">
        <v>0.5999999999999943</v>
      </c>
      <c r="L26" s="90" t="inlineStr">
        <is>
          <t>Stable</t>
        </is>
      </c>
    </row>
    <row r="27" ht="16" customHeight="1">
      <c r="B27" s="26" t="inlineStr">
        <is>
          <t>MPWR</t>
        </is>
      </c>
      <c r="C27" s="27" t="inlineStr">
        <is>
          <t>Monolithic Power Systems, Inc.</t>
        </is>
      </c>
      <c r="D27" s="49" t="inlineStr">
        <is>
          <t>Vital Link</t>
        </is>
      </c>
      <c r="E27" s="41" t="n">
        <v>73.5</v>
      </c>
      <c r="F27" s="41" t="n">
        <v>74.3</v>
      </c>
      <c r="G27" s="41" t="n">
        <v>73.90000000000001</v>
      </c>
      <c r="H27" s="41" t="n">
        <v>69.40000000000001</v>
      </c>
      <c r="I27" s="41" t="n">
        <v>74.3</v>
      </c>
      <c r="J27" s="41" t="n">
        <v>69.40000000000001</v>
      </c>
      <c r="K27" s="41" t="n">
        <v>4.899999999999991</v>
      </c>
      <c r="L27" s="90" t="inlineStr">
        <is>
          <t>Stable</t>
        </is>
      </c>
    </row>
    <row r="28" ht="16" customHeight="1">
      <c r="B28" s="19" t="inlineStr">
        <is>
          <t>GLOO</t>
        </is>
      </c>
      <c r="C28" s="20" t="inlineStr">
        <is>
          <t>Gloo Holdings, Inc.</t>
        </is>
      </c>
      <c r="D28" s="47" t="inlineStr">
        <is>
          <t>Nano Cap</t>
        </is>
      </c>
      <c r="E28" s="35" t="n">
        <v>73</v>
      </c>
      <c r="F28" s="35" t="n">
        <v>73.3</v>
      </c>
      <c r="G28" s="35" t="n">
        <v>72.3</v>
      </c>
      <c r="H28" s="35" t="n">
        <v>73.3</v>
      </c>
      <c r="I28" s="35" t="n">
        <v>73.3</v>
      </c>
      <c r="J28" s="35" t="n">
        <v>72.3</v>
      </c>
      <c r="K28" s="35" t="n">
        <v>1</v>
      </c>
      <c r="L28" s="90" t="inlineStr">
        <is>
          <t>Stable</t>
        </is>
      </c>
    </row>
    <row r="29" ht="16" customHeight="1">
      <c r="B29" s="26" t="inlineStr">
        <is>
          <t>VSH</t>
        </is>
      </c>
      <c r="C29" s="27" t="inlineStr">
        <is>
          <t>Vishay Intertechnology, Inc.</t>
        </is>
      </c>
      <c r="D29" s="49" t="inlineStr">
        <is>
          <t>Breakout</t>
        </is>
      </c>
      <c r="E29" s="41" t="n">
        <v>73</v>
      </c>
      <c r="F29" s="41" t="n">
        <v>73.8</v>
      </c>
      <c r="G29" s="41" t="n">
        <v>71.59999999999999</v>
      </c>
      <c r="H29" s="41" t="n">
        <v>73.8</v>
      </c>
      <c r="I29" s="41" t="n">
        <v>73.8</v>
      </c>
      <c r="J29" s="41" t="n">
        <v>71.59999999999999</v>
      </c>
      <c r="K29" s="41" t="n">
        <v>2.200000000000003</v>
      </c>
      <c r="L29" s="90" t="inlineStr">
        <is>
          <t>Stable</t>
        </is>
      </c>
    </row>
    <row r="30" ht="16" customHeight="1">
      <c r="B30" s="19" t="inlineStr">
        <is>
          <t>VPG</t>
        </is>
      </c>
      <c r="C30" s="20" t="inlineStr">
        <is>
          <t>Vishay Precision Group, Inc.</t>
        </is>
      </c>
      <c r="D30" s="47" t="inlineStr">
        <is>
          <t>Small Cap</t>
        </is>
      </c>
      <c r="E30" s="35" t="n">
        <v>72.90000000000001</v>
      </c>
      <c r="F30" s="35" t="n">
        <v>72.90000000000001</v>
      </c>
      <c r="G30" s="35" t="n">
        <v>72.8</v>
      </c>
      <c r="H30" s="35" t="n">
        <v>72.90000000000001</v>
      </c>
      <c r="I30" s="35" t="n">
        <v>72.90000000000001</v>
      </c>
      <c r="J30" s="35" t="n">
        <v>72.8</v>
      </c>
      <c r="K30" s="35" t="n">
        <v>0.1000000000000085</v>
      </c>
      <c r="L30" s="90" t="inlineStr">
        <is>
          <t>Stable</t>
        </is>
      </c>
    </row>
    <row r="31" ht="16" customHeight="1">
      <c r="B31" s="26" t="inlineStr">
        <is>
          <t>RUN</t>
        </is>
      </c>
      <c r="C31" s="27" t="inlineStr">
        <is>
          <t>Sunrun Inc.</t>
        </is>
      </c>
      <c r="D31" s="49" t="inlineStr">
        <is>
          <t>Breakout</t>
        </is>
      </c>
      <c r="E31" s="41" t="n">
        <v>72.8</v>
      </c>
      <c r="F31" s="41" t="n">
        <v>74.40000000000001</v>
      </c>
      <c r="G31" s="41" t="n">
        <v>72.3</v>
      </c>
      <c r="H31" s="41" t="n">
        <v>68.40000000000001</v>
      </c>
      <c r="I31" s="41" t="n">
        <v>74.40000000000001</v>
      </c>
      <c r="J31" s="41" t="n">
        <v>68.40000000000001</v>
      </c>
      <c r="K31" s="41" t="n">
        <v>6</v>
      </c>
      <c r="L31" s="90" t="inlineStr">
        <is>
          <t>Stable</t>
        </is>
      </c>
    </row>
    <row r="32" ht="16" customHeight="1">
      <c r="B32" s="19" t="inlineStr">
        <is>
          <t>ROC</t>
        </is>
      </c>
      <c r="C32" s="20" t="inlineStr">
        <is>
          <t>Rank One Computing Corp.</t>
        </is>
      </c>
      <c r="D32" s="47" t="inlineStr">
        <is>
          <t>Nano Cap</t>
        </is>
      </c>
      <c r="E32" s="35" t="n">
        <v>72.7</v>
      </c>
      <c r="F32" s="35" t="n">
        <v>70.90000000000001</v>
      </c>
      <c r="G32" s="35" t="n">
        <v>74.40000000000001</v>
      </c>
      <c r="H32" s="35" t="n">
        <v>74.40000000000001</v>
      </c>
      <c r="I32" s="35" t="n">
        <v>74.40000000000001</v>
      </c>
      <c r="J32" s="35" t="n">
        <v>70.90000000000001</v>
      </c>
      <c r="K32" s="35" t="n">
        <v>3.5</v>
      </c>
      <c r="L32" s="90" t="inlineStr">
        <is>
          <t>Stable</t>
        </is>
      </c>
    </row>
    <row r="33" ht="16" customHeight="1">
      <c r="B33" s="26" t="inlineStr">
        <is>
          <t>CDRE</t>
        </is>
      </c>
      <c r="C33" s="27" t="inlineStr">
        <is>
          <t>Cadre Holdings, Inc.</t>
        </is>
      </c>
      <c r="D33" s="49" t="inlineStr">
        <is>
          <t>Small Cap</t>
        </is>
      </c>
      <c r="E33" s="41" t="n">
        <v>72.2</v>
      </c>
      <c r="F33" s="41" t="n">
        <v>71.5</v>
      </c>
      <c r="G33" s="41" t="n">
        <v>72.8</v>
      </c>
      <c r="H33" s="41" t="n">
        <v>73.5</v>
      </c>
      <c r="I33" s="41" t="n">
        <v>73.5</v>
      </c>
      <c r="J33" s="41" t="n">
        <v>71.5</v>
      </c>
      <c r="K33" s="41" t="n">
        <v>2</v>
      </c>
      <c r="L33" s="90" t="inlineStr">
        <is>
          <t>Stable</t>
        </is>
      </c>
    </row>
    <row r="34" ht="16" customHeight="1">
      <c r="B34" s="19" t="inlineStr">
        <is>
          <t>ELMT</t>
        </is>
      </c>
      <c r="C34" s="20" t="inlineStr">
        <is>
          <t>Elmet Group Co.</t>
        </is>
      </c>
      <c r="D34" s="47" t="inlineStr">
        <is>
          <t>Small Cap</t>
        </is>
      </c>
      <c r="E34" s="35" t="n">
        <v>72.09999999999999</v>
      </c>
      <c r="F34" s="35" t="n">
        <v>70.5</v>
      </c>
      <c r="G34" s="35" t="n">
        <v>73</v>
      </c>
      <c r="H34" s="35" t="n">
        <v>74.90000000000001</v>
      </c>
      <c r="I34" s="35" t="n">
        <v>74.90000000000001</v>
      </c>
      <c r="J34" s="35" t="n">
        <v>70.5</v>
      </c>
      <c r="K34" s="35" t="n">
        <v>4.400000000000006</v>
      </c>
      <c r="L34" s="90" t="inlineStr">
        <is>
          <t>Stable</t>
        </is>
      </c>
    </row>
    <row r="35" ht="16" customHeight="1">
      <c r="B35" s="26" t="inlineStr">
        <is>
          <t>ESI</t>
        </is>
      </c>
      <c r="C35" s="27" t="inlineStr">
        <is>
          <t>Element Solutions Inc</t>
        </is>
      </c>
      <c r="D35" s="49" t="inlineStr">
        <is>
          <t>Breakout</t>
        </is>
      </c>
      <c r="E35" s="41" t="n">
        <v>71.90000000000001</v>
      </c>
      <c r="F35" s="41" t="n">
        <v>72.90000000000001</v>
      </c>
      <c r="G35" s="41" t="n">
        <v>71.40000000000001</v>
      </c>
      <c r="H35" s="41" t="n">
        <v>69.3</v>
      </c>
      <c r="I35" s="41" t="n">
        <v>72.90000000000001</v>
      </c>
      <c r="J35" s="41" t="n">
        <v>69.3</v>
      </c>
      <c r="K35" s="41" t="n">
        <v>3.600000000000009</v>
      </c>
      <c r="L35" s="90" t="inlineStr">
        <is>
          <t>Stable</t>
        </is>
      </c>
    </row>
    <row r="36" ht="16" customHeight="1">
      <c r="B36" s="19" t="inlineStr">
        <is>
          <t>SWBI</t>
        </is>
      </c>
      <c r="C36" s="20" t="inlineStr">
        <is>
          <t>Smith &amp; Wesson Brands, Inc.</t>
        </is>
      </c>
      <c r="D36" s="47" t="inlineStr">
        <is>
          <t>Small Cap</t>
        </is>
      </c>
      <c r="E36" s="35" t="n">
        <v>71.40000000000001</v>
      </c>
      <c r="F36" s="35" t="n">
        <v>71.8</v>
      </c>
      <c r="G36" s="35" t="n">
        <v>71.7</v>
      </c>
      <c r="H36" s="35" t="n">
        <v>68.5</v>
      </c>
      <c r="I36" s="35" t="n">
        <v>71.8</v>
      </c>
      <c r="J36" s="35" t="n">
        <v>68.5</v>
      </c>
      <c r="K36" s="35" t="n">
        <v>3.299999999999997</v>
      </c>
      <c r="L36" s="90" t="inlineStr">
        <is>
          <t>Stable</t>
        </is>
      </c>
    </row>
    <row r="37" ht="16" customHeight="1">
      <c r="B37" s="26" t="inlineStr">
        <is>
          <t>BETA</t>
        </is>
      </c>
      <c r="C37" s="27" t="inlineStr">
        <is>
          <t>BETA Technologies, Inc.</t>
        </is>
      </c>
      <c r="D37" s="49" t="inlineStr">
        <is>
          <t>Breakout</t>
        </is>
      </c>
      <c r="E37" s="41" t="n">
        <v>71.3</v>
      </c>
      <c r="F37" s="41" t="n">
        <v>69.59999999999999</v>
      </c>
      <c r="G37" s="41" t="n">
        <v>73.09999999999999</v>
      </c>
      <c r="H37" s="41" t="n">
        <v>73.09999999999999</v>
      </c>
      <c r="I37" s="41" t="n">
        <v>73.09999999999999</v>
      </c>
      <c r="J37" s="41" t="n">
        <v>69.59999999999999</v>
      </c>
      <c r="K37" s="41" t="n">
        <v>3.5</v>
      </c>
      <c r="L37" s="90" t="inlineStr">
        <is>
          <t>Stable</t>
        </is>
      </c>
    </row>
    <row r="38" ht="16" customHeight="1">
      <c r="B38" s="19" t="inlineStr">
        <is>
          <t>LASR</t>
        </is>
      </c>
      <c r="C38" s="20" t="inlineStr">
        <is>
          <t>nLIGHT, Inc.</t>
        </is>
      </c>
      <c r="D38" s="47" t="inlineStr">
        <is>
          <t>Breakout</t>
        </is>
      </c>
      <c r="E38" s="35" t="n">
        <v>70.7</v>
      </c>
      <c r="F38" s="35" t="n">
        <v>71.40000000000001</v>
      </c>
      <c r="G38" s="35" t="n">
        <v>70.09999999999999</v>
      </c>
      <c r="H38" s="35" t="n">
        <v>70.09999999999999</v>
      </c>
      <c r="I38" s="35" t="n">
        <v>71.40000000000001</v>
      </c>
      <c r="J38" s="35" t="n">
        <v>70.09999999999999</v>
      </c>
      <c r="K38" s="35" t="n">
        <v>1.300000000000011</v>
      </c>
      <c r="L38" s="90" t="inlineStr">
        <is>
          <t>Stable</t>
        </is>
      </c>
    </row>
    <row r="39" ht="16" customHeight="1">
      <c r="B39" s="26" t="inlineStr">
        <is>
          <t>LTRX</t>
        </is>
      </c>
      <c r="C39" s="27" t="inlineStr">
        <is>
          <t>Lantronix, Inc.</t>
        </is>
      </c>
      <c r="D39" s="49" t="inlineStr">
        <is>
          <t>Nano Cap</t>
        </is>
      </c>
      <c r="E39" s="41" t="n">
        <v>70.59999999999999</v>
      </c>
      <c r="F39" s="41" t="n">
        <v>68.3</v>
      </c>
      <c r="G39" s="41" t="n">
        <v>72.90000000000001</v>
      </c>
      <c r="H39" s="41" t="n">
        <v>73.59999999999999</v>
      </c>
      <c r="I39" s="41" t="n">
        <v>73.59999999999999</v>
      </c>
      <c r="J39" s="41" t="n">
        <v>68.3</v>
      </c>
      <c r="K39" s="41" t="n">
        <v>5.299999999999997</v>
      </c>
      <c r="L39" s="90" t="inlineStr">
        <is>
          <t>Stable</t>
        </is>
      </c>
    </row>
    <row r="40" ht="16" customHeight="1">
      <c r="B40" s="19" t="inlineStr">
        <is>
          <t>AVEX</t>
        </is>
      </c>
      <c r="C40" s="20" t="inlineStr">
        <is>
          <t>Aevex Corp.</t>
        </is>
      </c>
      <c r="D40" s="47" t="inlineStr">
        <is>
          <t>Small Cap</t>
        </is>
      </c>
      <c r="E40" s="35" t="n">
        <v>70.59999999999999</v>
      </c>
      <c r="F40" s="35" t="n">
        <v>70</v>
      </c>
      <c r="G40" s="35" t="n">
        <v>70.40000000000001</v>
      </c>
      <c r="H40" s="35" t="n">
        <v>73</v>
      </c>
      <c r="I40" s="35" t="n">
        <v>73</v>
      </c>
      <c r="J40" s="35" t="n">
        <v>70</v>
      </c>
      <c r="K40" s="35" t="n">
        <v>3</v>
      </c>
      <c r="L40" s="90" t="inlineStr">
        <is>
          <t>Stable</t>
        </is>
      </c>
    </row>
    <row r="41" ht="16" customHeight="1">
      <c r="B41" s="26" t="inlineStr">
        <is>
          <t>QUIK</t>
        </is>
      </c>
      <c r="C41" s="27" t="inlineStr">
        <is>
          <t>QuickLogic Corporation</t>
        </is>
      </c>
      <c r="D41" s="49" t="inlineStr">
        <is>
          <t>Nano Cap</t>
        </is>
      </c>
      <c r="E41" s="41" t="n">
        <v>70.2</v>
      </c>
      <c r="F41" s="41" t="n">
        <v>72.40000000000001</v>
      </c>
      <c r="G41" s="41" t="n">
        <v>68.59999999999999</v>
      </c>
      <c r="H41" s="41" t="n">
        <v>67.40000000000001</v>
      </c>
      <c r="I41" s="41" t="n">
        <v>72.40000000000001</v>
      </c>
      <c r="J41" s="41" t="n">
        <v>67.40000000000001</v>
      </c>
      <c r="K41" s="41" t="n">
        <v>5</v>
      </c>
      <c r="L41" s="90" t="inlineStr">
        <is>
          <t>Stable</t>
        </is>
      </c>
    </row>
    <row r="42" ht="16" customHeight="1">
      <c r="B42" s="19" t="inlineStr">
        <is>
          <t>MCHP</t>
        </is>
      </c>
      <c r="C42" s="20" t="inlineStr">
        <is>
          <t>Microchip Technology Incorporated</t>
        </is>
      </c>
      <c r="D42" s="47" t="inlineStr">
        <is>
          <t>Vital Link</t>
        </is>
      </c>
      <c r="E42" s="35" t="n">
        <v>70</v>
      </c>
      <c r="F42" s="35" t="n">
        <v>70.59999999999999</v>
      </c>
      <c r="G42" s="35" t="n">
        <v>70.8</v>
      </c>
      <c r="H42" s="35" t="n">
        <v>65.2</v>
      </c>
      <c r="I42" s="35" t="n">
        <v>70.8</v>
      </c>
      <c r="J42" s="35" t="n">
        <v>65.2</v>
      </c>
      <c r="K42" s="35" t="n">
        <v>5.599999999999994</v>
      </c>
      <c r="L42" s="90" t="inlineStr">
        <is>
          <t>Stable</t>
        </is>
      </c>
    </row>
    <row r="43" ht="16" customHeight="1">
      <c r="B43" s="26" t="inlineStr">
        <is>
          <t>PKE</t>
        </is>
      </c>
      <c r="C43" s="27" t="inlineStr">
        <is>
          <t>Park Aerospace Corp.</t>
        </is>
      </c>
      <c r="D43" s="49" t="inlineStr">
        <is>
          <t>Small Cap</t>
        </is>
      </c>
      <c r="E43" s="41" t="n">
        <v>69.90000000000001</v>
      </c>
      <c r="F43" s="41" t="n">
        <v>67.8</v>
      </c>
      <c r="G43" s="41" t="n">
        <v>72.09999999999999</v>
      </c>
      <c r="H43" s="41" t="n">
        <v>71.5</v>
      </c>
      <c r="I43" s="41" t="n">
        <v>72.09999999999999</v>
      </c>
      <c r="J43" s="41" t="n">
        <v>67.8</v>
      </c>
      <c r="K43" s="41" t="n">
        <v>4.299999999999997</v>
      </c>
      <c r="L43" s="90" t="inlineStr">
        <is>
          <t>Stable</t>
        </is>
      </c>
    </row>
    <row r="44" ht="16" customHeight="1">
      <c r="B44" s="19" t="inlineStr">
        <is>
          <t>HEI</t>
        </is>
      </c>
      <c r="C44" s="20" t="inlineStr">
        <is>
          <t>HEICO Corporation</t>
        </is>
      </c>
      <c r="D44" s="47" t="inlineStr">
        <is>
          <t>Vital Link</t>
        </is>
      </c>
      <c r="E44" s="35" t="n">
        <v>69.90000000000001</v>
      </c>
      <c r="F44" s="35" t="n">
        <v>67.5</v>
      </c>
      <c r="G44" s="35" t="n">
        <v>72.40000000000001</v>
      </c>
      <c r="H44" s="35" t="n">
        <v>72.40000000000001</v>
      </c>
      <c r="I44" s="35" t="n">
        <v>72.40000000000001</v>
      </c>
      <c r="J44" s="35" t="n">
        <v>67.5</v>
      </c>
      <c r="K44" s="35" t="n">
        <v>4.900000000000006</v>
      </c>
      <c r="L44" s="90" t="inlineStr">
        <is>
          <t>Stable</t>
        </is>
      </c>
    </row>
    <row r="45" ht="16" customHeight="1">
      <c r="B45" s="26" t="inlineStr">
        <is>
          <t>CALX</t>
        </is>
      </c>
      <c r="C45" s="27" t="inlineStr">
        <is>
          <t>Calix, Inc.</t>
        </is>
      </c>
      <c r="D45" s="49" t="inlineStr">
        <is>
          <t>Breakout</t>
        </is>
      </c>
      <c r="E45" s="41" t="n">
        <v>69.8</v>
      </c>
      <c r="F45" s="41" t="n">
        <v>67</v>
      </c>
      <c r="G45" s="41" t="n">
        <v>72.7</v>
      </c>
      <c r="H45" s="41" t="n">
        <v>72.40000000000001</v>
      </c>
      <c r="I45" s="41" t="n">
        <v>72.7</v>
      </c>
      <c r="J45" s="41" t="n">
        <v>67</v>
      </c>
      <c r="K45" s="41" t="n">
        <v>5.700000000000003</v>
      </c>
      <c r="L45" s="90" t="inlineStr">
        <is>
          <t>Stable</t>
        </is>
      </c>
    </row>
    <row r="46" ht="16" customHeight="1">
      <c r="B46" s="19" t="inlineStr">
        <is>
          <t>IPGP</t>
        </is>
      </c>
      <c r="C46" s="20" t="inlineStr">
        <is>
          <t>IPG Photonics Corporation</t>
        </is>
      </c>
      <c r="D46" s="47" t="inlineStr">
        <is>
          <t>Breakout</t>
        </is>
      </c>
      <c r="E46" s="35" t="n">
        <v>68.7</v>
      </c>
      <c r="F46" s="35" t="n">
        <v>65.7</v>
      </c>
      <c r="G46" s="35" t="n">
        <v>71.7</v>
      </c>
      <c r="H46" s="35" t="n">
        <v>71.7</v>
      </c>
      <c r="I46" s="35" t="n">
        <v>71.7</v>
      </c>
      <c r="J46" s="35" t="n">
        <v>65.7</v>
      </c>
      <c r="K46" s="35" t="n">
        <v>6</v>
      </c>
      <c r="L46" s="90" t="inlineStr">
        <is>
          <t>Stable</t>
        </is>
      </c>
    </row>
    <row r="47" ht="16" customHeight="1">
      <c r="B47" s="26" t="inlineStr">
        <is>
          <t>KD</t>
        </is>
      </c>
      <c r="C47" s="27" t="inlineStr">
        <is>
          <t>Kyndryl Holdings, Inc.</t>
        </is>
      </c>
      <c r="D47" s="49" t="inlineStr">
        <is>
          <t>Breakout</t>
        </is>
      </c>
      <c r="E47" s="41" t="n">
        <v>68.59999999999999</v>
      </c>
      <c r="F47" s="41" t="n">
        <v>69.8</v>
      </c>
      <c r="G47" s="41" t="n">
        <v>67</v>
      </c>
      <c r="H47" s="41" t="n">
        <v>67.59999999999999</v>
      </c>
      <c r="I47" s="41" t="n">
        <v>69.8</v>
      </c>
      <c r="J47" s="41" t="n">
        <v>67</v>
      </c>
      <c r="K47" s="41" t="n">
        <v>2.799999999999997</v>
      </c>
      <c r="L47" s="90" t="inlineStr">
        <is>
          <t>Stable</t>
        </is>
      </c>
    </row>
    <row r="48" ht="16" customHeight="1">
      <c r="B48" s="19" t="inlineStr">
        <is>
          <t>UI</t>
        </is>
      </c>
      <c r="C48" s="20" t="inlineStr">
        <is>
          <t>Ubiquiti Inc.</t>
        </is>
      </c>
      <c r="D48" s="47" t="inlineStr">
        <is>
          <t>Vital Link</t>
        </is>
      </c>
      <c r="E48" s="35" t="n">
        <v>68.59999999999999</v>
      </c>
      <c r="F48" s="35" t="n">
        <v>65</v>
      </c>
      <c r="G48" s="35" t="n">
        <v>72.2</v>
      </c>
      <c r="H48" s="35" t="n">
        <v>72.2</v>
      </c>
      <c r="I48" s="35" t="n">
        <v>72.2</v>
      </c>
      <c r="J48" s="35" t="n">
        <v>65</v>
      </c>
      <c r="K48" s="35" t="n">
        <v>7.200000000000003</v>
      </c>
      <c r="L48" s="90" t="inlineStr">
        <is>
          <t>Stable</t>
        </is>
      </c>
    </row>
    <row r="49" ht="16" customHeight="1">
      <c r="B49" s="26" t="inlineStr">
        <is>
          <t>EVLV</t>
        </is>
      </c>
      <c r="C49" s="27" t="inlineStr">
        <is>
          <t>Evolv Technologies Holdings, Inc.</t>
        </is>
      </c>
      <c r="D49" s="49" t="inlineStr">
        <is>
          <t>Small Cap</t>
        </is>
      </c>
      <c r="E49" s="41" t="n">
        <v>68.40000000000001</v>
      </c>
      <c r="F49" s="41" t="n">
        <v>68.59999999999999</v>
      </c>
      <c r="G49" s="41" t="n">
        <v>69</v>
      </c>
      <c r="H49" s="41" t="n">
        <v>66.7</v>
      </c>
      <c r="I49" s="41" t="n">
        <v>69</v>
      </c>
      <c r="J49" s="41" t="n">
        <v>66.7</v>
      </c>
      <c r="K49" s="41" t="n">
        <v>2.299999999999997</v>
      </c>
      <c r="L49" s="90" t="inlineStr">
        <is>
          <t>Stable</t>
        </is>
      </c>
    </row>
    <row r="50" ht="16" customHeight="1">
      <c r="B50" s="19" t="inlineStr">
        <is>
          <t>RBC</t>
        </is>
      </c>
      <c r="C50" s="20" t="inlineStr">
        <is>
          <t>RBC Bearings Incorporated</t>
        </is>
      </c>
      <c r="D50" s="47" t="inlineStr">
        <is>
          <t>Vital Link</t>
        </is>
      </c>
      <c r="E50" s="35" t="n">
        <v>66.90000000000001</v>
      </c>
      <c r="F50" s="35" t="n">
        <v>64.90000000000001</v>
      </c>
      <c r="G50" s="35" t="n">
        <v>69.09999999999999</v>
      </c>
      <c r="H50" s="35" t="n">
        <v>68.8</v>
      </c>
      <c r="I50" s="35" t="n">
        <v>69.09999999999999</v>
      </c>
      <c r="J50" s="35" t="n">
        <v>64.90000000000001</v>
      </c>
      <c r="K50" s="35" t="n">
        <v>4.199999999999989</v>
      </c>
      <c r="L50" s="90" t="inlineStr">
        <is>
          <t>Stable</t>
        </is>
      </c>
    </row>
    <row r="51" ht="16" customHeight="1">
      <c r="B51" s="26" t="inlineStr">
        <is>
          <t>HWM</t>
        </is>
      </c>
      <c r="C51" s="27" t="inlineStr">
        <is>
          <t>Howmet Aerospace Inc.</t>
        </is>
      </c>
      <c r="D51" s="49" t="inlineStr">
        <is>
          <t>Vital Link</t>
        </is>
      </c>
      <c r="E51" s="41" t="n">
        <v>64.2</v>
      </c>
      <c r="F51" s="41" t="n">
        <v>63.9</v>
      </c>
      <c r="G51" s="41" t="n">
        <v>66</v>
      </c>
      <c r="H51" s="41" t="n">
        <v>60</v>
      </c>
      <c r="I51" s="41" t="n">
        <v>66</v>
      </c>
      <c r="J51" s="41" t="n">
        <v>60</v>
      </c>
      <c r="K51" s="41" t="n">
        <v>6</v>
      </c>
      <c r="L51" s="90" t="inlineStr">
        <is>
          <t>Stable</t>
        </is>
      </c>
    </row>
    <row r="52" ht="16" customHeight="1">
      <c r="B52" s="19" t="inlineStr">
        <is>
          <t>AXON</t>
        </is>
      </c>
      <c r="C52" s="20" t="inlineStr">
        <is>
          <t>Axon Enterprise, Inc.</t>
        </is>
      </c>
      <c r="D52" s="47" t="inlineStr">
        <is>
          <t>Vital Link</t>
        </is>
      </c>
      <c r="E52" s="35" t="n">
        <v>63.8</v>
      </c>
      <c r="F52" s="35" t="n">
        <v>62.9</v>
      </c>
      <c r="G52" s="35" t="n">
        <v>65.40000000000001</v>
      </c>
      <c r="H52" s="35" t="n">
        <v>62.6</v>
      </c>
      <c r="I52" s="35" t="n">
        <v>65.40000000000001</v>
      </c>
      <c r="J52" s="35" t="n">
        <v>62.6</v>
      </c>
      <c r="K52" s="35" t="n">
        <v>2.800000000000004</v>
      </c>
      <c r="L52" s="90" t="inlineStr">
        <is>
          <t>Stable</t>
        </is>
      </c>
    </row>
    <row r="53" ht="16" customHeight="1">
      <c r="B53" s="26" t="inlineStr">
        <is>
          <t>TDG</t>
        </is>
      </c>
      <c r="C53" s="27" t="inlineStr">
        <is>
          <t>TransDigm Group Incorporated</t>
        </is>
      </c>
      <c r="D53" s="49" t="inlineStr">
        <is>
          <t>Vital Link</t>
        </is>
      </c>
      <c r="E53" s="41" t="n">
        <v>63.6</v>
      </c>
      <c r="F53" s="41" t="n">
        <v>62.9</v>
      </c>
      <c r="G53" s="41" t="n">
        <v>65.8</v>
      </c>
      <c r="H53" s="41" t="n">
        <v>59.7</v>
      </c>
      <c r="I53" s="41" t="n">
        <v>65.8</v>
      </c>
      <c r="J53" s="41" t="n">
        <v>59.7</v>
      </c>
      <c r="K53" s="41" t="n">
        <v>6.099999999999994</v>
      </c>
      <c r="L53" s="90" t="inlineStr">
        <is>
          <t>Stable</t>
        </is>
      </c>
    </row>
    <row r="54" ht="16" customHeight="1">
      <c r="B54" s="19" t="inlineStr">
        <is>
          <t>FTAI</t>
        </is>
      </c>
      <c r="C54" s="20" t="inlineStr">
        <is>
          <t>FTAI Aviation Ltd.</t>
        </is>
      </c>
      <c r="D54" s="47" t="inlineStr">
        <is>
          <t>Vital Link</t>
        </is>
      </c>
      <c r="E54" s="35" t="n">
        <v>63.6</v>
      </c>
      <c r="F54" s="35" t="n">
        <v>63.4</v>
      </c>
      <c r="G54" s="35" t="n">
        <v>64.90000000000001</v>
      </c>
      <c r="H54" s="35" t="n">
        <v>59.6</v>
      </c>
      <c r="I54" s="35" t="n">
        <v>64.90000000000001</v>
      </c>
      <c r="J54" s="35" t="n">
        <v>59.6</v>
      </c>
      <c r="K54" s="35" t="n">
        <v>5.300000000000004</v>
      </c>
      <c r="L54" s="90" t="inlineStr">
        <is>
          <t>Stable</t>
        </is>
      </c>
    </row>
    <row r="55" ht="16" customHeight="1">
      <c r="B55" s="26" t="inlineStr">
        <is>
          <t>TDY</t>
        </is>
      </c>
      <c r="C55" s="27" t="inlineStr">
        <is>
          <t>Teledyne Technologies Incorporated</t>
        </is>
      </c>
      <c r="D55" s="49" t="inlineStr">
        <is>
          <t>Vital Link</t>
        </is>
      </c>
      <c r="E55" s="41" t="n">
        <v>63.2</v>
      </c>
      <c r="F55" s="41" t="n">
        <v>61</v>
      </c>
      <c r="G55" s="41" t="n">
        <v>66.90000000000001</v>
      </c>
      <c r="H55" s="41" t="n">
        <v>60.5</v>
      </c>
      <c r="I55" s="41" t="n">
        <v>66.90000000000001</v>
      </c>
      <c r="J55" s="41" t="n">
        <v>60.5</v>
      </c>
      <c r="K55" s="41" t="n">
        <v>6.400000000000006</v>
      </c>
      <c r="L55" s="90" t="inlineStr">
        <is>
          <t>Stable</t>
        </is>
      </c>
    </row>
    <row r="57">
      <c r="B57" s="91" t="inlineStr">
        <is>
          <t>Note: Stocks with high Score Range are ranking artifacts — their attractiveness depends heavily on your investment philosophy.</t>
        </is>
      </c>
    </row>
    <row r="59" ht="22" customHeight="1">
      <c r="B59" s="16" t="inlineStr">
        <is>
          <t>TORNADO ANALYSIS — SODI (Score Impact of ±10% Weight Changes)</t>
        </is>
      </c>
      <c r="C59" s="17" t="n"/>
      <c r="D59" s="17" t="n"/>
      <c r="E59" s="17" t="n"/>
      <c r="F59" s="17" t="n"/>
      <c r="G59" s="17" t="n"/>
      <c r="H59" s="17" t="n"/>
      <c r="I59" s="17" t="n"/>
      <c r="J59" s="17" t="n"/>
      <c r="K59" s="17" t="n"/>
      <c r="L59" s="17" t="n"/>
      <c r="M59" s="17" t="n"/>
    </row>
    <row r="60" ht="18" customHeight="1">
      <c r="B60" s="18" t="inlineStr">
        <is>
          <t>Component</t>
        </is>
      </c>
      <c r="C60" s="18" t="inlineStr">
        <is>
          <t>−10% Impact</t>
        </is>
      </c>
      <c r="D60" s="18" t="inlineStr">
        <is>
          <t>+10% Impact</t>
        </is>
      </c>
    </row>
    <row r="61" ht="16" customHeight="1">
      <c r="B61" s="20" t="inlineStr">
        <is>
          <t>Rev Growth</t>
        </is>
      </c>
      <c r="C61" s="92" t="n">
        <v>0</v>
      </c>
      <c r="D61" s="92" t="n">
        <v>0</v>
      </c>
    </row>
    <row r="62" ht="16" customHeight="1">
      <c r="B62" s="27" t="inlineStr">
        <is>
          <t>Gross Margin</t>
        </is>
      </c>
      <c r="C62" s="93" t="n">
        <v>0</v>
      </c>
      <c r="D62" s="93" t="n">
        <v>0</v>
      </c>
    </row>
    <row r="63" ht="16" customHeight="1">
      <c r="B63" s="20" t="inlineStr">
        <is>
          <t>Dilution</t>
        </is>
      </c>
      <c r="C63" s="92" t="n">
        <v>0</v>
      </c>
      <c r="D63" s="92" t="n">
        <v>0</v>
      </c>
    </row>
    <row r="64" ht="16" customHeight="1">
      <c r="B64" s="27" t="inlineStr">
        <is>
          <t>Insider Own</t>
        </is>
      </c>
      <c r="C64" s="93" t="n">
        <v>0</v>
      </c>
      <c r="D64" s="93" t="n">
        <v>0</v>
      </c>
    </row>
    <row r="65" ht="16" customHeight="1">
      <c r="B65" s="20" t="inlineStr">
        <is>
          <t>Acceleration</t>
        </is>
      </c>
      <c r="C65" s="92" t="n">
        <v>0</v>
      </c>
      <c r="D65" s="92" t="n">
        <v>0</v>
      </c>
    </row>
  </sheetData>
  <mergeCells count="6">
    <mergeCell ref="A1:M1"/>
    <mergeCell ref="B59:M59"/>
    <mergeCell ref="B14:M14"/>
    <mergeCell ref="B57:M57"/>
    <mergeCell ref="B4:M4"/>
    <mergeCell ref="A2:M2"/>
  </mergeCells>
  <conditionalFormatting sqref="E16:E55">
    <cfRule type="colorScale" priority="1">
      <colorScale>
        <cfvo type="num" val="0"/>
        <cfvo type="num" val="50"/>
        <cfvo type="num" val="100"/>
        <color rgb="00C1121F"/>
        <color rgb="00F9C74F"/>
        <color rgb="001A6B3C"/>
      </colorScale>
    </cfRule>
  </conditionalFormatting>
  <conditionalFormatting sqref="F16:F55">
    <cfRule type="colorScale" priority="2">
      <colorScale>
        <cfvo type="num" val="0"/>
        <cfvo type="num" val="50"/>
        <cfvo type="num" val="100"/>
        <color rgb="00C1121F"/>
        <color rgb="00F9C74F"/>
        <color rgb="001A6B3C"/>
      </colorScale>
    </cfRule>
  </conditionalFormatting>
  <conditionalFormatting sqref="G16:G55">
    <cfRule type="colorScale" priority="3">
      <colorScale>
        <cfvo type="num" val="0"/>
        <cfvo type="num" val="50"/>
        <cfvo type="num" val="100"/>
        <color rgb="00C1121F"/>
        <color rgb="00F9C74F"/>
        <color rgb="001A6B3C"/>
      </colorScale>
    </cfRule>
  </conditionalFormatting>
  <conditionalFormatting sqref="H16:H55">
    <cfRule type="colorScale" priority="4">
      <colorScale>
        <cfvo type="num" val="0"/>
        <cfvo type="num" val="50"/>
        <cfvo type="num" val="100"/>
        <color rgb="00C1121F"/>
        <color rgb="00F9C74F"/>
        <color rgb="001A6B3C"/>
      </colorScale>
    </cfRule>
  </conditionalFormatting>
  <conditionalFormatting sqref="K16:K55">
    <cfRule type="cellIs" priority="5" operator="greaterThan" dxfId="0">
      <formula>20</formula>
    </cfRule>
  </conditionalFormatting>
  <dataValidations count="1">
    <dataValidation sqref="C5" showDropDown="0" showInputMessage="0" showErrorMessage="0" allowBlank="1" errorTitle="Invalid Selection" error="Please select a valid scenario" type="list">
      <formula1>"Baseline,Growth Focus,Quality Focus,Insider Focus,Custom"</formula1>
    </dataValidation>
  </dataValidations>
  <pageMargins left="0.75" right="0.75" top="1" bottom="1" header="0.5" footer="0.5"/>
  <pageSetup orientation="landscape" fitToWidth="1"/>
  <drawing xmlns:r="http://schemas.openxmlformats.org/officeDocument/2006/relationships" r:id="rId1"/>
</worksheet>
</file>

<file path=xl/worksheets/sheet12.xml><?xml version="1.0" encoding="utf-8"?>
<worksheet xmlns="http://schemas.openxmlformats.org/spreadsheetml/2006/main">
  <sheetPr>
    <tabColor rgb="004FC3F7"/>
    <outlinePr summaryBelow="1" summaryRight="1"/>
    <pageSetUpPr fitToPage="1"/>
  </sheetPr>
  <dimension ref="A1:K28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s>
  <sheetData>
    <row r="1" ht="28" customHeight="1">
      <c r="A1" s="30" t="inlineStr">
        <is>
          <t>QUARTERLY REVENUE TRENDS</t>
        </is>
      </c>
      <c r="B1" s="11" t="n"/>
      <c r="C1" s="11" t="n"/>
      <c r="D1" s="11" t="n"/>
      <c r="E1" s="11" t="n"/>
      <c r="F1" s="11" t="n"/>
      <c r="G1" s="11" t="n"/>
      <c r="H1" s="11" t="n"/>
      <c r="I1" s="11" t="n"/>
      <c r="J1" s="11" t="n"/>
      <c r="K1" s="11" t="n"/>
    </row>
    <row r="2" ht="22" customHeight="1">
      <c r="A2" s="31" t="inlineStr">
        <is>
          <t>Last 8 quarters of revenue and margin by company  |  September 08, 2026</t>
        </is>
      </c>
      <c r="B2" s="12" t="n"/>
      <c r="C2" s="12" t="n"/>
      <c r="D2" s="12" t="n"/>
      <c r="E2" s="12" t="n"/>
      <c r="F2" s="12" t="n"/>
      <c r="G2" s="12" t="n"/>
      <c r="H2" s="12" t="n"/>
      <c r="I2" s="12" t="n"/>
      <c r="J2" s="12" t="n"/>
      <c r="K2" s="12" t="n"/>
    </row>
    <row r="3" ht="8" customHeight="1"/>
    <row r="4" ht="22" customHeight="1">
      <c r="A4" s="16" t="inlineStr">
        <is>
          <t xml:space="preserve">  Nano Cap</t>
        </is>
      </c>
      <c r="B4" s="17" t="n"/>
      <c r="C4" s="17" t="n"/>
      <c r="D4" s="17" t="n"/>
      <c r="E4" s="17" t="n"/>
      <c r="F4" s="17" t="n"/>
      <c r="G4" s="17" t="n"/>
      <c r="H4" s="17" t="n"/>
      <c r="I4" s="17" t="n"/>
      <c r="J4" s="17" t="n"/>
      <c r="K4" s="17" t="n"/>
    </row>
    <row r="5" ht="18" customHeight="1">
      <c r="A5" s="94" t="inlineStr">
        <is>
          <t>SODI  —  Solitron Devices, Inc.</t>
        </is>
      </c>
      <c r="C5" s="37" t="inlineStr">
        <is>
          <t>Nano Cap</t>
        </is>
      </c>
      <c r="D5" s="74" t="inlineStr">
        <is>
          <t>Mkt Cap: $70M</t>
        </is>
      </c>
      <c r="E5" s="95" t="n"/>
      <c r="F5" s="95" t="n"/>
      <c r="G5" s="95" t="n"/>
      <c r="H5" s="95" t="n"/>
      <c r="I5" s="95" t="n"/>
      <c r="J5" s="95" t="n"/>
      <c r="K5" s="95" t="n"/>
    </row>
    <row r="6" ht="16" customHeight="1">
      <c r="A6" s="96" t="inlineStr"/>
      <c r="B6" s="18" t="inlineStr">
        <is>
          <t>Quarter</t>
        </is>
      </c>
      <c r="C6" s="18" t="inlineStr">
        <is>
          <t>2024-02-28</t>
        </is>
      </c>
      <c r="D6" s="18" t="inlineStr">
        <is>
          <t>2024-05-31</t>
        </is>
      </c>
      <c r="E6" s="18" t="inlineStr">
        <is>
          <t>2024-08-31</t>
        </is>
      </c>
      <c r="F6" s="18" t="inlineStr">
        <is>
          <t>2024-11-30</t>
        </is>
      </c>
      <c r="G6" s="18" t="inlineStr">
        <is>
          <t>2025-02-28</t>
        </is>
      </c>
      <c r="H6" s="18" t="inlineStr">
        <is>
          <t>2025-05-31</t>
        </is>
      </c>
      <c r="I6" s="18" t="inlineStr">
        <is>
          <t>2025-08-31</t>
        </is>
      </c>
      <c r="J6" s="18" t="inlineStr">
        <is>
          <t>2025-11-30</t>
        </is>
      </c>
    </row>
    <row r="7" ht="16" customHeight="1">
      <c r="A7" s="96" t="inlineStr"/>
      <c r="B7" s="66" t="inlineStr">
        <is>
          <t>Revenue ($M)</t>
        </is>
      </c>
      <c r="C7" s="97" t="n">
        <v>4.004</v>
      </c>
      <c r="D7" s="97" t="n">
        <v>3.967</v>
      </c>
      <c r="E7" s="97" t="n">
        <v>3.581</v>
      </c>
      <c r="F7" s="97" t="n">
        <v>3.369</v>
      </c>
      <c r="G7" s="97" t="n">
        <v>3.132</v>
      </c>
      <c r="H7" s="97" t="n">
        <v>2.7</v>
      </c>
      <c r="I7" s="97" t="n">
        <v>3.986</v>
      </c>
      <c r="J7" s="97" t="n">
        <v>5.022</v>
      </c>
    </row>
    <row r="8" ht="16" customHeight="1">
      <c r="A8" s="96" t="inlineStr"/>
      <c r="B8" s="94" t="inlineStr">
        <is>
          <t>Gross Margin %</t>
        </is>
      </c>
      <c r="C8" s="71" t="n">
        <v>0.306</v>
      </c>
      <c r="D8" s="71" t="n">
        <v>0.422</v>
      </c>
      <c r="E8" s="71" t="n">
        <v>0.206</v>
      </c>
      <c r="F8" s="71" t="n">
        <v>0.297</v>
      </c>
      <c r="G8" s="71" t="n">
        <v>0.185</v>
      </c>
      <c r="H8" s="71" t="n">
        <v>0.144</v>
      </c>
      <c r="I8" s="71" t="n">
        <v>0.209</v>
      </c>
      <c r="J8" s="71" t="n">
        <v>0.343</v>
      </c>
    </row>
    <row r="9" ht="16" customHeight="1">
      <c r="A9" s="96" t="inlineStr"/>
      <c r="B9" s="27" t="inlineStr">
        <is>
          <t>QoQ Rev Growth</t>
        </is>
      </c>
      <c r="C9" s="49" t="n"/>
      <c r="D9" s="75" t="n">
        <v>-0.00924075924075924</v>
      </c>
      <c r="E9" s="75" t="n">
        <v>-0.09730274766826318</v>
      </c>
      <c r="F9" s="75" t="n">
        <v>-0.05920134040770735</v>
      </c>
      <c r="G9" s="75" t="n">
        <v>-0.07034728406055209</v>
      </c>
      <c r="H9" s="75" t="n">
        <v>-0.1379310344827586</v>
      </c>
      <c r="I9" s="75" t="n">
        <v>0.4762962962962963</v>
      </c>
      <c r="J9" s="75" t="n">
        <v>0.2599096838936277</v>
      </c>
    </row>
    <row r="10" ht="16" customHeight="1">
      <c r="A10" s="96" t="inlineStr"/>
      <c r="B10" s="20" t="inlineStr">
        <is>
          <t>YoY Rev Growth</t>
        </is>
      </c>
      <c r="C10" s="47" t="n"/>
      <c r="D10" s="47" t="n"/>
      <c r="E10" s="47" t="n"/>
      <c r="F10" s="47" t="n"/>
      <c r="G10" s="71" t="n">
        <v>-0.2177822177822178</v>
      </c>
      <c r="H10" s="71" t="n">
        <v>-0.3193849256365011</v>
      </c>
      <c r="I10" s="71" t="n">
        <v>0.1130969003071768</v>
      </c>
      <c r="J10" s="71" t="n">
        <v>0.4906500445235975</v>
      </c>
    </row>
    <row r="11" ht="8" customHeight="1"/>
    <row r="12" ht="18" customHeight="1">
      <c r="A12" s="94" t="inlineStr">
        <is>
          <t>SCTQ  —  Spectra Systems Corporation</t>
        </is>
      </c>
      <c r="C12" s="37" t="inlineStr">
        <is>
          <t>Nano Cap</t>
        </is>
      </c>
      <c r="D12" s="74" t="inlineStr">
        <is>
          <t>Mkt Cap: $107M</t>
        </is>
      </c>
      <c r="E12" s="95" t="n"/>
      <c r="F12" s="95" t="n"/>
      <c r="G12" s="95" t="n"/>
      <c r="H12" s="95" t="n"/>
      <c r="I12" s="95" t="n"/>
      <c r="J12" s="95" t="n"/>
      <c r="K12" s="95" t="n"/>
    </row>
    <row r="13" ht="16" customHeight="1">
      <c r="A13" s="96" t="inlineStr"/>
      <c r="B13" s="18" t="inlineStr">
        <is>
          <t>Quarter</t>
        </is>
      </c>
      <c r="C13" s="18" t="inlineStr">
        <is>
          <t>2022-06-30</t>
        </is>
      </c>
      <c r="D13" s="18" t="inlineStr">
        <is>
          <t>2022-12-31</t>
        </is>
      </c>
      <c r="E13" s="18" t="inlineStr">
        <is>
          <t>2023-06-30</t>
        </is>
      </c>
      <c r="F13" s="18" t="inlineStr">
        <is>
          <t>2023-12-31</t>
        </is>
      </c>
      <c r="G13" s="18" t="inlineStr">
        <is>
          <t>2024-06-30</t>
        </is>
      </c>
      <c r="H13" s="18" t="inlineStr">
        <is>
          <t>2024-12-31</t>
        </is>
      </c>
      <c r="I13" s="18" t="inlineStr">
        <is>
          <t>2025-06-30</t>
        </is>
      </c>
      <c r="J13" s="18" t="inlineStr">
        <is>
          <t>2025-12-31</t>
        </is>
      </c>
    </row>
    <row r="14" ht="16" customHeight="1">
      <c r="A14" s="96" t="inlineStr"/>
      <c r="B14" s="66" t="inlineStr">
        <is>
          <t>Revenue ($M)</t>
        </is>
      </c>
      <c r="C14" s="97" t="n">
        <v>8.699408</v>
      </c>
      <c r="D14" s="97" t="n">
        <v>10.671525</v>
      </c>
      <c r="E14" s="97" t="n">
        <v>5.8105</v>
      </c>
      <c r="F14" s="97" t="n">
        <v>4.3335</v>
      </c>
      <c r="G14" s="97" t="n">
        <v>22.739</v>
      </c>
      <c r="H14" s="97" t="n">
        <v>26.452</v>
      </c>
      <c r="I14" s="97" t="n">
        <v>34.965</v>
      </c>
      <c r="J14" s="97" t="n">
        <v>29.318895</v>
      </c>
    </row>
    <row r="15" ht="16" customHeight="1">
      <c r="A15" s="96" t="inlineStr"/>
      <c r="B15" s="94" t="inlineStr">
        <is>
          <t>Gross Margin %</t>
        </is>
      </c>
      <c r="C15" s="71" t="n">
        <v>0.6609999999999999</v>
      </c>
      <c r="D15" s="71" t="n">
        <v>0.594</v>
      </c>
      <c r="E15" s="71" t="n">
        <v>0.6920000000000001</v>
      </c>
      <c r="F15" s="71" t="n">
        <v>0.644</v>
      </c>
      <c r="G15" s="71" t="n">
        <v>0.5589999999999999</v>
      </c>
      <c r="H15" s="71" t="n">
        <v>0.408</v>
      </c>
      <c r="I15" s="71" t="n">
        <v>0.57</v>
      </c>
      <c r="J15" s="71" t="n">
        <v>0.585</v>
      </c>
    </row>
    <row r="16" ht="16" customHeight="1">
      <c r="A16" s="96" t="inlineStr"/>
      <c r="B16" s="27" t="inlineStr">
        <is>
          <t>QoQ Rev Growth</t>
        </is>
      </c>
      <c r="C16" s="49" t="n"/>
      <c r="D16" s="75" t="n">
        <v>0.2266955406620772</v>
      </c>
      <c r="E16" s="75" t="n">
        <v>-0.4555136215301936</v>
      </c>
      <c r="F16" s="75" t="n">
        <v>-0.2541949918251442</v>
      </c>
      <c r="G16" s="75" t="n">
        <v>4.24725972077997</v>
      </c>
      <c r="H16" s="75" t="n">
        <v>0.1632877435243414</v>
      </c>
      <c r="I16" s="75" t="n">
        <v>0.3218282171480417</v>
      </c>
      <c r="J16" s="75" t="n">
        <v>-0.1614787644787645</v>
      </c>
    </row>
    <row r="17" ht="16" customHeight="1">
      <c r="A17" s="96" t="inlineStr"/>
      <c r="B17" s="20" t="inlineStr">
        <is>
          <t>YoY Rev Growth</t>
        </is>
      </c>
      <c r="C17" s="47" t="n"/>
      <c r="D17" s="47" t="n"/>
      <c r="E17" s="47" t="n"/>
      <c r="F17" s="47" t="n"/>
      <c r="G17" s="71" t="n">
        <v>1.613856023306413</v>
      </c>
      <c r="H17" s="71" t="n">
        <v>1.478746008653871</v>
      </c>
      <c r="I17" s="71" t="n">
        <v>5.017554427329834</v>
      </c>
      <c r="J17" s="71" t="n">
        <v>5.765638629283489</v>
      </c>
    </row>
    <row r="18" ht="8" customHeight="1"/>
    <row r="19" ht="18" customHeight="1">
      <c r="A19" s="94" t="inlineStr">
        <is>
          <t>RELL  —  Richardson Electronics, Ltd.</t>
        </is>
      </c>
      <c r="C19" s="37" t="inlineStr">
        <is>
          <t>Nano Cap</t>
        </is>
      </c>
      <c r="D19" s="74" t="inlineStr">
        <is>
          <t>Mkt Cap: $258M</t>
        </is>
      </c>
      <c r="E19" s="95" t="n"/>
      <c r="F19" s="95" t="n"/>
      <c r="G19" s="95" t="n"/>
      <c r="H19" s="95" t="n"/>
      <c r="I19" s="95" t="n"/>
      <c r="J19" s="95" t="n"/>
      <c r="K19" s="95" t="n"/>
    </row>
    <row r="20" ht="16" customHeight="1">
      <c r="A20" s="96" t="inlineStr"/>
      <c r="B20" s="18" t="inlineStr">
        <is>
          <t>Quarter</t>
        </is>
      </c>
      <c r="C20" s="18" t="inlineStr">
        <is>
          <t>2024-03-02</t>
        </is>
      </c>
      <c r="D20" s="18" t="inlineStr">
        <is>
          <t>2024-06-01</t>
        </is>
      </c>
      <c r="E20" s="18" t="inlineStr">
        <is>
          <t>2024-08-31</t>
        </is>
      </c>
      <c r="F20" s="18" t="inlineStr">
        <is>
          <t>2024-11-30</t>
        </is>
      </c>
      <c r="G20" s="18" t="inlineStr">
        <is>
          <t>2025-03-01</t>
        </is>
      </c>
      <c r="H20" s="18" t="inlineStr">
        <is>
          <t>2025-05-31</t>
        </is>
      </c>
      <c r="I20" s="18" t="inlineStr">
        <is>
          <t>2025-08-30</t>
        </is>
      </c>
      <c r="J20" s="18" t="inlineStr">
        <is>
          <t>2025-11-29</t>
        </is>
      </c>
    </row>
    <row r="21" ht="16" customHeight="1">
      <c r="A21" s="96" t="inlineStr"/>
      <c r="B21" s="66" t="inlineStr">
        <is>
          <t>Revenue ($M)</t>
        </is>
      </c>
      <c r="C21" s="97" t="n">
        <v>52.375</v>
      </c>
      <c r="D21" s="97" t="n">
        <v>47.374</v>
      </c>
      <c r="E21" s="97" t="n">
        <v>53.725</v>
      </c>
      <c r="F21" s="97" t="n">
        <v>49.491</v>
      </c>
      <c r="G21" s="97" t="n">
        <v>53.804</v>
      </c>
      <c r="H21" s="97" t="n">
        <v>51.889</v>
      </c>
      <c r="I21" s="97" t="n">
        <v>54.607</v>
      </c>
      <c r="J21" s="97" t="n">
        <v>52.288</v>
      </c>
    </row>
    <row r="22" ht="16" customHeight="1">
      <c r="A22" s="96" t="inlineStr"/>
      <c r="B22" s="94" t="inlineStr">
        <is>
          <t>Gross Margin %</t>
        </is>
      </c>
      <c r="C22" s="71" t="n">
        <v>0.295</v>
      </c>
      <c r="D22" s="71" t="n">
        <v>0.311</v>
      </c>
      <c r="E22" s="71" t="n">
        <v>0.306</v>
      </c>
      <c r="F22" s="71" t="n">
        <v>0.31</v>
      </c>
      <c r="G22" s="71" t="n">
        <v>0.31</v>
      </c>
      <c r="H22" s="71" t="n">
        <v>0.316</v>
      </c>
      <c r="I22" s="71" t="n">
        <v>0.31</v>
      </c>
      <c r="J22" s="71" t="n">
        <v>0.307</v>
      </c>
    </row>
    <row r="23" ht="16" customHeight="1">
      <c r="A23" s="96" t="inlineStr"/>
      <c r="B23" s="27" t="inlineStr">
        <is>
          <t>QoQ Rev Growth</t>
        </is>
      </c>
      <c r="C23" s="49" t="n"/>
      <c r="D23" s="75" t="n">
        <v>-0.09548448687350836</v>
      </c>
      <c r="E23" s="75" t="n">
        <v>0.1340608772744543</v>
      </c>
      <c r="F23" s="75" t="n">
        <v>-0.07880874825500232</v>
      </c>
      <c r="G23" s="75" t="n">
        <v>0.08714715806914389</v>
      </c>
      <c r="H23" s="75" t="n">
        <v>-0.03559214928258122</v>
      </c>
      <c r="I23" s="75" t="n">
        <v>0.05238104415193972</v>
      </c>
      <c r="J23" s="75" t="n">
        <v>-0.0424670829747102</v>
      </c>
    </row>
    <row r="24" ht="16" customHeight="1">
      <c r="A24" s="96" t="inlineStr"/>
      <c r="B24" s="20" t="inlineStr">
        <is>
          <t>YoY Rev Growth</t>
        </is>
      </c>
      <c r="C24" s="47" t="n"/>
      <c r="D24" s="47" t="n"/>
      <c r="E24" s="47" t="n"/>
      <c r="F24" s="47" t="n"/>
      <c r="G24" s="71" t="n">
        <v>0.02728400954653938</v>
      </c>
      <c r="H24" s="71" t="n">
        <v>0.09530544180352092</v>
      </c>
      <c r="I24" s="71" t="n">
        <v>0.01641693811074919</v>
      </c>
      <c r="J24" s="71" t="n">
        <v>0.05651532601887212</v>
      </c>
    </row>
    <row r="25" ht="8" customHeight="1"/>
    <row r="26" ht="18" customHeight="1">
      <c r="A26" s="94" t="inlineStr">
        <is>
          <t>GLTK  —  GlobalTech Corporation</t>
        </is>
      </c>
      <c r="C26" s="37" t="inlineStr">
        <is>
          <t>Nano Cap</t>
        </is>
      </c>
      <c r="D26" s="74" t="inlineStr">
        <is>
          <t>Mkt Cap: $227M</t>
        </is>
      </c>
      <c r="E26" s="95" t="n"/>
      <c r="F26" s="95" t="n"/>
      <c r="G26" s="95" t="n"/>
      <c r="H26" s="95" t="n"/>
      <c r="I26" s="95" t="n"/>
      <c r="J26" s="95" t="n"/>
      <c r="K26" s="95" t="n"/>
    </row>
    <row r="27" ht="16" customHeight="1">
      <c r="A27" s="96" t="inlineStr"/>
      <c r="B27" s="18" t="inlineStr">
        <is>
          <t>Quarter</t>
        </is>
      </c>
      <c r="C27" s="18" t="inlineStr">
        <is>
          <t>2024-03-31</t>
        </is>
      </c>
      <c r="D27" s="18" t="inlineStr">
        <is>
          <t>2024-06-30</t>
        </is>
      </c>
      <c r="E27" s="18" t="inlineStr">
        <is>
          <t>2024-09-30</t>
        </is>
      </c>
      <c r="F27" s="18" t="inlineStr">
        <is>
          <t>2024-12-31</t>
        </is>
      </c>
      <c r="G27" s="18" t="inlineStr">
        <is>
          <t>2025-03-31</t>
        </is>
      </c>
      <c r="H27" s="18" t="inlineStr">
        <is>
          <t>2025-06-30</t>
        </is>
      </c>
      <c r="I27" s="18" t="inlineStr">
        <is>
          <t>2025-09-30</t>
        </is>
      </c>
      <c r="J27" s="18" t="inlineStr">
        <is>
          <t>2025-12-31</t>
        </is>
      </c>
    </row>
    <row r="28" ht="16" customHeight="1">
      <c r="A28" s="96" t="inlineStr"/>
      <c r="B28" s="66" t="inlineStr">
        <is>
          <t>Revenue ($M)</t>
        </is>
      </c>
      <c r="C28" s="97" t="n">
        <v>3.702258</v>
      </c>
      <c r="D28" s="97" t="n">
        <v>4.562739</v>
      </c>
      <c r="E28" s="97" t="n">
        <v>5.017195</v>
      </c>
      <c r="F28" s="97" t="n">
        <v>4.973089</v>
      </c>
      <c r="G28" s="97" t="n">
        <v>4.34172</v>
      </c>
      <c r="H28" s="97" t="n">
        <v>5.628068</v>
      </c>
      <c r="I28" s="97" t="n">
        <v>5.54055</v>
      </c>
      <c r="J28" s="97" t="n">
        <v>6.558261</v>
      </c>
    </row>
    <row r="29" ht="16" customHeight="1">
      <c r="A29" s="96" t="inlineStr"/>
      <c r="B29" s="94" t="inlineStr">
        <is>
          <t>Gross Margin %</t>
        </is>
      </c>
      <c r="C29" s="71" t="n">
        <v>-0.178</v>
      </c>
      <c r="D29" s="71" t="n">
        <v>0.091</v>
      </c>
      <c r="E29" s="71" t="n">
        <v>0.07400000000000001</v>
      </c>
      <c r="F29" s="71" t="n">
        <v>0.111</v>
      </c>
      <c r="G29" s="71" t="n">
        <v>0.094</v>
      </c>
      <c r="H29" s="71" t="n">
        <v>0.092</v>
      </c>
      <c r="I29" s="71" t="n">
        <v>0.131</v>
      </c>
      <c r="J29" s="71" t="n">
        <v>-0.043</v>
      </c>
    </row>
    <row r="30" ht="16" customHeight="1">
      <c r="A30" s="96" t="inlineStr"/>
      <c r="B30" s="27" t="inlineStr">
        <is>
          <t>QoQ Rev Growth</t>
        </is>
      </c>
      <c r="C30" s="49" t="n"/>
      <c r="D30" s="75" t="n">
        <v>0.2324205930542928</v>
      </c>
      <c r="E30" s="75" t="n">
        <v>0.09960157703519749</v>
      </c>
      <c r="F30" s="75" t="n">
        <v>-0.008790967861524219</v>
      </c>
      <c r="G30" s="75" t="n">
        <v>-0.1269571085496358</v>
      </c>
      <c r="H30" s="75" t="n">
        <v>0.296276130197249</v>
      </c>
      <c r="I30" s="75" t="n">
        <v>-0.01555027409050495</v>
      </c>
      <c r="J30" s="75" t="n">
        <v>0.1836841107832255</v>
      </c>
    </row>
    <row r="31" ht="16" customHeight="1">
      <c r="A31" s="96" t="inlineStr"/>
      <c r="B31" s="20" t="inlineStr">
        <is>
          <t>YoY Rev Growth</t>
        </is>
      </c>
      <c r="C31" s="47" t="n"/>
      <c r="D31" s="47" t="n"/>
      <c r="E31" s="47" t="n"/>
      <c r="F31" s="47" t="n"/>
      <c r="G31" s="71" t="n">
        <v>0.1727221603680781</v>
      </c>
      <c r="H31" s="71" t="n">
        <v>0.2334845363716838</v>
      </c>
      <c r="I31" s="71" t="n">
        <v>0.1043122701031154</v>
      </c>
      <c r="J31" s="71" t="n">
        <v>0.318749976121481</v>
      </c>
    </row>
    <row r="32" ht="8" customHeight="1"/>
    <row r="33" ht="18" customHeight="1">
      <c r="A33" s="94" t="inlineStr">
        <is>
          <t>INTT  —  inTEST Corporation</t>
        </is>
      </c>
      <c r="C33" s="37" t="inlineStr">
        <is>
          <t>Nano Cap</t>
        </is>
      </c>
      <c r="D33" s="74" t="inlineStr">
        <is>
          <t>Mkt Cap: $146M</t>
        </is>
      </c>
      <c r="E33" s="95" t="n"/>
      <c r="F33" s="95" t="n"/>
      <c r="G33" s="95" t="n"/>
      <c r="H33" s="95" t="n"/>
      <c r="I33" s="95" t="n"/>
      <c r="J33" s="95" t="n"/>
      <c r="K33" s="95" t="n"/>
    </row>
    <row r="34" ht="16" customHeight="1">
      <c r="A34" s="96" t="inlineStr"/>
      <c r="B34" s="18" t="inlineStr">
        <is>
          <t>Quarter</t>
        </is>
      </c>
      <c r="C34" s="18" t="inlineStr">
        <is>
          <t>2024-03-31</t>
        </is>
      </c>
      <c r="D34" s="18" t="inlineStr">
        <is>
          <t>2024-06-30</t>
        </is>
      </c>
      <c r="E34" s="18" t="inlineStr">
        <is>
          <t>2024-09-30</t>
        </is>
      </c>
      <c r="F34" s="18" t="inlineStr">
        <is>
          <t>2024-12-31</t>
        </is>
      </c>
      <c r="G34" s="18" t="inlineStr">
        <is>
          <t>2025-03-31</t>
        </is>
      </c>
      <c r="H34" s="18" t="inlineStr">
        <is>
          <t>2025-06-30</t>
        </is>
      </c>
      <c r="I34" s="18" t="inlineStr">
        <is>
          <t>2025-09-30</t>
        </is>
      </c>
      <c r="J34" s="18" t="inlineStr">
        <is>
          <t>2025-12-31</t>
        </is>
      </c>
    </row>
    <row r="35" ht="16" customHeight="1">
      <c r="A35" s="96" t="inlineStr"/>
      <c r="B35" s="66" t="inlineStr">
        <is>
          <t>Revenue ($M)</t>
        </is>
      </c>
      <c r="C35" s="97" t="n">
        <v>29.824</v>
      </c>
      <c r="D35" s="97" t="n">
        <v>33.991</v>
      </c>
      <c r="E35" s="97" t="n">
        <v>30.272</v>
      </c>
      <c r="F35" s="97" t="n">
        <v>36.603</v>
      </c>
      <c r="G35" s="97" t="n">
        <v>26.637</v>
      </c>
      <c r="H35" s="97" t="n">
        <v>28.13</v>
      </c>
      <c r="I35" s="97" t="n">
        <v>26.236</v>
      </c>
      <c r="J35" s="97" t="n">
        <v>32.822</v>
      </c>
    </row>
    <row r="36" ht="16" customHeight="1">
      <c r="A36" s="96" t="inlineStr"/>
      <c r="B36" s="94" t="inlineStr">
        <is>
          <t>Gross Margin %</t>
        </is>
      </c>
      <c r="C36" s="71" t="n">
        <v>0.4379999999999999</v>
      </c>
      <c r="D36" s="71" t="n">
        <v>0.406</v>
      </c>
      <c r="E36" s="71" t="n">
        <v>0.463</v>
      </c>
      <c r="F36" s="71" t="n">
        <v>0.397</v>
      </c>
      <c r="G36" s="71" t="n">
        <v>0.415</v>
      </c>
      <c r="H36" s="71" t="n">
        <v>0.426</v>
      </c>
      <c r="I36" s="71" t="n">
        <v>0.419</v>
      </c>
      <c r="J36" s="71" t="n">
        <v>0.454</v>
      </c>
    </row>
    <row r="37" ht="16" customHeight="1">
      <c r="A37" s="96" t="inlineStr"/>
      <c r="B37" s="27" t="inlineStr">
        <is>
          <t>QoQ Rev Growth</t>
        </is>
      </c>
      <c r="C37" s="49" t="n"/>
      <c r="D37" s="75" t="n">
        <v>0.1397196888412017</v>
      </c>
      <c r="E37" s="75" t="n">
        <v>-0.1094113147597894</v>
      </c>
      <c r="F37" s="75" t="n">
        <v>0.209137156448203</v>
      </c>
      <c r="G37" s="75" t="n">
        <v>-0.2722727645274978</v>
      </c>
      <c r="H37" s="75" t="n">
        <v>0.05604985546420393</v>
      </c>
      <c r="I37" s="75" t="n">
        <v>-0.06733025239957341</v>
      </c>
      <c r="J37" s="75" t="n">
        <v>0.2510291202927276</v>
      </c>
    </row>
    <row r="38" ht="16" customHeight="1">
      <c r="A38" s="96" t="inlineStr"/>
      <c r="B38" s="20" t="inlineStr">
        <is>
          <t>YoY Rev Growth</t>
        </is>
      </c>
      <c r="C38" s="47" t="n"/>
      <c r="D38" s="47" t="n"/>
      <c r="E38" s="47" t="n"/>
      <c r="F38" s="47" t="n"/>
      <c r="G38" s="71" t="n">
        <v>-0.1068602467811159</v>
      </c>
      <c r="H38" s="71" t="n">
        <v>-0.1724279956459063</v>
      </c>
      <c r="I38" s="71" t="n">
        <v>-0.1333245243128964</v>
      </c>
      <c r="J38" s="71" t="n">
        <v>-0.1032975439171653</v>
      </c>
    </row>
    <row r="39" ht="8" customHeight="1"/>
    <row r="40" ht="18" customHeight="1">
      <c r="A40" s="94" t="inlineStr">
        <is>
          <t>AISP  —  Airship AI Holdings, Inc.</t>
        </is>
      </c>
      <c r="C40" s="37" t="inlineStr">
        <is>
          <t>Nano Cap</t>
        </is>
      </c>
      <c r="D40" s="74" t="inlineStr">
        <is>
          <t>Mkt Cap: $72M</t>
        </is>
      </c>
      <c r="E40" s="95" t="n"/>
      <c r="F40" s="95" t="n"/>
      <c r="G40" s="95" t="n"/>
      <c r="H40" s="95" t="n"/>
      <c r="I40" s="95" t="n"/>
      <c r="J40" s="95" t="n"/>
      <c r="K40" s="95" t="n"/>
    </row>
    <row r="41" ht="16" customHeight="1">
      <c r="A41" s="96" t="inlineStr"/>
      <c r="B41" s="18" t="inlineStr">
        <is>
          <t>Quarter</t>
        </is>
      </c>
      <c r="C41" s="18" t="inlineStr">
        <is>
          <t>2024-03-31</t>
        </is>
      </c>
      <c r="D41" s="18" t="inlineStr">
        <is>
          <t>2024-06-30</t>
        </is>
      </c>
      <c r="E41" s="18" t="inlineStr">
        <is>
          <t>2024-09-30</t>
        </is>
      </c>
      <c r="F41" s="18" t="inlineStr">
        <is>
          <t>2024-12-31</t>
        </is>
      </c>
      <c r="G41" s="18" t="inlineStr">
        <is>
          <t>2025-03-31</t>
        </is>
      </c>
      <c r="H41" s="18" t="inlineStr">
        <is>
          <t>2025-06-30</t>
        </is>
      </c>
      <c r="I41" s="18" t="inlineStr">
        <is>
          <t>2025-09-30</t>
        </is>
      </c>
      <c r="J41" s="18" t="inlineStr">
        <is>
          <t>2025-12-31</t>
        </is>
      </c>
    </row>
    <row r="42" ht="16" customHeight="1">
      <c r="A42" s="96" t="inlineStr"/>
      <c r="B42" s="66" t="inlineStr">
        <is>
          <t>Revenue ($M)</t>
        </is>
      </c>
      <c r="C42" s="97" t="n">
        <v>10.575</v>
      </c>
      <c r="D42" s="97" t="n">
        <v>6.401</v>
      </c>
      <c r="E42" s="97" t="n">
        <v>2.868</v>
      </c>
      <c r="F42" s="97" t="n">
        <v>3.206518</v>
      </c>
      <c r="G42" s="97" t="n">
        <v>5.503</v>
      </c>
      <c r="H42" s="97" t="n">
        <v>2.14689</v>
      </c>
      <c r="I42" s="97" t="n">
        <v>1.17745</v>
      </c>
      <c r="J42" s="97" t="n">
        <v>6.493981</v>
      </c>
    </row>
    <row r="43" ht="16" customHeight="1">
      <c r="A43" s="96" t="inlineStr"/>
      <c r="B43" s="94" t="inlineStr">
        <is>
          <t>Gross Margin %</t>
        </is>
      </c>
      <c r="C43" s="71" t="n">
        <v>0.249</v>
      </c>
      <c r="D43" s="71" t="n">
        <v>0.7040000000000001</v>
      </c>
      <c r="E43" s="71" t="n">
        <v>0.7509999999999999</v>
      </c>
      <c r="F43" s="71" t="n">
        <v>0.386</v>
      </c>
      <c r="G43" s="71" t="n">
        <v>0.406</v>
      </c>
      <c r="H43" s="71" t="n">
        <v>0.7140000000000001</v>
      </c>
      <c r="I43" s="71" t="n">
        <v>0.513</v>
      </c>
      <c r="J43" s="71" t="n">
        <v>0.512</v>
      </c>
    </row>
    <row r="44" ht="16" customHeight="1">
      <c r="A44" s="96" t="inlineStr"/>
      <c r="B44" s="27" t="inlineStr">
        <is>
          <t>QoQ Rev Growth</t>
        </is>
      </c>
      <c r="C44" s="49" t="n"/>
      <c r="D44" s="75" t="n">
        <v>-0.3947044917257683</v>
      </c>
      <c r="E44" s="75" t="n">
        <v>-0.5519450085924075</v>
      </c>
      <c r="F44" s="75" t="n">
        <v>0.1180327754532775</v>
      </c>
      <c r="G44" s="75" t="n">
        <v>0.7161918317626784</v>
      </c>
      <c r="H44" s="75" t="n">
        <v>-0.6098691622751227</v>
      </c>
      <c r="I44" s="75" t="n">
        <v>-0.4515555058712836</v>
      </c>
      <c r="J44" s="75" t="n">
        <v>4.515292369102722</v>
      </c>
    </row>
    <row r="45" ht="16" customHeight="1">
      <c r="A45" s="96" t="inlineStr"/>
      <c r="B45" s="20" t="inlineStr">
        <is>
          <t>YoY Rev Growth</t>
        </is>
      </c>
      <c r="C45" s="47" t="n"/>
      <c r="D45" s="47" t="n"/>
      <c r="E45" s="47" t="n"/>
      <c r="F45" s="47" t="n"/>
      <c r="G45" s="71" t="n">
        <v>-0.4796217494089834</v>
      </c>
      <c r="H45" s="71" t="n">
        <v>-0.6646008436181846</v>
      </c>
      <c r="I45" s="71" t="n">
        <v>-0.589452580195258</v>
      </c>
      <c r="J45" s="71" t="n">
        <v>1.025243893843727</v>
      </c>
    </row>
    <row r="46" ht="8" customHeight="1"/>
    <row r="47" ht="18" customHeight="1">
      <c r="A47" s="94" t="inlineStr">
        <is>
          <t>GLOO  —  Gloo Holdings, Inc.</t>
        </is>
      </c>
      <c r="C47" s="37" t="inlineStr">
        <is>
          <t>Nano Cap</t>
        </is>
      </c>
      <c r="D47" s="74" t="inlineStr">
        <is>
          <t>Mkt Cap: $258M</t>
        </is>
      </c>
      <c r="E47" s="95" t="n"/>
      <c r="F47" s="95" t="n"/>
      <c r="G47" s="95" t="n"/>
      <c r="H47" s="95" t="n"/>
      <c r="I47" s="95" t="n"/>
      <c r="J47" s="95" t="n"/>
      <c r="K47" s="95" t="n"/>
    </row>
    <row r="48" ht="16" customHeight="1">
      <c r="A48" s="96" t="inlineStr"/>
      <c r="B48" s="18" t="inlineStr">
        <is>
          <t>Quarter</t>
        </is>
      </c>
      <c r="C48" s="18" t="inlineStr">
        <is>
          <t>2024-04-30</t>
        </is>
      </c>
      <c r="D48" s="18" t="inlineStr">
        <is>
          <t>2024-07-31</t>
        </is>
      </c>
      <c r="E48" s="18" t="inlineStr">
        <is>
          <t>2024-10-31</t>
        </is>
      </c>
      <c r="F48" s="18" t="inlineStr">
        <is>
          <t>2025-01-31</t>
        </is>
      </c>
      <c r="G48" s="18" t="inlineStr">
        <is>
          <t>2025-04-30</t>
        </is>
      </c>
      <c r="H48" s="18" t="inlineStr">
        <is>
          <t>2025-07-31</t>
        </is>
      </c>
      <c r="I48" s="18" t="inlineStr">
        <is>
          <t>2025-10-31</t>
        </is>
      </c>
      <c r="J48" s="18" t="inlineStr">
        <is>
          <t>2026-01-31</t>
        </is>
      </c>
    </row>
    <row r="49" ht="16" customHeight="1">
      <c r="A49" s="96" t="inlineStr"/>
      <c r="B49" s="66" t="inlineStr">
        <is>
          <t>Revenue ($M)</t>
        </is>
      </c>
      <c r="C49" s="97" t="n">
        <v>6.545</v>
      </c>
      <c r="D49" s="97" t="n">
        <v>4.051999</v>
      </c>
      <c r="E49" s="97" t="n">
        <v>6.123</v>
      </c>
      <c r="F49" s="97" t="n">
        <v>16.49</v>
      </c>
      <c r="G49" s="97" t="n">
        <v>12.302</v>
      </c>
      <c r="H49" s="97" t="n">
        <v>16.172999</v>
      </c>
      <c r="I49" s="97" t="n">
        <v>32.552</v>
      </c>
      <c r="J49" s="97" t="n">
        <v>33.633</v>
      </c>
    </row>
    <row r="50" ht="16" customHeight="1">
      <c r="A50" s="96" t="inlineStr"/>
      <c r="B50" s="94" t="inlineStr">
        <is>
          <t>Gross Margin %</t>
        </is>
      </c>
      <c r="C50" s="71" t="n">
        <v>-0.113</v>
      </c>
      <c r="D50" s="71" t="n">
        <v>-0.412</v>
      </c>
      <c r="E50" s="71" t="n">
        <v>0.194</v>
      </c>
      <c r="F50" s="71" t="n">
        <v>0.18</v>
      </c>
      <c r="G50" s="71" t="n">
        <v>0.073</v>
      </c>
      <c r="H50" s="71" t="n">
        <v>0.08699999999999999</v>
      </c>
      <c r="I50" s="71" t="n">
        <v>0.237</v>
      </c>
      <c r="J50" s="71" t="n">
        <v>0.235</v>
      </c>
    </row>
    <row r="51" ht="16" customHeight="1">
      <c r="A51" s="96" t="inlineStr"/>
      <c r="B51" s="27" t="inlineStr">
        <is>
          <t>QoQ Rev Growth</t>
        </is>
      </c>
      <c r="C51" s="49" t="n"/>
      <c r="D51" s="75" t="n">
        <v>-0.3809016042780748</v>
      </c>
      <c r="E51" s="75" t="n">
        <v>0.5111059997793682</v>
      </c>
      <c r="F51" s="75" t="n">
        <v>1.693124285480973</v>
      </c>
      <c r="G51" s="75" t="n">
        <v>-0.2539721043056398</v>
      </c>
      <c r="H51" s="75" t="n">
        <v>0.3146642009429361</v>
      </c>
      <c r="I51" s="75" t="n">
        <v>1.012737402630149</v>
      </c>
      <c r="J51" s="75" t="n">
        <v>0.03320840501351684</v>
      </c>
    </row>
    <row r="52" ht="16" customHeight="1">
      <c r="A52" s="96" t="inlineStr"/>
      <c r="B52" s="20" t="inlineStr">
        <is>
          <t>YoY Rev Growth</t>
        </is>
      </c>
      <c r="C52" s="47" t="n"/>
      <c r="D52" s="47" t="n"/>
      <c r="E52" s="47" t="n"/>
      <c r="F52" s="47" t="n"/>
      <c r="G52" s="71" t="n">
        <v>0.8796027501909854</v>
      </c>
      <c r="H52" s="71" t="n">
        <v>2.991363028470639</v>
      </c>
      <c r="I52" s="71" t="n">
        <v>4.316348195329087</v>
      </c>
      <c r="J52" s="71" t="n">
        <v>1.039599757428745</v>
      </c>
    </row>
    <row r="53" ht="8" customHeight="1"/>
    <row r="54" ht="18" customHeight="1">
      <c r="A54" s="94" t="inlineStr">
        <is>
          <t>ROC  —  Rank One Computing Corp.</t>
        </is>
      </c>
      <c r="C54" s="37" t="inlineStr">
        <is>
          <t>Nano Cap</t>
        </is>
      </c>
      <c r="D54" s="74" t="inlineStr">
        <is>
          <t>Mkt Cap: $80M</t>
        </is>
      </c>
      <c r="E54" s="95" t="n"/>
      <c r="F54" s="95" t="n"/>
      <c r="G54" s="95" t="n"/>
      <c r="H54" s="95" t="n"/>
      <c r="I54" s="95" t="n"/>
      <c r="J54" s="95" t="n"/>
      <c r="K54" s="95" t="n"/>
    </row>
    <row r="55" ht="16" customHeight="1">
      <c r="A55" s="96" t="inlineStr"/>
      <c r="B55" s="18" t="inlineStr">
        <is>
          <t>Quarter</t>
        </is>
      </c>
      <c r="C55" s="18" t="inlineStr">
        <is>
          <t>2024-12-31</t>
        </is>
      </c>
      <c r="D55" s="18" t="inlineStr">
        <is>
          <t>2025-09-30</t>
        </is>
      </c>
      <c r="E55" s="18" t="inlineStr">
        <is>
          <t>2025-12-31</t>
        </is>
      </c>
      <c r="F55" s="18" t="inlineStr">
        <is>
          <t>2026-03-31</t>
        </is>
      </c>
      <c r="G55" s="18" t="inlineStr">
        <is>
          <t>2026-06-30</t>
        </is>
      </c>
    </row>
    <row r="56" ht="16" customHeight="1">
      <c r="A56" s="96" t="inlineStr"/>
      <c r="B56" s="66" t="inlineStr">
        <is>
          <t>Revenue ($M)</t>
        </is>
      </c>
      <c r="C56" s="97" t="n">
        <v>2.642924</v>
      </c>
      <c r="D56" s="97" t="n">
        <v>5.34999</v>
      </c>
      <c r="E56" s="97" t="n">
        <v>3.487245</v>
      </c>
      <c r="F56" s="97" t="n">
        <v>2.548642</v>
      </c>
      <c r="G56" s="97" t="n">
        <v>5.092982</v>
      </c>
    </row>
    <row r="57" ht="16" customHeight="1">
      <c r="A57" s="96" t="inlineStr"/>
      <c r="B57" s="94" t="inlineStr">
        <is>
          <t>Gross Margin %</t>
        </is>
      </c>
      <c r="C57" s="71" t="n">
        <v>0.882</v>
      </c>
      <c r="D57" s="71" t="n">
        <v>0.7859999999999999</v>
      </c>
      <c r="E57" s="71" t="n">
        <v>0.6779999999999999</v>
      </c>
      <c r="F57" s="71" t="n">
        <v>0.787</v>
      </c>
      <c r="G57" s="71" t="n">
        <v>0.897</v>
      </c>
    </row>
    <row r="58" ht="16" customHeight="1">
      <c r="A58" s="96" t="inlineStr"/>
      <c r="B58" s="27" t="inlineStr">
        <is>
          <t>QoQ Rev Growth</t>
        </is>
      </c>
      <c r="C58" s="49" t="n"/>
      <c r="D58" s="75" t="n">
        <v>1.024269331997439</v>
      </c>
      <c r="E58" s="75" t="n">
        <v>-0.3481772863126847</v>
      </c>
      <c r="F58" s="75" t="n">
        <v>-0.269153156718269</v>
      </c>
      <c r="G58" s="75" t="n">
        <v>0.998312042256229</v>
      </c>
    </row>
    <row r="59" ht="16" customHeight="1">
      <c r="A59" s="96" t="inlineStr"/>
      <c r="B59" s="20" t="inlineStr">
        <is>
          <t>YoY Rev Growth</t>
        </is>
      </c>
      <c r="C59" s="47" t="n"/>
      <c r="D59" s="47" t="n"/>
      <c r="E59" s="47" t="n"/>
      <c r="F59" s="47" t="n"/>
      <c r="G59" s="71" t="n">
        <v>0.9270255217327475</v>
      </c>
    </row>
    <row r="60" ht="8" customHeight="1"/>
    <row r="61" ht="18" customHeight="1">
      <c r="A61" s="94" t="inlineStr">
        <is>
          <t>LTRX  —  Lantronix, Inc.</t>
        </is>
      </c>
      <c r="C61" s="37" t="inlineStr">
        <is>
          <t>Nano Cap</t>
        </is>
      </c>
      <c r="D61" s="74" t="inlineStr">
        <is>
          <t>Mkt Cap: $237M</t>
        </is>
      </c>
      <c r="E61" s="95" t="n"/>
      <c r="F61" s="95" t="n"/>
      <c r="G61" s="95" t="n"/>
      <c r="H61" s="95" t="n"/>
      <c r="I61" s="95" t="n"/>
      <c r="J61" s="95" t="n"/>
      <c r="K61" s="95" t="n"/>
    </row>
    <row r="62" ht="16" customHeight="1">
      <c r="A62" s="96" t="inlineStr"/>
      <c r="B62" s="18" t="inlineStr">
        <is>
          <t>Quarter</t>
        </is>
      </c>
      <c r="C62" s="18" t="inlineStr">
        <is>
          <t>2024-03-31</t>
        </is>
      </c>
      <c r="D62" s="18" t="inlineStr">
        <is>
          <t>2024-06-30</t>
        </is>
      </c>
      <c r="E62" s="18" t="inlineStr">
        <is>
          <t>2024-09-30</t>
        </is>
      </c>
      <c r="F62" s="18" t="inlineStr">
        <is>
          <t>2024-12-31</t>
        </is>
      </c>
      <c r="G62" s="18" t="inlineStr">
        <is>
          <t>2025-03-31</t>
        </is>
      </c>
      <c r="H62" s="18" t="inlineStr">
        <is>
          <t>2025-06-30</t>
        </is>
      </c>
      <c r="I62" s="18" t="inlineStr">
        <is>
          <t>2025-09-30</t>
        </is>
      </c>
      <c r="J62" s="18" t="inlineStr">
        <is>
          <t>2025-12-31</t>
        </is>
      </c>
    </row>
    <row r="63" ht="16" customHeight="1">
      <c r="A63" s="96" t="inlineStr"/>
      <c r="B63" s="66" t="inlineStr">
        <is>
          <t>Revenue ($M)</t>
        </is>
      </c>
      <c r="C63" s="97" t="n">
        <v>41.183</v>
      </c>
      <c r="D63" s="97" t="n">
        <v>49.075</v>
      </c>
      <c r="E63" s="97" t="n">
        <v>34.423</v>
      </c>
      <c r="F63" s="97" t="n">
        <v>31.161</v>
      </c>
      <c r="G63" s="97" t="n">
        <v>28.5</v>
      </c>
      <c r="H63" s="97" t="n">
        <v>28.839</v>
      </c>
      <c r="I63" s="97" t="n">
        <v>29.794</v>
      </c>
      <c r="J63" s="97" t="n">
        <v>29.774</v>
      </c>
    </row>
    <row r="64" ht="16" customHeight="1">
      <c r="A64" s="96" t="inlineStr"/>
      <c r="B64" s="94" t="inlineStr">
        <is>
          <t>Gross Margin %</t>
        </is>
      </c>
      <c r="C64" s="71" t="n">
        <v>0.401</v>
      </c>
      <c r="D64" s="71" t="n">
        <v>0.381</v>
      </c>
      <c r="E64" s="71" t="n">
        <v>0.421</v>
      </c>
      <c r="F64" s="71" t="n">
        <v>0.426</v>
      </c>
      <c r="G64" s="71" t="n">
        <v>0.435</v>
      </c>
      <c r="H64" s="71" t="n">
        <v>0.4</v>
      </c>
      <c r="I64" s="71" t="n">
        <v>0.448</v>
      </c>
      <c r="J64" s="71" t="n">
        <v>0.409</v>
      </c>
    </row>
    <row r="65" ht="16" customHeight="1">
      <c r="A65" s="96" t="inlineStr"/>
      <c r="B65" s="27" t="inlineStr">
        <is>
          <t>QoQ Rev Growth</t>
        </is>
      </c>
      <c r="C65" s="49" t="n"/>
      <c r="D65" s="75" t="n">
        <v>0.1916324697083748</v>
      </c>
      <c r="E65" s="75" t="n">
        <v>-0.2985634233316353</v>
      </c>
      <c r="F65" s="75" t="n">
        <v>-0.09476222293234175</v>
      </c>
      <c r="G65" s="75" t="n">
        <v>-0.08539520554539327</v>
      </c>
      <c r="H65" s="75" t="n">
        <v>0.01189473684210526</v>
      </c>
      <c r="I65" s="75" t="n">
        <v>0.03311487915669753</v>
      </c>
      <c r="J65" s="75" t="n">
        <v>-0.0006712760958582265</v>
      </c>
    </row>
    <row r="66" ht="16" customHeight="1">
      <c r="A66" s="96" t="inlineStr"/>
      <c r="B66" s="20" t="inlineStr">
        <is>
          <t>YoY Rev Growth</t>
        </is>
      </c>
      <c r="C66" s="47" t="n"/>
      <c r="D66" s="47" t="n"/>
      <c r="E66" s="47" t="n"/>
      <c r="F66" s="47" t="n"/>
      <c r="G66" s="71" t="n">
        <v>-0.3079668795376733</v>
      </c>
      <c r="H66" s="71" t="n">
        <v>-0.412348446255731</v>
      </c>
      <c r="I66" s="71" t="n">
        <v>-0.1344740435174157</v>
      </c>
      <c r="J66" s="71" t="n">
        <v>-0.04451076666345753</v>
      </c>
    </row>
    <row r="67" ht="8" customHeight="1"/>
    <row r="68" ht="18" customHeight="1">
      <c r="A68" s="94" t="inlineStr">
        <is>
          <t>QUIK  —  QuickLogic Corporation</t>
        </is>
      </c>
      <c r="C68" s="37" t="inlineStr">
        <is>
          <t>Nano Cap</t>
        </is>
      </c>
      <c r="D68" s="74" t="inlineStr">
        <is>
          <t>Mkt Cap: $197M</t>
        </is>
      </c>
      <c r="E68" s="95" t="n"/>
      <c r="F68" s="95" t="n"/>
      <c r="G68" s="95" t="n"/>
      <c r="H68" s="95" t="n"/>
      <c r="I68" s="95" t="n"/>
      <c r="J68" s="95" t="n"/>
      <c r="K68" s="95" t="n"/>
    </row>
    <row r="69" ht="16" customHeight="1">
      <c r="A69" s="96" t="inlineStr"/>
      <c r="B69" s="18" t="inlineStr">
        <is>
          <t>Quarter</t>
        </is>
      </c>
      <c r="C69" s="18" t="inlineStr">
        <is>
          <t>2024-03-31</t>
        </is>
      </c>
      <c r="D69" s="18" t="inlineStr">
        <is>
          <t>2024-06-30</t>
        </is>
      </c>
      <c r="E69" s="18" t="inlineStr">
        <is>
          <t>2024-09-29</t>
        </is>
      </c>
      <c r="F69" s="18" t="inlineStr">
        <is>
          <t>2024-12-31</t>
        </is>
      </c>
      <c r="G69" s="18" t="inlineStr">
        <is>
          <t>2025-03-30</t>
        </is>
      </c>
      <c r="H69" s="18" t="inlineStr">
        <is>
          <t>2025-06-29</t>
        </is>
      </c>
      <c r="I69" s="18" t="inlineStr">
        <is>
          <t>2025-09-28</t>
        </is>
      </c>
      <c r="J69" s="18" t="inlineStr">
        <is>
          <t>2025-12-28</t>
        </is>
      </c>
    </row>
    <row r="70" ht="16" customHeight="1">
      <c r="A70" s="96" t="inlineStr"/>
      <c r="B70" s="66" t="inlineStr">
        <is>
          <t>Revenue ($M)</t>
        </is>
      </c>
      <c r="C70" s="97" t="n">
        <v>5.669</v>
      </c>
      <c r="D70" s="97" t="n">
        <v>4.096</v>
      </c>
      <c r="E70" s="97" t="n">
        <v>4.273</v>
      </c>
      <c r="F70" s="97" t="n">
        <v>5.705</v>
      </c>
      <c r="G70" s="97" t="n">
        <v>4.325</v>
      </c>
      <c r="H70" s="97" t="n">
        <v>3.687</v>
      </c>
      <c r="I70" s="97" t="n">
        <v>2.029</v>
      </c>
      <c r="J70" s="97" t="n">
        <v>3.733</v>
      </c>
    </row>
    <row r="71" ht="16" customHeight="1">
      <c r="A71" s="96" t="inlineStr"/>
      <c r="B71" s="94" t="inlineStr">
        <is>
          <t>Gross Margin %</t>
        </is>
      </c>
      <c r="C71" s="71" t="n">
        <v>0.6709999999999999</v>
      </c>
      <c r="D71" s="71" t="n">
        <v>0.547</v>
      </c>
      <c r="E71" s="71" t="n">
        <v>0.5579999999999999</v>
      </c>
      <c r="F71" s="71" t="n">
        <v>0.598</v>
      </c>
      <c r="G71" s="71" t="n">
        <v>0.434</v>
      </c>
      <c r="H71" s="71" t="n">
        <v>0.259</v>
      </c>
      <c r="I71" s="71" t="n">
        <v>-0.233</v>
      </c>
      <c r="J71" s="71" t="n">
        <v>0.181</v>
      </c>
    </row>
    <row r="72" ht="16" customHeight="1">
      <c r="A72" s="96" t="inlineStr"/>
      <c r="B72" s="27" t="inlineStr">
        <is>
          <t>QoQ Rev Growth</t>
        </is>
      </c>
      <c r="C72" s="49" t="n"/>
      <c r="D72" s="75" t="n">
        <v>-0.2774739813018169</v>
      </c>
      <c r="E72" s="75" t="n">
        <v>0.043212890625</v>
      </c>
      <c r="F72" s="75" t="n">
        <v>0.3351275450503159</v>
      </c>
      <c r="G72" s="75" t="n">
        <v>-0.2418930762489045</v>
      </c>
      <c r="H72" s="75" t="n">
        <v>-0.147514450867052</v>
      </c>
      <c r="I72" s="75" t="n">
        <v>-0.4496880933007866</v>
      </c>
      <c r="J72" s="75" t="n">
        <v>0.8398225726959093</v>
      </c>
    </row>
    <row r="73" ht="16" customHeight="1">
      <c r="A73" s="96" t="inlineStr"/>
      <c r="B73" s="20" t="inlineStr">
        <is>
          <t>YoY Rev Growth</t>
        </is>
      </c>
      <c r="C73" s="47" t="n"/>
      <c r="D73" s="47" t="n"/>
      <c r="E73" s="47" t="n"/>
      <c r="F73" s="47" t="n"/>
      <c r="G73" s="71" t="n">
        <v>-0.2370788498853413</v>
      </c>
      <c r="H73" s="71" t="n">
        <v>-0.099853515625</v>
      </c>
      <c r="I73" s="71" t="n">
        <v>-0.5251579686402995</v>
      </c>
      <c r="J73" s="71" t="n">
        <v>-0.3456617002629273</v>
      </c>
    </row>
    <row r="74" ht="8" customHeight="1"/>
    <row r="75" ht="22" customHeight="1">
      <c r="A75" s="16" t="inlineStr">
        <is>
          <t xml:space="preserve">  Small Cap</t>
        </is>
      </c>
      <c r="B75" s="17" t="n"/>
      <c r="C75" s="17" t="n"/>
      <c r="D75" s="17" t="n"/>
      <c r="E75" s="17" t="n"/>
      <c r="F75" s="17" t="n"/>
      <c r="G75" s="17" t="n"/>
      <c r="H75" s="17" t="n"/>
      <c r="I75" s="17" t="n"/>
      <c r="J75" s="17" t="n"/>
      <c r="K75" s="17" t="n"/>
    </row>
    <row r="76" ht="18" customHeight="1">
      <c r="A76" s="94" t="inlineStr">
        <is>
          <t>CLFD  —  Clearfield, Inc.</t>
        </is>
      </c>
      <c r="C76" s="37" t="inlineStr">
        <is>
          <t>Small Cap</t>
        </is>
      </c>
      <c r="D76" s="74" t="inlineStr">
        <is>
          <t>Mkt Cap: $395M</t>
        </is>
      </c>
      <c r="E76" s="95" t="n"/>
      <c r="F76" s="95" t="n"/>
      <c r="G76" s="95" t="n"/>
      <c r="H76" s="95" t="n"/>
      <c r="I76" s="95" t="n"/>
      <c r="J76" s="95" t="n"/>
      <c r="K76" s="95" t="n"/>
    </row>
    <row r="77" ht="16" customHeight="1">
      <c r="A77" s="96" t="inlineStr"/>
      <c r="B77" s="18" t="inlineStr">
        <is>
          <t>Quarter</t>
        </is>
      </c>
      <c r="C77" s="18" t="inlineStr">
        <is>
          <t>2024-03-31</t>
        </is>
      </c>
      <c r="D77" s="18" t="inlineStr">
        <is>
          <t>2024-06-30</t>
        </is>
      </c>
      <c r="E77" s="18" t="inlineStr">
        <is>
          <t>2024-09-30</t>
        </is>
      </c>
      <c r="F77" s="18" t="inlineStr">
        <is>
          <t>2024-12-31</t>
        </is>
      </c>
      <c r="G77" s="18" t="inlineStr">
        <is>
          <t>2025-03-31</t>
        </is>
      </c>
      <c r="H77" s="18" t="inlineStr">
        <is>
          <t>2025-06-30</t>
        </is>
      </c>
      <c r="I77" s="18" t="inlineStr">
        <is>
          <t>2025-09-30</t>
        </is>
      </c>
      <c r="J77" s="18" t="inlineStr">
        <is>
          <t>2025-12-31</t>
        </is>
      </c>
    </row>
    <row r="78" ht="16" customHeight="1">
      <c r="A78" s="96" t="inlineStr"/>
      <c r="B78" s="66" t="inlineStr">
        <is>
          <t>Revenue ($M)</t>
        </is>
      </c>
      <c r="C78" s="97" t="n">
        <v>36.91</v>
      </c>
      <c r="D78" s="97" t="n">
        <v>48.793</v>
      </c>
      <c r="E78" s="97" t="n">
        <v>46.772</v>
      </c>
      <c r="F78" s="97" t="n">
        <v>29.698</v>
      </c>
      <c r="G78" s="97" t="n">
        <v>47.168</v>
      </c>
      <c r="H78" s="97" t="n">
        <v>49.903</v>
      </c>
      <c r="I78" s="97" t="n">
        <v>17.587</v>
      </c>
      <c r="J78" s="97" t="n">
        <v>34.341</v>
      </c>
    </row>
    <row r="79" ht="16" customHeight="1">
      <c r="A79" s="96" t="inlineStr"/>
      <c r="B79" s="94" t="inlineStr">
        <is>
          <t>Gross Margin %</t>
        </is>
      </c>
      <c r="C79" s="71" t="n">
        <v>0.077</v>
      </c>
      <c r="D79" s="71" t="n">
        <v>0.219</v>
      </c>
      <c r="E79" s="71" t="n">
        <v>0.228</v>
      </c>
      <c r="F79" s="71" t="n">
        <v>0.292</v>
      </c>
      <c r="G79" s="71" t="n">
        <v>0.301</v>
      </c>
      <c r="H79" s="71" t="n">
        <v>0.305</v>
      </c>
      <c r="I79" s="71" t="n">
        <v>0.735</v>
      </c>
      <c r="J79" s="71" t="n">
        <v>0.332</v>
      </c>
    </row>
    <row r="80" ht="16" customHeight="1">
      <c r="A80" s="96" t="inlineStr"/>
      <c r="B80" s="27" t="inlineStr">
        <is>
          <t>QoQ Rev Growth</t>
        </is>
      </c>
      <c r="C80" s="49" t="n"/>
      <c r="D80" s="75" t="n">
        <v>0.3219452722839339</v>
      </c>
      <c r="E80" s="75" t="n">
        <v>-0.04141987580185683</v>
      </c>
      <c r="F80" s="75" t="n">
        <v>-0.3650474642948773</v>
      </c>
      <c r="G80" s="75" t="n">
        <v>0.5882551013536265</v>
      </c>
      <c r="H80" s="75" t="n">
        <v>0.05798422659430122</v>
      </c>
      <c r="I80" s="75" t="n">
        <v>-0.6475762980181552</v>
      </c>
      <c r="J80" s="75" t="n">
        <v>0.9526354693807926</v>
      </c>
    </row>
    <row r="81" ht="16" customHeight="1">
      <c r="A81" s="96" t="inlineStr"/>
      <c r="B81" s="20" t="inlineStr">
        <is>
          <t>YoY Rev Growth</t>
        </is>
      </c>
      <c r="C81" s="47" t="n"/>
      <c r="D81" s="47" t="n"/>
      <c r="E81" s="47" t="n"/>
      <c r="F81" s="47" t="n"/>
      <c r="G81" s="71" t="n">
        <v>0.2779192630723381</v>
      </c>
      <c r="H81" s="71" t="n">
        <v>0.02274916483921874</v>
      </c>
      <c r="I81" s="71" t="n">
        <v>-0.6239844351321303</v>
      </c>
      <c r="J81" s="71" t="n">
        <v>0.1563404943093811</v>
      </c>
    </row>
    <row r="82" ht="8" customHeight="1"/>
    <row r="83" ht="18" customHeight="1">
      <c r="A83" s="94" t="inlineStr">
        <is>
          <t>TRC  —  Tejon Ranch Co.</t>
        </is>
      </c>
      <c r="C83" s="37" t="inlineStr">
        <is>
          <t>Small Cap</t>
        </is>
      </c>
      <c r="D83" s="74" t="inlineStr">
        <is>
          <t>Mkt Cap: $446M</t>
        </is>
      </c>
      <c r="E83" s="95" t="n"/>
      <c r="F83" s="95" t="n"/>
      <c r="G83" s="95" t="n"/>
      <c r="H83" s="95" t="n"/>
      <c r="I83" s="95" t="n"/>
      <c r="J83" s="95" t="n"/>
      <c r="K83" s="95" t="n"/>
    </row>
    <row r="84" ht="16" customHeight="1">
      <c r="A84" s="96" t="inlineStr"/>
      <c r="B84" s="18" t="inlineStr">
        <is>
          <t>Quarter</t>
        </is>
      </c>
      <c r="C84" s="18" t="inlineStr">
        <is>
          <t>2024-03-31</t>
        </is>
      </c>
      <c r="D84" s="18" t="inlineStr">
        <is>
          <t>2024-06-30</t>
        </is>
      </c>
      <c r="E84" s="18" t="inlineStr">
        <is>
          <t>2024-09-30</t>
        </is>
      </c>
      <c r="F84" s="18" t="inlineStr">
        <is>
          <t>2024-12-31</t>
        </is>
      </c>
      <c r="G84" s="18" t="inlineStr">
        <is>
          <t>2025-03-31</t>
        </is>
      </c>
      <c r="H84" s="18" t="inlineStr">
        <is>
          <t>2025-06-30</t>
        </is>
      </c>
      <c r="I84" s="18" t="inlineStr">
        <is>
          <t>2025-09-30</t>
        </is>
      </c>
      <c r="J84" s="18" t="inlineStr">
        <is>
          <t>2025-12-31</t>
        </is>
      </c>
    </row>
    <row r="85" ht="16" customHeight="1">
      <c r="A85" s="96" t="inlineStr"/>
      <c r="B85" s="66" t="inlineStr">
        <is>
          <t>Revenue ($M)</t>
        </is>
      </c>
      <c r="C85" s="97" t="n">
        <v>7.406</v>
      </c>
      <c r="D85" s="97" t="n">
        <v>5.689</v>
      </c>
      <c r="E85" s="97" t="n">
        <v>10.856</v>
      </c>
      <c r="F85" s="97" t="n">
        <v>17.935</v>
      </c>
      <c r="G85" s="97" t="n">
        <v>8.209</v>
      </c>
      <c r="H85" s="97" t="n">
        <v>8.307</v>
      </c>
      <c r="I85" s="97" t="n">
        <v>11.969</v>
      </c>
      <c r="J85" s="97" t="n">
        <v>21.106</v>
      </c>
    </row>
    <row r="86" ht="16" customHeight="1">
      <c r="A86" s="96" t="inlineStr"/>
      <c r="B86" s="94" t="inlineStr">
        <is>
          <t>Gross Margin %</t>
        </is>
      </c>
      <c r="C86" s="71" t="n">
        <v>-0.201</v>
      </c>
      <c r="D86" s="71" t="n">
        <v>-0.034</v>
      </c>
      <c r="E86" s="71" t="n">
        <v>-0.078</v>
      </c>
      <c r="F86" s="71" t="n">
        <v>0.247</v>
      </c>
      <c r="G86" s="71" t="n">
        <v>0.009000000000000001</v>
      </c>
      <c r="H86" s="71" t="n">
        <v>0.102</v>
      </c>
      <c r="I86" s="71" t="n">
        <v>0.07099999999999999</v>
      </c>
      <c r="J86" s="71" t="n">
        <v>0.206</v>
      </c>
    </row>
    <row r="87" ht="16" customHeight="1">
      <c r="A87" s="96" t="inlineStr"/>
      <c r="B87" s="27" t="inlineStr">
        <is>
          <t>QoQ Rev Growth</t>
        </is>
      </c>
      <c r="C87" s="49" t="n"/>
      <c r="D87" s="75" t="n">
        <v>-0.2318390494193897</v>
      </c>
      <c r="E87" s="75" t="n">
        <v>0.9082439796097732</v>
      </c>
      <c r="F87" s="75" t="n">
        <v>0.6520817980840088</v>
      </c>
      <c r="G87" s="75" t="n">
        <v>-0.5422916085865626</v>
      </c>
      <c r="H87" s="75" t="n">
        <v>0.01193811670118163</v>
      </c>
      <c r="I87" s="75" t="n">
        <v>0.4408330323823282</v>
      </c>
      <c r="J87" s="75" t="n">
        <v>0.7633887542818949</v>
      </c>
    </row>
    <row r="88" ht="16" customHeight="1">
      <c r="A88" s="96" t="inlineStr"/>
      <c r="B88" s="20" t="inlineStr">
        <is>
          <t>YoY Rev Growth</t>
        </is>
      </c>
      <c r="C88" s="47" t="n"/>
      <c r="D88" s="47" t="n"/>
      <c r="E88" s="47" t="n"/>
      <c r="F88" s="47" t="n"/>
      <c r="G88" s="71" t="n">
        <v>0.1084256008641642</v>
      </c>
      <c r="H88" s="71" t="n">
        <v>0.4601863244858499</v>
      </c>
      <c r="I88" s="71" t="n">
        <v>0.102523949889462</v>
      </c>
      <c r="J88" s="71" t="n">
        <v>0.1768051296347923</v>
      </c>
    </row>
    <row r="89" ht="8" customHeight="1"/>
    <row r="90" ht="18" customHeight="1">
      <c r="A90" s="94" t="inlineStr">
        <is>
          <t>MRAM  —  Everspin Technologies, Inc.</t>
        </is>
      </c>
      <c r="C90" s="37" t="inlineStr">
        <is>
          <t>Small Cap</t>
        </is>
      </c>
      <c r="D90" s="74" t="inlineStr">
        <is>
          <t>Mkt Cap: $399M</t>
        </is>
      </c>
      <c r="E90" s="95" t="n"/>
      <c r="F90" s="95" t="n"/>
      <c r="G90" s="95" t="n"/>
      <c r="H90" s="95" t="n"/>
      <c r="I90" s="95" t="n"/>
      <c r="J90" s="95" t="n"/>
      <c r="K90" s="95" t="n"/>
    </row>
    <row r="91" ht="16" customHeight="1">
      <c r="A91" s="96" t="inlineStr"/>
      <c r="B91" s="18" t="inlineStr">
        <is>
          <t>Quarter</t>
        </is>
      </c>
      <c r="C91" s="18" t="inlineStr">
        <is>
          <t>2024-03-31</t>
        </is>
      </c>
      <c r="D91" s="18" t="inlineStr">
        <is>
          <t>2024-06-30</t>
        </is>
      </c>
      <c r="E91" s="18" t="inlineStr">
        <is>
          <t>2024-09-30</t>
        </is>
      </c>
      <c r="F91" s="18" t="inlineStr">
        <is>
          <t>2024-12-31</t>
        </is>
      </c>
      <c r="G91" s="18" t="inlineStr">
        <is>
          <t>2025-03-31</t>
        </is>
      </c>
      <c r="H91" s="18" t="inlineStr">
        <is>
          <t>2025-06-30</t>
        </is>
      </c>
      <c r="I91" s="18" t="inlineStr">
        <is>
          <t>2025-09-30</t>
        </is>
      </c>
      <c r="J91" s="18" t="inlineStr">
        <is>
          <t>2025-12-31</t>
        </is>
      </c>
    </row>
    <row r="92" ht="16" customHeight="1">
      <c r="A92" s="96" t="inlineStr"/>
      <c r="B92" s="66" t="inlineStr">
        <is>
          <t>Revenue ($M)</t>
        </is>
      </c>
      <c r="C92" s="97" t="n">
        <v>14.43</v>
      </c>
      <c r="D92" s="97" t="n">
        <v>10.636</v>
      </c>
      <c r="E92" s="97" t="n">
        <v>12.093</v>
      </c>
      <c r="F92" s="97" t="n">
        <v>13.243</v>
      </c>
      <c r="G92" s="97" t="n">
        <v>13.138</v>
      </c>
      <c r="H92" s="97" t="n">
        <v>13.201</v>
      </c>
      <c r="I92" s="97" t="n">
        <v>14.06</v>
      </c>
      <c r="J92" s="97" t="n">
        <v>14.803</v>
      </c>
    </row>
    <row r="93" ht="16" customHeight="1">
      <c r="A93" s="96" t="inlineStr"/>
      <c r="B93" s="94" t="inlineStr">
        <is>
          <t>Gross Margin %</t>
        </is>
      </c>
      <c r="C93" s="71" t="n">
        <v>0.5649999999999999</v>
      </c>
      <c r="D93" s="71" t="n">
        <v>0.49</v>
      </c>
      <c r="E93" s="71" t="n">
        <v>0.492</v>
      </c>
      <c r="F93" s="71" t="n">
        <v>0.513</v>
      </c>
      <c r="G93" s="71" t="n">
        <v>0.514</v>
      </c>
      <c r="H93" s="71" t="n">
        <v>0.513</v>
      </c>
      <c r="I93" s="71" t="n">
        <v>0.513</v>
      </c>
      <c r="J93" s="71" t="n">
        <v>0.508</v>
      </c>
    </row>
    <row r="94" ht="16" customHeight="1">
      <c r="A94" s="96" t="inlineStr"/>
      <c r="B94" s="27" t="inlineStr">
        <is>
          <t>QoQ Rev Growth</t>
        </is>
      </c>
      <c r="C94" s="49" t="n"/>
      <c r="D94" s="75" t="n">
        <v>-0.2629244629244629</v>
      </c>
      <c r="E94" s="75" t="n">
        <v>0.136987589319293</v>
      </c>
      <c r="F94" s="75" t="n">
        <v>0.09509633672372447</v>
      </c>
      <c r="G94" s="75" t="n">
        <v>-0.007928717058068413</v>
      </c>
      <c r="H94" s="75" t="n">
        <v>0.004795250418632973</v>
      </c>
      <c r="I94" s="75" t="n">
        <v>0.06507082796757821</v>
      </c>
      <c r="J94" s="75" t="n">
        <v>0.05284495021337127</v>
      </c>
    </row>
    <row r="95" ht="16" customHeight="1">
      <c r="A95" s="96" t="inlineStr"/>
      <c r="B95" s="20" t="inlineStr">
        <is>
          <t>YoY Rev Growth</t>
        </is>
      </c>
      <c r="C95" s="47" t="n"/>
      <c r="D95" s="47" t="n"/>
      <c r="E95" s="47" t="n"/>
      <c r="F95" s="47" t="n"/>
      <c r="G95" s="71" t="n">
        <v>-0.08953568953568954</v>
      </c>
      <c r="H95" s="71" t="n">
        <v>0.2411620910116585</v>
      </c>
      <c r="I95" s="71" t="n">
        <v>0.162656082030927</v>
      </c>
      <c r="J95" s="71" t="n">
        <v>0.1177980820055879</v>
      </c>
    </row>
    <row r="96" ht="8" customHeight="1"/>
    <row r="97" ht="18" customHeight="1">
      <c r="A97" s="94" t="inlineStr">
        <is>
          <t>VPG  —  Vishay Precision Group, Inc.</t>
        </is>
      </c>
      <c r="C97" s="37" t="inlineStr">
        <is>
          <t>Small Cap</t>
        </is>
      </c>
      <c r="D97" s="74" t="inlineStr">
        <is>
          <t>Mkt Cap: $868M</t>
        </is>
      </c>
      <c r="E97" s="95" t="n"/>
      <c r="F97" s="95" t="n"/>
      <c r="G97" s="95" t="n"/>
      <c r="H97" s="95" t="n"/>
      <c r="I97" s="95" t="n"/>
      <c r="J97" s="95" t="n"/>
      <c r="K97" s="95" t="n"/>
    </row>
    <row r="98" ht="16" customHeight="1">
      <c r="A98" s="96" t="inlineStr"/>
      <c r="B98" s="18" t="inlineStr">
        <is>
          <t>Quarter</t>
        </is>
      </c>
      <c r="C98" s="18" t="inlineStr">
        <is>
          <t>2024-03-30</t>
        </is>
      </c>
      <c r="D98" s="18" t="inlineStr">
        <is>
          <t>2024-06-29</t>
        </is>
      </c>
      <c r="E98" s="18" t="inlineStr">
        <is>
          <t>2024-09-28</t>
        </is>
      </c>
      <c r="F98" s="18" t="inlineStr">
        <is>
          <t>2024-12-31</t>
        </is>
      </c>
      <c r="G98" s="18" t="inlineStr">
        <is>
          <t>2025-03-29</t>
        </is>
      </c>
      <c r="H98" s="18" t="inlineStr">
        <is>
          <t>2025-06-28</t>
        </is>
      </c>
      <c r="I98" s="18" t="inlineStr">
        <is>
          <t>2025-09-27</t>
        </is>
      </c>
      <c r="J98" s="18" t="inlineStr">
        <is>
          <t>2025-12-31</t>
        </is>
      </c>
    </row>
    <row r="99" ht="16" customHeight="1">
      <c r="A99" s="96" t="inlineStr"/>
      <c r="B99" s="66" t="inlineStr">
        <is>
          <t>Revenue ($M)</t>
        </is>
      </c>
      <c r="C99" s="97" t="n">
        <v>80.783</v>
      </c>
      <c r="D99" s="97" t="n">
        <v>77.35899999999999</v>
      </c>
      <c r="E99" s="97" t="n">
        <v>75.727</v>
      </c>
      <c r="F99" s="97" t="n">
        <v>72.65300000000001</v>
      </c>
      <c r="G99" s="97" t="n">
        <v>71.741</v>
      </c>
      <c r="H99" s="97" t="n">
        <v>75.161</v>
      </c>
      <c r="I99" s="97" t="n">
        <v>79.72799999999999</v>
      </c>
      <c r="J99" s="97" t="n">
        <v>80.572</v>
      </c>
    </row>
    <row r="100" ht="16" customHeight="1">
      <c r="A100" s="96" t="inlineStr"/>
      <c r="B100" s="94" t="inlineStr">
        <is>
          <t>Gross Margin %</t>
        </is>
      </c>
      <c r="C100" s="71" t="n">
        <v>0.434</v>
      </c>
      <c r="D100" s="71" t="n">
        <v>0.419</v>
      </c>
      <c r="E100" s="71" t="n">
        <v>0.4</v>
      </c>
      <c r="F100" s="71" t="n">
        <v>0.382</v>
      </c>
      <c r="G100" s="71" t="n">
        <v>0.377</v>
      </c>
      <c r="H100" s="71" t="n">
        <v>0.407</v>
      </c>
      <c r="I100" s="71" t="n">
        <v>0.403</v>
      </c>
      <c r="J100" s="71" t="n">
        <v>0.368</v>
      </c>
    </row>
    <row r="101" ht="16" customHeight="1">
      <c r="A101" s="96" t="inlineStr"/>
      <c r="B101" s="27" t="inlineStr">
        <is>
          <t>QoQ Rev Growth</t>
        </is>
      </c>
      <c r="C101" s="49" t="n"/>
      <c r="D101" s="75" t="n">
        <v>-0.04238515529257393</v>
      </c>
      <c r="E101" s="75" t="n">
        <v>-0.02109644643803565</v>
      </c>
      <c r="F101" s="75" t="n">
        <v>-0.0405931834088238</v>
      </c>
      <c r="G101" s="75" t="n">
        <v>-0.01255281956698278</v>
      </c>
      <c r="H101" s="75" t="n">
        <v>0.04767148492493832</v>
      </c>
      <c r="I101" s="75" t="n">
        <v>0.0607628956506699</v>
      </c>
      <c r="J101" s="75" t="n">
        <v>0.01058599237407184</v>
      </c>
    </row>
    <row r="102" ht="16" customHeight="1">
      <c r="A102" s="96" t="inlineStr"/>
      <c r="B102" s="20" t="inlineStr">
        <is>
          <t>YoY Rev Growth</t>
        </is>
      </c>
      <c r="C102" s="47" t="n"/>
      <c r="D102" s="47" t="n"/>
      <c r="E102" s="47" t="n"/>
      <c r="F102" s="47" t="n"/>
      <c r="G102" s="71" t="n">
        <v>-0.1119294901154946</v>
      </c>
      <c r="H102" s="71" t="n">
        <v>-0.02841298362181518</v>
      </c>
      <c r="I102" s="71" t="n">
        <v>0.05283452401389201</v>
      </c>
      <c r="J102" s="71" t="n">
        <v>0.1089975637619919</v>
      </c>
    </row>
    <row r="103" ht="8" customHeight="1"/>
    <row r="104" ht="18" customHeight="1">
      <c r="A104" s="94" t="inlineStr">
        <is>
          <t>CDRE  —  Cadre Holdings, Inc.</t>
        </is>
      </c>
      <c r="C104" s="37" t="inlineStr">
        <is>
          <t>Small Cap</t>
        </is>
      </c>
      <c r="D104" s="74" t="inlineStr">
        <is>
          <t>Mkt Cap: $1279M</t>
        </is>
      </c>
      <c r="E104" s="95" t="n"/>
      <c r="F104" s="95" t="n"/>
      <c r="G104" s="95" t="n"/>
      <c r="H104" s="95" t="n"/>
      <c r="I104" s="95" t="n"/>
      <c r="J104" s="95" t="n"/>
      <c r="K104" s="95" t="n"/>
    </row>
    <row r="105" ht="16" customHeight="1">
      <c r="A105" s="96" t="inlineStr"/>
      <c r="B105" s="18" t="inlineStr">
        <is>
          <t>Quarter</t>
        </is>
      </c>
      <c r="C105" s="18" t="inlineStr">
        <is>
          <t>2024-03-31</t>
        </is>
      </c>
      <c r="D105" s="18" t="inlineStr">
        <is>
          <t>2024-06-30</t>
        </is>
      </c>
      <c r="E105" s="18" t="inlineStr">
        <is>
          <t>2024-09-30</t>
        </is>
      </c>
      <c r="F105" s="18" t="inlineStr">
        <is>
          <t>2024-12-31</t>
        </is>
      </c>
      <c r="G105" s="18" t="inlineStr">
        <is>
          <t>2025-03-31</t>
        </is>
      </c>
      <c r="H105" s="18" t="inlineStr">
        <is>
          <t>2025-06-30</t>
        </is>
      </c>
      <c r="I105" s="18" t="inlineStr">
        <is>
          <t>2025-09-30</t>
        </is>
      </c>
      <c r="J105" s="18" t="inlineStr">
        <is>
          <t>2025-12-31</t>
        </is>
      </c>
    </row>
    <row r="106" ht="16" customHeight="1">
      <c r="A106" s="96" t="inlineStr"/>
      <c r="B106" s="66" t="inlineStr">
        <is>
          <t>Revenue ($M)</t>
        </is>
      </c>
      <c r="C106" s="97" t="n">
        <v>137.86</v>
      </c>
      <c r="D106" s="97" t="n">
        <v>144.309</v>
      </c>
      <c r="E106" s="97" t="n">
        <v>109.408</v>
      </c>
      <c r="F106" s="97" t="n">
        <v>175.984</v>
      </c>
      <c r="G106" s="97" t="n">
        <v>130.106</v>
      </c>
      <c r="H106" s="97" t="n">
        <v>157.109</v>
      </c>
      <c r="I106" s="97" t="n">
        <v>155.869</v>
      </c>
      <c r="J106" s="97" t="n">
        <v>167.224</v>
      </c>
    </row>
    <row r="107" ht="16" customHeight="1">
      <c r="A107" s="96" t="inlineStr"/>
      <c r="B107" s="94" t="inlineStr">
        <is>
          <t>Gross Margin %</t>
        </is>
      </c>
      <c r="C107" s="71" t="n">
        <v>0.418</v>
      </c>
      <c r="D107" s="71" t="n">
        <v>0.406</v>
      </c>
      <c r="E107" s="71" t="n">
        <v>0.366</v>
      </c>
      <c r="F107" s="71" t="n">
        <v>0.439</v>
      </c>
      <c r="G107" s="71" t="n">
        <v>0.424</v>
      </c>
      <c r="H107" s="71" t="n">
        <v>0.401</v>
      </c>
      <c r="I107" s="71" t="n">
        <v>0.419</v>
      </c>
      <c r="J107" s="71" t="n">
        <v>0.409</v>
      </c>
    </row>
    <row r="108" ht="16" customHeight="1">
      <c r="A108" s="96" t="inlineStr"/>
      <c r="B108" s="27" t="inlineStr">
        <is>
          <t>QoQ Rev Growth</t>
        </is>
      </c>
      <c r="C108" s="49" t="n"/>
      <c r="D108" s="75" t="n">
        <v>0.04677934136080081</v>
      </c>
      <c r="E108" s="75" t="n">
        <v>-0.2418490877214865</v>
      </c>
      <c r="F108" s="75" t="n">
        <v>0.6085112606025154</v>
      </c>
      <c r="G108" s="75" t="n">
        <v>-0.2606941540140013</v>
      </c>
      <c r="H108" s="75" t="n">
        <v>0.2075461546738813</v>
      </c>
      <c r="I108" s="75" t="n">
        <v>-0.007892609589520651</v>
      </c>
      <c r="J108" s="75" t="n">
        <v>0.07284963655377272</v>
      </c>
    </row>
    <row r="109" ht="16" customHeight="1">
      <c r="A109" s="96" t="inlineStr"/>
      <c r="B109" s="20" t="inlineStr">
        <is>
          <t>YoY Rev Growth</t>
        </is>
      </c>
      <c r="C109" s="47" t="n"/>
      <c r="D109" s="47" t="n"/>
      <c r="E109" s="47" t="n"/>
      <c r="F109" s="47" t="n"/>
      <c r="G109" s="71" t="n">
        <v>-0.05624546641520383</v>
      </c>
      <c r="H109" s="71" t="n">
        <v>0.08869855656958332</v>
      </c>
      <c r="I109" s="71" t="n">
        <v>0.4246581602807838</v>
      </c>
      <c r="J109" s="71" t="n">
        <v>-0.04977725247749795</v>
      </c>
    </row>
    <row r="110" ht="8" customHeight="1"/>
    <row r="111" ht="18" customHeight="1">
      <c r="A111" s="94" t="inlineStr">
        <is>
          <t>ELMT  —  Elmet Group Co.</t>
        </is>
      </c>
      <c r="C111" s="37" t="inlineStr">
        <is>
          <t>Small Cap</t>
        </is>
      </c>
      <c r="D111" s="74" t="inlineStr">
        <is>
          <t>Mkt Cap: $503M</t>
        </is>
      </c>
      <c r="E111" s="95" t="n"/>
      <c r="F111" s="95" t="n"/>
      <c r="G111" s="95" t="n"/>
      <c r="H111" s="95" t="n"/>
      <c r="I111" s="95" t="n"/>
      <c r="J111" s="95" t="n"/>
      <c r="K111" s="95" t="n"/>
    </row>
    <row r="112" ht="16" customHeight="1">
      <c r="A112" s="96" t="inlineStr"/>
      <c r="B112" s="18" t="inlineStr">
        <is>
          <t>Quarter</t>
        </is>
      </c>
      <c r="C112" s="18" t="inlineStr">
        <is>
          <t>2024-12-31</t>
        </is>
      </c>
      <c r="D112" s="18" t="inlineStr">
        <is>
          <t>2025-03-31</t>
        </is>
      </c>
      <c r="E112" s="18" t="inlineStr">
        <is>
          <t>2025-09-30</t>
        </is>
      </c>
      <c r="F112" s="18" t="inlineStr">
        <is>
          <t>2025-12-31</t>
        </is>
      </c>
      <c r="G112" s="18" t="inlineStr">
        <is>
          <t>2026-04-03</t>
        </is>
      </c>
      <c r="H112" s="18" t="inlineStr">
        <is>
          <t>2026-07-03</t>
        </is>
      </c>
    </row>
    <row r="113" ht="16" customHeight="1">
      <c r="A113" s="96" t="inlineStr"/>
      <c r="B113" s="66" t="inlineStr">
        <is>
          <t>Revenue ($M)</t>
        </is>
      </c>
      <c r="C113" s="97" t="n">
        <v>46.888</v>
      </c>
      <c r="D113" s="97" t="n">
        <v>46.387</v>
      </c>
      <c r="E113" s="97" t="n">
        <v>51.124</v>
      </c>
      <c r="F113" s="97" t="n">
        <v>54.995</v>
      </c>
      <c r="G113" s="97" t="n">
        <v>56.007</v>
      </c>
      <c r="H113" s="97" t="n">
        <v>66.401</v>
      </c>
    </row>
    <row r="114" ht="16" customHeight="1">
      <c r="A114" s="96" t="inlineStr"/>
      <c r="B114" s="94" t="inlineStr">
        <is>
          <t>Gross Margin %</t>
        </is>
      </c>
      <c r="C114" s="71" t="n">
        <v>0.193</v>
      </c>
      <c r="D114" s="71" t="n">
        <v>0.179</v>
      </c>
      <c r="E114" s="71" t="n">
        <v>0.217</v>
      </c>
      <c r="F114" s="71" t="n">
        <v>0.203</v>
      </c>
      <c r="G114" s="71" t="n">
        <v>0.206</v>
      </c>
      <c r="H114" s="71" t="n">
        <v>0.25</v>
      </c>
    </row>
    <row r="115" ht="16" customHeight="1">
      <c r="A115" s="96" t="inlineStr"/>
      <c r="B115" s="27" t="inlineStr">
        <is>
          <t>QoQ Rev Growth</t>
        </is>
      </c>
      <c r="C115" s="49" t="n"/>
      <c r="D115" s="75" t="n">
        <v>-0.01068503668315987</v>
      </c>
      <c r="E115" s="75" t="n">
        <v>0.1021191282040227</v>
      </c>
      <c r="F115" s="75" t="n">
        <v>0.0757178624520773</v>
      </c>
      <c r="G115" s="75" t="n">
        <v>0.01840167287935267</v>
      </c>
      <c r="H115" s="75" t="n">
        <v>0.1855839448640348</v>
      </c>
    </row>
    <row r="116" ht="16" customHeight="1">
      <c r="A116" s="96" t="inlineStr"/>
      <c r="B116" s="20" t="inlineStr">
        <is>
          <t>YoY Rev Growth</t>
        </is>
      </c>
      <c r="C116" s="47" t="n"/>
      <c r="D116" s="47" t="n"/>
      <c r="E116" s="47" t="n"/>
      <c r="F116" s="47" t="n"/>
      <c r="G116" s="71" t="n">
        <v>0.194484729568333</v>
      </c>
      <c r="H116" s="71" t="n">
        <v>0.4314570892707009</v>
      </c>
    </row>
    <row r="117" ht="8" customHeight="1"/>
    <row r="118" ht="18" customHeight="1">
      <c r="A118" s="94" t="inlineStr">
        <is>
          <t>SWBI  —  Smith &amp; Wesson Brands, Inc.</t>
        </is>
      </c>
      <c r="C118" s="37" t="inlineStr">
        <is>
          <t>Small Cap</t>
        </is>
      </c>
      <c r="D118" s="74" t="inlineStr">
        <is>
          <t>Mkt Cap: $588M</t>
        </is>
      </c>
      <c r="E118" s="95" t="n"/>
      <c r="F118" s="95" t="n"/>
      <c r="G118" s="95" t="n"/>
      <c r="H118" s="95" t="n"/>
      <c r="I118" s="95" t="n"/>
      <c r="J118" s="95" t="n"/>
      <c r="K118" s="95" t="n"/>
    </row>
    <row r="119" ht="16" customHeight="1">
      <c r="A119" s="96" t="inlineStr"/>
      <c r="B119" s="18" t="inlineStr">
        <is>
          <t>Quarter</t>
        </is>
      </c>
      <c r="C119" s="18" t="inlineStr">
        <is>
          <t>2024-04-30</t>
        </is>
      </c>
      <c r="D119" s="18" t="inlineStr">
        <is>
          <t>2024-07-31</t>
        </is>
      </c>
      <c r="E119" s="18" t="inlineStr">
        <is>
          <t>2024-10-31</t>
        </is>
      </c>
      <c r="F119" s="18" t="inlineStr">
        <is>
          <t>2025-01-31</t>
        </is>
      </c>
      <c r="G119" s="18" t="inlineStr">
        <is>
          <t>2025-04-30</t>
        </is>
      </c>
      <c r="H119" s="18" t="inlineStr">
        <is>
          <t>2025-07-31</t>
        </is>
      </c>
      <c r="I119" s="18" t="inlineStr">
        <is>
          <t>2025-10-31</t>
        </is>
      </c>
      <c r="J119" s="18" t="inlineStr">
        <is>
          <t>2026-01-31</t>
        </is>
      </c>
    </row>
    <row r="120" ht="16" customHeight="1">
      <c r="A120" s="96" t="inlineStr"/>
      <c r="B120" s="66" t="inlineStr">
        <is>
          <t>Revenue ($M)</t>
        </is>
      </c>
      <c r="C120" s="97" t="n">
        <v>159.147</v>
      </c>
      <c r="D120" s="97" t="n">
        <v>88.334</v>
      </c>
      <c r="E120" s="97" t="n">
        <v>129.679</v>
      </c>
      <c r="F120" s="97" t="n">
        <v>115.885</v>
      </c>
      <c r="G120" s="97" t="n">
        <v>140.762</v>
      </c>
      <c r="H120" s="97" t="n">
        <v>85.077</v>
      </c>
      <c r="I120" s="97" t="n">
        <v>124.67</v>
      </c>
      <c r="J120" s="97" t="n">
        <v>135.71</v>
      </c>
    </row>
    <row r="121" ht="16" customHeight="1">
      <c r="A121" s="96" t="inlineStr"/>
      <c r="B121" s="94" t="inlineStr">
        <is>
          <t>Gross Margin %</t>
        </is>
      </c>
      <c r="C121" s="71" t="n">
        <v>0.356</v>
      </c>
      <c r="D121" s="71" t="n">
        <v>0.274</v>
      </c>
      <c r="E121" s="71" t="n">
        <v>0.266</v>
      </c>
      <c r="F121" s="71" t="n">
        <v>0.241</v>
      </c>
      <c r="G121" s="71" t="n">
        <v>0.288</v>
      </c>
      <c r="H121" s="71" t="n">
        <v>0.259</v>
      </c>
      <c r="I121" s="71" t="n">
        <v>0.243</v>
      </c>
      <c r="J121" s="71" t="n">
        <v>0.262</v>
      </c>
    </row>
    <row r="122" ht="16" customHeight="1">
      <c r="A122" s="96" t="inlineStr"/>
      <c r="B122" s="27" t="inlineStr">
        <is>
          <t>QoQ Rev Growth</t>
        </is>
      </c>
      <c r="C122" s="49" t="n"/>
      <c r="D122" s="75" t="n">
        <v>-0.4449534078556303</v>
      </c>
      <c r="E122" s="75" t="n">
        <v>0.4680530712975751</v>
      </c>
      <c r="F122" s="75" t="n">
        <v>-0.1063703452370854</v>
      </c>
      <c r="G122" s="75" t="n">
        <v>0.2146697156663934</v>
      </c>
      <c r="H122" s="75" t="n">
        <v>-0.3955968230062091</v>
      </c>
      <c r="I122" s="75" t="n">
        <v>0.465378421900161</v>
      </c>
      <c r="J122" s="75" t="n">
        <v>0.08855378198443892</v>
      </c>
    </row>
    <row r="123" ht="16" customHeight="1">
      <c r="A123" s="96" t="inlineStr"/>
      <c r="B123" s="20" t="inlineStr">
        <is>
          <t>YoY Rev Growth</t>
        </is>
      </c>
      <c r="C123" s="47" t="n"/>
      <c r="D123" s="47" t="n"/>
      <c r="E123" s="47" t="n"/>
      <c r="F123" s="47" t="n"/>
      <c r="G123" s="71" t="n">
        <v>-0.1155221273413888</v>
      </c>
      <c r="H123" s="71" t="n">
        <v>-0.03687141983834084</v>
      </c>
      <c r="I123" s="71" t="n">
        <v>-0.03862614609921421</v>
      </c>
      <c r="J123" s="71" t="n">
        <v>0.1710747724036761</v>
      </c>
    </row>
    <row r="124" ht="8" customHeight="1"/>
    <row r="125" ht="18" customHeight="1">
      <c r="A125" s="94" t="inlineStr">
        <is>
          <t>AVEX  —  Aevex Corp.</t>
        </is>
      </c>
      <c r="C125" s="37" t="inlineStr">
        <is>
          <t>Small Cap</t>
        </is>
      </c>
      <c r="D125" s="74" t="inlineStr">
        <is>
          <t>Mkt Cap: $943M</t>
        </is>
      </c>
      <c r="E125" s="95" t="n"/>
      <c r="F125" s="95" t="n"/>
      <c r="G125" s="95" t="n"/>
      <c r="H125" s="95" t="n"/>
      <c r="I125" s="95" t="n"/>
      <c r="J125" s="95" t="n"/>
      <c r="K125" s="95" t="n"/>
    </row>
    <row r="126" ht="16" customHeight="1">
      <c r="A126" s="96" t="inlineStr"/>
      <c r="B126" s="18" t="inlineStr">
        <is>
          <t>Quarter</t>
        </is>
      </c>
      <c r="C126" s="18" t="inlineStr">
        <is>
          <t>2025-06-30</t>
        </is>
      </c>
      <c r="D126" s="18" t="inlineStr">
        <is>
          <t>2025-09-30</t>
        </is>
      </c>
      <c r="E126" s="18" t="inlineStr">
        <is>
          <t>2025-12-31</t>
        </is>
      </c>
      <c r="F126" s="18" t="inlineStr">
        <is>
          <t>2026-03-31</t>
        </is>
      </c>
      <c r="G126" s="18" t="inlineStr">
        <is>
          <t>2026-06-30</t>
        </is>
      </c>
    </row>
    <row r="127" ht="16" customHeight="1">
      <c r="A127" s="96" t="inlineStr"/>
      <c r="B127" s="66" t="inlineStr">
        <is>
          <t>Revenue ($M)</t>
        </is>
      </c>
      <c r="C127" s="97" t="n">
        <v>101.134</v>
      </c>
      <c r="D127" s="97" t="n">
        <v>121.235</v>
      </c>
      <c r="E127" s="97" t="n">
        <v>157.306</v>
      </c>
      <c r="F127" s="97" t="n">
        <v>216.693</v>
      </c>
      <c r="G127" s="97" t="n">
        <v>201.791</v>
      </c>
    </row>
    <row r="128" ht="16" customHeight="1">
      <c r="A128" s="96" t="inlineStr"/>
      <c r="B128" s="94" t="inlineStr">
        <is>
          <t>Gross Margin %</t>
        </is>
      </c>
      <c r="C128" s="71" t="n">
        <v>0.141</v>
      </c>
      <c r="D128" s="71" t="n">
        <v>0.216</v>
      </c>
      <c r="E128" s="71" t="n">
        <v>0.244</v>
      </c>
      <c r="F128" s="71" t="n">
        <v>0.261</v>
      </c>
      <c r="G128" s="71" t="n">
        <v>0.236</v>
      </c>
    </row>
    <row r="129" ht="16" customHeight="1">
      <c r="A129" s="96" t="inlineStr"/>
      <c r="B129" s="27" t="inlineStr">
        <is>
          <t>QoQ Rev Growth</t>
        </is>
      </c>
      <c r="C129" s="49" t="n"/>
      <c r="D129" s="75" t="n">
        <v>0.198756105760674</v>
      </c>
      <c r="E129" s="75" t="n">
        <v>0.2975295912896441</v>
      </c>
      <c r="F129" s="75" t="n">
        <v>0.3775253327908662</v>
      </c>
      <c r="G129" s="75" t="n">
        <v>-0.06877010332590347</v>
      </c>
    </row>
    <row r="130" ht="16" customHeight="1">
      <c r="A130" s="96" t="inlineStr"/>
      <c r="B130" s="20" t="inlineStr">
        <is>
          <t>YoY Rev Growth</t>
        </is>
      </c>
      <c r="C130" s="47" t="n"/>
      <c r="D130" s="47" t="n"/>
      <c r="E130" s="47" t="n"/>
      <c r="F130" s="47" t="n"/>
      <c r="G130" s="71" t="n">
        <v>0.9952834852769593</v>
      </c>
    </row>
    <row r="131" ht="8" customHeight="1"/>
    <row r="132" ht="18" customHeight="1">
      <c r="A132" s="94" t="inlineStr">
        <is>
          <t>PKE  —  Park Aerospace Corp.</t>
        </is>
      </c>
      <c r="C132" s="37" t="inlineStr">
        <is>
          <t>Small Cap</t>
        </is>
      </c>
      <c r="D132" s="74" t="inlineStr">
        <is>
          <t>Mkt Cap: $685M</t>
        </is>
      </c>
      <c r="E132" s="95" t="n"/>
      <c r="F132" s="95" t="n"/>
      <c r="G132" s="95" t="n"/>
      <c r="H132" s="95" t="n"/>
      <c r="I132" s="95" t="n"/>
      <c r="J132" s="95" t="n"/>
      <c r="K132" s="95" t="n"/>
    </row>
    <row r="133" ht="16" customHeight="1">
      <c r="A133" s="96" t="inlineStr"/>
      <c r="B133" s="18" t="inlineStr">
        <is>
          <t>Quarter</t>
        </is>
      </c>
      <c r="C133" s="18" t="inlineStr">
        <is>
          <t>2024-02-28</t>
        </is>
      </c>
      <c r="D133" s="18" t="inlineStr">
        <is>
          <t>2024-06-02</t>
        </is>
      </c>
      <c r="E133" s="18" t="inlineStr">
        <is>
          <t>2024-09-01</t>
        </is>
      </c>
      <c r="F133" s="18" t="inlineStr">
        <is>
          <t>2024-12-01</t>
        </is>
      </c>
      <c r="G133" s="18" t="inlineStr">
        <is>
          <t>2025-03-02</t>
        </is>
      </c>
      <c r="H133" s="18" t="inlineStr">
        <is>
          <t>2025-06-01</t>
        </is>
      </c>
      <c r="I133" s="18" t="inlineStr">
        <is>
          <t>2025-08-31</t>
        </is>
      </c>
      <c r="J133" s="18" t="inlineStr">
        <is>
          <t>2025-11-30</t>
        </is>
      </c>
    </row>
    <row r="134" ht="16" customHeight="1">
      <c r="A134" s="96" t="inlineStr"/>
      <c r="B134" s="66" t="inlineStr">
        <is>
          <t>Revenue ($M)</t>
        </is>
      </c>
      <c r="C134" s="97" t="n">
        <v>16.333</v>
      </c>
      <c r="D134" s="97" t="n">
        <v>13.97</v>
      </c>
      <c r="E134" s="97" t="n">
        <v>16.709</v>
      </c>
      <c r="F134" s="97" t="n">
        <v>14.408</v>
      </c>
      <c r="G134" s="97" t="n">
        <v>16.939</v>
      </c>
      <c r="H134" s="97" t="n">
        <v>15.4</v>
      </c>
      <c r="I134" s="97" t="n">
        <v>16.381</v>
      </c>
      <c r="J134" s="97" t="n">
        <v>17.333</v>
      </c>
    </row>
    <row r="135" ht="16" customHeight="1">
      <c r="A135" s="96" t="inlineStr"/>
      <c r="B135" s="94" t="inlineStr">
        <is>
          <t>Gross Margin %</t>
        </is>
      </c>
      <c r="C135" s="71" t="n">
        <v>0.273</v>
      </c>
      <c r="D135" s="71" t="n">
        <v>0.293</v>
      </c>
      <c r="E135" s="71" t="n">
        <v>0.285</v>
      </c>
      <c r="F135" s="71" t="n">
        <v>0.266</v>
      </c>
      <c r="G135" s="71" t="n">
        <v>0.293</v>
      </c>
      <c r="H135" s="71" t="n">
        <v>0.306</v>
      </c>
      <c r="I135" s="71" t="n">
        <v>0.312</v>
      </c>
      <c r="J135" s="71" t="n">
        <v>0.341</v>
      </c>
    </row>
    <row r="136" ht="16" customHeight="1">
      <c r="A136" s="96" t="inlineStr"/>
      <c r="B136" s="27" t="inlineStr">
        <is>
          <t>QoQ Rev Growth</t>
        </is>
      </c>
      <c r="C136" s="49" t="n"/>
      <c r="D136" s="75" t="n">
        <v>-0.1446764219677953</v>
      </c>
      <c r="E136" s="75" t="n">
        <v>0.1960629921259842</v>
      </c>
      <c r="F136" s="75" t="n">
        <v>-0.1377102160512299</v>
      </c>
      <c r="G136" s="75" t="n">
        <v>0.1756662965019434</v>
      </c>
      <c r="H136" s="75" t="n">
        <v>-0.09085542239801642</v>
      </c>
      <c r="I136" s="75" t="n">
        <v>0.0637012987012987</v>
      </c>
      <c r="J136" s="75" t="n">
        <v>0.05811611012758684</v>
      </c>
    </row>
    <row r="137" ht="16" customHeight="1">
      <c r="A137" s="96" t="inlineStr"/>
      <c r="B137" s="20" t="inlineStr">
        <is>
          <t>YoY Rev Growth</t>
        </is>
      </c>
      <c r="C137" s="47" t="n"/>
      <c r="D137" s="47" t="n"/>
      <c r="E137" s="47" t="n"/>
      <c r="F137" s="47" t="n"/>
      <c r="G137" s="71" t="n">
        <v>0.03710279801628605</v>
      </c>
      <c r="H137" s="71" t="n">
        <v>0.1023622047244094</v>
      </c>
      <c r="I137" s="71" t="n">
        <v>-0.01963013944580765</v>
      </c>
      <c r="J137" s="71" t="n">
        <v>0.2030122154358689</v>
      </c>
    </row>
    <row r="138" ht="8" customHeight="1"/>
    <row r="139" ht="18" customHeight="1">
      <c r="A139" s="94" t="inlineStr">
        <is>
          <t>EVLV  —  Evolv Technologies Holdings, Inc.</t>
        </is>
      </c>
      <c r="C139" s="37" t="inlineStr">
        <is>
          <t>Small Cap</t>
        </is>
      </c>
      <c r="D139" s="74" t="inlineStr">
        <is>
          <t>Mkt Cap: $913M</t>
        </is>
      </c>
      <c r="E139" s="95" t="n"/>
      <c r="F139" s="95" t="n"/>
      <c r="G139" s="95" t="n"/>
      <c r="H139" s="95" t="n"/>
      <c r="I139" s="95" t="n"/>
      <c r="J139" s="95" t="n"/>
      <c r="K139" s="95" t="n"/>
    </row>
    <row r="140" ht="16" customHeight="1">
      <c r="A140" s="96" t="inlineStr"/>
      <c r="B140" s="18" t="inlineStr">
        <is>
          <t>Quarter</t>
        </is>
      </c>
      <c r="C140" s="18" t="inlineStr">
        <is>
          <t>2024-03-31</t>
        </is>
      </c>
      <c r="D140" s="18" t="inlineStr">
        <is>
          <t>2024-06-30</t>
        </is>
      </c>
      <c r="E140" s="18" t="inlineStr">
        <is>
          <t>2024-09-30</t>
        </is>
      </c>
      <c r="F140" s="18" t="inlineStr">
        <is>
          <t>2024-12-31</t>
        </is>
      </c>
      <c r="G140" s="18" t="inlineStr">
        <is>
          <t>2025-03-31</t>
        </is>
      </c>
      <c r="H140" s="18" t="inlineStr">
        <is>
          <t>2025-06-30</t>
        </is>
      </c>
      <c r="I140" s="18" t="inlineStr">
        <is>
          <t>2025-09-30</t>
        </is>
      </c>
      <c r="J140" s="18" t="inlineStr">
        <is>
          <t>2025-12-31</t>
        </is>
      </c>
    </row>
    <row r="141" ht="16" customHeight="1">
      <c r="A141" s="96" t="inlineStr"/>
      <c r="B141" s="66" t="inlineStr">
        <is>
          <t>Revenue ($M)</t>
        </is>
      </c>
      <c r="C141" s="97" t="n">
        <v>22.181</v>
      </c>
      <c r="D141" s="97" t="n">
        <v>25.54</v>
      </c>
      <c r="E141" s="97" t="n">
        <v>27.36</v>
      </c>
      <c r="F141" s="97" t="n">
        <v>29.1</v>
      </c>
      <c r="G141" s="97" t="n">
        <v>32.007</v>
      </c>
      <c r="H141" s="97" t="n">
        <v>32.544</v>
      </c>
      <c r="I141" s="97" t="n">
        <v>42.85</v>
      </c>
      <c r="J141" s="97" t="n">
        <v>38.504</v>
      </c>
    </row>
    <row r="142" ht="16" customHeight="1">
      <c r="A142" s="96" t="inlineStr"/>
      <c r="B142" s="94" t="inlineStr">
        <is>
          <t>Gross Margin %</t>
        </is>
      </c>
      <c r="C142" s="71" t="n">
        <v>0.5479999999999999</v>
      </c>
      <c r="D142" s="71" t="n">
        <v>0.5670000000000001</v>
      </c>
      <c r="E142" s="71" t="n">
        <v>0.578</v>
      </c>
      <c r="F142" s="71" t="n">
        <v>0.575</v>
      </c>
      <c r="G142" s="71" t="n">
        <v>0.598</v>
      </c>
      <c r="H142" s="71" t="n">
        <v>0.498</v>
      </c>
      <c r="I142" s="71" t="n">
        <v>0.4970000000000001</v>
      </c>
      <c r="J142" s="71" t="n">
        <v>0.484</v>
      </c>
    </row>
    <row r="143" ht="16" customHeight="1">
      <c r="A143" s="96" t="inlineStr"/>
      <c r="B143" s="27" t="inlineStr">
        <is>
          <t>QoQ Rev Growth</t>
        </is>
      </c>
      <c r="C143" s="49" t="n"/>
      <c r="D143" s="75" t="n">
        <v>0.1514359136197647</v>
      </c>
      <c r="E143" s="75" t="n">
        <v>0.07126076742364917</v>
      </c>
      <c r="F143" s="75" t="n">
        <v>0.06359649122807018</v>
      </c>
      <c r="G143" s="75" t="n">
        <v>0.09989690721649484</v>
      </c>
      <c r="H143" s="75" t="n">
        <v>0.01677757990439591</v>
      </c>
      <c r="I143" s="75" t="n">
        <v>0.3166789577187807</v>
      </c>
      <c r="J143" s="75" t="n">
        <v>-0.1014235705950992</v>
      </c>
    </row>
    <row r="144" ht="16" customHeight="1">
      <c r="A144" s="96" t="inlineStr"/>
      <c r="B144" s="20" t="inlineStr">
        <is>
          <t>YoY Rev Growth</t>
        </is>
      </c>
      <c r="C144" s="47" t="n"/>
      <c r="D144" s="47" t="n"/>
      <c r="E144" s="47" t="n"/>
      <c r="F144" s="47" t="n"/>
      <c r="G144" s="71" t="n">
        <v>0.4429917496956855</v>
      </c>
      <c r="H144" s="71" t="n">
        <v>0.2742364917776038</v>
      </c>
      <c r="I144" s="71" t="n">
        <v>0.5661549707602339</v>
      </c>
      <c r="J144" s="71" t="n">
        <v>0.3231615120274914</v>
      </c>
    </row>
    <row r="145" ht="8" customHeight="1"/>
    <row r="146" ht="22" customHeight="1">
      <c r="A146" s="16" t="inlineStr">
        <is>
          <t xml:space="preserve">  Breakout</t>
        </is>
      </c>
      <c r="B146" s="17" t="n"/>
      <c r="C146" s="17" t="n"/>
      <c r="D146" s="17" t="n"/>
      <c r="E146" s="17" t="n"/>
      <c r="F146" s="17" t="n"/>
      <c r="G146" s="17" t="n"/>
      <c r="H146" s="17" t="n"/>
      <c r="I146" s="17" t="n"/>
      <c r="J146" s="17" t="n"/>
      <c r="K146" s="17" t="n"/>
    </row>
    <row r="147" ht="18" customHeight="1">
      <c r="A147" s="94" t="inlineStr">
        <is>
          <t>KRMN  —  Karman Holdings Inc.</t>
        </is>
      </c>
      <c r="C147" s="37" t="inlineStr">
        <is>
          <t>Breakout</t>
        </is>
      </c>
      <c r="D147" s="74" t="inlineStr">
        <is>
          <t>Mkt Cap: $5402M</t>
        </is>
      </c>
      <c r="E147" s="95" t="n"/>
      <c r="F147" s="95" t="n"/>
      <c r="G147" s="95" t="n"/>
      <c r="H147" s="95" t="n"/>
      <c r="I147" s="95" t="n"/>
      <c r="J147" s="95" t="n"/>
      <c r="K147" s="95" t="n"/>
    </row>
    <row r="148" ht="16" customHeight="1">
      <c r="A148" s="96" t="inlineStr"/>
      <c r="B148" s="18" t="inlineStr">
        <is>
          <t>Quarter</t>
        </is>
      </c>
      <c r="C148" s="18" t="inlineStr">
        <is>
          <t>2024-03-30</t>
        </is>
      </c>
      <c r="D148" s="18" t="inlineStr">
        <is>
          <t>2024-06-30</t>
        </is>
      </c>
      <c r="E148" s="18" t="inlineStr">
        <is>
          <t>2024-09-30</t>
        </is>
      </c>
      <c r="F148" s="18" t="inlineStr">
        <is>
          <t>2024-12-31</t>
        </is>
      </c>
      <c r="G148" s="18" t="inlineStr">
        <is>
          <t>2025-03-31</t>
        </is>
      </c>
      <c r="H148" s="18" t="inlineStr">
        <is>
          <t>2025-06-30</t>
        </is>
      </c>
      <c r="I148" s="18" t="inlineStr">
        <is>
          <t>2025-09-30</t>
        </is>
      </c>
      <c r="J148" s="18" t="inlineStr">
        <is>
          <t>2025-12-31</t>
        </is>
      </c>
    </row>
    <row r="149" ht="16" customHeight="1">
      <c r="A149" s="96" t="inlineStr"/>
      <c r="B149" s="66" t="inlineStr">
        <is>
          <t>Revenue ($M)</t>
        </is>
      </c>
      <c r="C149" s="97" t="n">
        <v>83.006</v>
      </c>
      <c r="D149" s="97" t="n">
        <v>85.039</v>
      </c>
      <c r="E149" s="97" t="n">
        <v>85.968</v>
      </c>
      <c r="F149" s="97" t="n">
        <v>91.23796900000001</v>
      </c>
      <c r="G149" s="97" t="n">
        <v>100.124</v>
      </c>
      <c r="H149" s="97" t="n">
        <v>115.097</v>
      </c>
      <c r="I149" s="97" t="n">
        <v>121.787</v>
      </c>
      <c r="J149" s="97" t="n">
        <v>134.492</v>
      </c>
    </row>
    <row r="150" ht="16" customHeight="1">
      <c r="A150" s="96" t="inlineStr"/>
      <c r="B150" s="94" t="inlineStr">
        <is>
          <t>Gross Margin %</t>
        </is>
      </c>
      <c r="C150" s="71" t="n">
        <v>0.349</v>
      </c>
      <c r="D150" s="71" t="n">
        <v>0.407</v>
      </c>
      <c r="E150" s="71" t="n">
        <v>0.393</v>
      </c>
      <c r="F150" s="71" t="n">
        <v>0.381</v>
      </c>
      <c r="G150" s="71" t="n">
        <v>0.394</v>
      </c>
      <c r="H150" s="71" t="n">
        <v>0.409</v>
      </c>
      <c r="I150" s="71" t="n">
        <v>0.41</v>
      </c>
      <c r="J150" s="71" t="n">
        <v>0.399</v>
      </c>
    </row>
    <row r="151" ht="16" customHeight="1">
      <c r="A151" s="96" t="inlineStr"/>
      <c r="B151" s="27" t="inlineStr">
        <is>
          <t>QoQ Rev Growth</t>
        </is>
      </c>
      <c r="C151" s="49" t="n"/>
      <c r="D151" s="75" t="n">
        <v>0.02449220538274342</v>
      </c>
      <c r="E151" s="75" t="n">
        <v>0.01092439939321958</v>
      </c>
      <c r="F151" s="75" t="n">
        <v>0.06130151916992369</v>
      </c>
      <c r="G151" s="75" t="n">
        <v>0.09739400270955177</v>
      </c>
      <c r="H151" s="75" t="n">
        <v>0.1495445647397227</v>
      </c>
      <c r="I151" s="75" t="n">
        <v>0.05812488596575063</v>
      </c>
      <c r="J151" s="75" t="n">
        <v>0.1043214793040308</v>
      </c>
    </row>
    <row r="152" ht="16" customHeight="1">
      <c r="A152" s="96" t="inlineStr"/>
      <c r="B152" s="20" t="inlineStr">
        <is>
          <t>YoY Rev Growth</t>
        </is>
      </c>
      <c r="C152" s="47" t="n"/>
      <c r="D152" s="47" t="n"/>
      <c r="E152" s="47" t="n"/>
      <c r="F152" s="47" t="n"/>
      <c r="G152" s="71" t="n">
        <v>0.2062260559477628</v>
      </c>
      <c r="H152" s="71" t="n">
        <v>0.3534613530262585</v>
      </c>
      <c r="I152" s="71" t="n">
        <v>0.4166550344314163</v>
      </c>
      <c r="J152" s="71" t="n">
        <v>0.4740792838122032</v>
      </c>
    </row>
    <row r="153" ht="8" customHeight="1"/>
    <row r="154" ht="18" customHeight="1">
      <c r="A154" s="94" t="inlineStr">
        <is>
          <t>AADX  —  Applied Aerospace &amp; Defense, Inc.</t>
        </is>
      </c>
      <c r="C154" s="37" t="inlineStr">
        <is>
          <t>Breakout</t>
        </is>
      </c>
      <c r="D154" s="74" t="inlineStr">
        <is>
          <t>Mkt Cap: $2185M</t>
        </is>
      </c>
      <c r="E154" s="95" t="n"/>
      <c r="F154" s="95" t="n"/>
      <c r="G154" s="95" t="n"/>
      <c r="H154" s="95" t="n"/>
      <c r="I154" s="95" t="n"/>
      <c r="J154" s="95" t="n"/>
      <c r="K154" s="95" t="n"/>
    </row>
    <row r="155" ht="16" customHeight="1">
      <c r="A155" s="96" t="inlineStr"/>
      <c r="B155" s="18" t="inlineStr">
        <is>
          <t>Quarter</t>
        </is>
      </c>
      <c r="C155" s="18" t="inlineStr">
        <is>
          <t>2024-03-31</t>
        </is>
      </c>
      <c r="D155" s="18" t="inlineStr">
        <is>
          <t>2024-06-30</t>
        </is>
      </c>
      <c r="E155" s="18" t="inlineStr">
        <is>
          <t>2024-09-30</t>
        </is>
      </c>
      <c r="F155" s="18" t="inlineStr">
        <is>
          <t>2024-12-31</t>
        </is>
      </c>
      <c r="G155" s="18" t="inlineStr">
        <is>
          <t>2025-03-31</t>
        </is>
      </c>
      <c r="H155" s="18" t="inlineStr">
        <is>
          <t>2025-06-30</t>
        </is>
      </c>
      <c r="I155" s="18" t="inlineStr">
        <is>
          <t>2025-09-30</t>
        </is>
      </c>
      <c r="J155" s="18" t="inlineStr">
        <is>
          <t>2025-12-31</t>
        </is>
      </c>
    </row>
    <row r="156" ht="16" customHeight="1">
      <c r="A156" s="96" t="inlineStr"/>
      <c r="B156" s="66" t="inlineStr">
        <is>
          <t>Revenue ($M)</t>
        </is>
      </c>
      <c r="C156" s="97" t="n">
        <v>92.867</v>
      </c>
      <c r="D156" s="97" t="n">
        <v>105.355</v>
      </c>
      <c r="E156" s="97" t="n">
        <v>103.699</v>
      </c>
      <c r="F156" s="97" t="n">
        <v>97.869</v>
      </c>
      <c r="G156" s="97" t="n">
        <v>111.024</v>
      </c>
      <c r="H156" s="97" t="n">
        <v>113.499</v>
      </c>
      <c r="I156" s="97" t="n">
        <v>122.516</v>
      </c>
      <c r="J156" s="97" t="n">
        <v>151.724</v>
      </c>
    </row>
    <row r="157" ht="16" customHeight="1">
      <c r="A157" s="96" t="inlineStr"/>
      <c r="B157" s="94" t="inlineStr">
        <is>
          <t>Gross Margin %</t>
        </is>
      </c>
      <c r="C157" s="71" t="n">
        <v>0.167</v>
      </c>
      <c r="D157" s="71" t="n">
        <v>0.211</v>
      </c>
      <c r="E157" s="71" t="n">
        <v>0.205</v>
      </c>
      <c r="F157" s="71" t="n">
        <v>0.16</v>
      </c>
      <c r="G157" s="71" t="n">
        <v>0.278</v>
      </c>
      <c r="H157" s="71" t="n">
        <v>0.225</v>
      </c>
      <c r="I157" s="71" t="n">
        <v>0.227</v>
      </c>
      <c r="J157" s="71" t="n">
        <v>0.235</v>
      </c>
    </row>
    <row r="158" ht="16" customHeight="1">
      <c r="A158" s="96" t="inlineStr"/>
      <c r="B158" s="27" t="inlineStr">
        <is>
          <t>QoQ Rev Growth</t>
        </is>
      </c>
      <c r="C158" s="49" t="n"/>
      <c r="D158" s="75" t="n">
        <v>0.1344718791389837</v>
      </c>
      <c r="E158" s="75" t="n">
        <v>-0.0157182857956433</v>
      </c>
      <c r="F158" s="75" t="n">
        <v>-0.05622040713989528</v>
      </c>
      <c r="G158" s="75" t="n">
        <v>0.1344143702295926</v>
      </c>
      <c r="H158" s="75" t="n">
        <v>0.02229247730220493</v>
      </c>
      <c r="I158" s="75" t="n">
        <v>0.07944563388223685</v>
      </c>
      <c r="J158" s="75" t="n">
        <v>0.2384015149041758</v>
      </c>
    </row>
    <row r="159" ht="16" customHeight="1">
      <c r="A159" s="96" t="inlineStr"/>
      <c r="B159" s="20" t="inlineStr">
        <is>
          <t>YoY Rev Growth</t>
        </is>
      </c>
      <c r="C159" s="47" t="n"/>
      <c r="D159" s="47" t="n"/>
      <c r="E159" s="47" t="n"/>
      <c r="F159" s="47" t="n"/>
      <c r="G159" s="71" t="n">
        <v>0.1955161682836745</v>
      </c>
      <c r="H159" s="71" t="n">
        <v>0.07730055526553083</v>
      </c>
      <c r="I159" s="71" t="n">
        <v>0.1814578732678232</v>
      </c>
      <c r="J159" s="71" t="n">
        <v>0.550276389868089</v>
      </c>
    </row>
    <row r="160" ht="8" customHeight="1"/>
    <row r="161" ht="18" customHeight="1">
      <c r="A161" s="94" t="inlineStr">
        <is>
          <t>VSH  —  Vishay Intertechnology, Inc.</t>
        </is>
      </c>
      <c r="C161" s="37" t="inlineStr">
        <is>
          <t>Breakout</t>
        </is>
      </c>
      <c r="D161" s="74" t="inlineStr">
        <is>
          <t>Mkt Cap: $4485M</t>
        </is>
      </c>
      <c r="E161" s="95" t="n"/>
      <c r="F161" s="95" t="n"/>
      <c r="G161" s="95" t="n"/>
      <c r="H161" s="95" t="n"/>
      <c r="I161" s="95" t="n"/>
      <c r="J161" s="95" t="n"/>
      <c r="K161" s="95" t="n"/>
    </row>
    <row r="162" ht="16" customHeight="1">
      <c r="A162" s="96" t="inlineStr"/>
      <c r="B162" s="18" t="inlineStr">
        <is>
          <t>Quarter</t>
        </is>
      </c>
      <c r="C162" s="18" t="inlineStr">
        <is>
          <t>2024-03-30</t>
        </is>
      </c>
      <c r="D162" s="18" t="inlineStr">
        <is>
          <t>2024-06-29</t>
        </is>
      </c>
      <c r="E162" s="18" t="inlineStr">
        <is>
          <t>2024-09-28</t>
        </is>
      </c>
      <c r="F162" s="18" t="inlineStr">
        <is>
          <t>2024-12-31</t>
        </is>
      </c>
      <c r="G162" s="18" t="inlineStr">
        <is>
          <t>2025-03-29</t>
        </is>
      </c>
      <c r="H162" s="18" t="inlineStr">
        <is>
          <t>2025-06-28</t>
        </is>
      </c>
      <c r="I162" s="18" t="inlineStr">
        <is>
          <t>2025-09-27</t>
        </is>
      </c>
      <c r="J162" s="18" t="inlineStr">
        <is>
          <t>2025-12-31</t>
        </is>
      </c>
    </row>
    <row r="163" ht="16" customHeight="1">
      <c r="A163" s="96" t="inlineStr"/>
      <c r="B163" s="66" t="inlineStr">
        <is>
          <t>Revenue ($M)</t>
        </is>
      </c>
      <c r="C163" s="97" t="n">
        <v>746.279</v>
      </c>
      <c r="D163" s="97" t="n">
        <v>741.239</v>
      </c>
      <c r="E163" s="97" t="n">
        <v>735.353</v>
      </c>
      <c r="F163" s="97" t="n">
        <v>714.716</v>
      </c>
      <c r="G163" s="97" t="n">
        <v>715.236</v>
      </c>
      <c r="H163" s="97" t="n">
        <v>762.25</v>
      </c>
      <c r="I163" s="97" t="n">
        <v>790.64</v>
      </c>
      <c r="J163" s="97" t="n">
        <v>800.922</v>
      </c>
    </row>
    <row r="164" ht="16" customHeight="1">
      <c r="A164" s="96" t="inlineStr"/>
      <c r="B164" s="94" t="inlineStr">
        <is>
          <t>Gross Margin %</t>
        </is>
      </c>
      <c r="C164" s="71" t="n">
        <v>0.228</v>
      </c>
      <c r="D164" s="71" t="n">
        <v>0.22</v>
      </c>
      <c r="E164" s="71" t="n">
        <v>0.205</v>
      </c>
      <c r="F164" s="71" t="n">
        <v>0.199</v>
      </c>
      <c r="G164" s="71" t="n">
        <v>0.19</v>
      </c>
      <c r="H164" s="71" t="n">
        <v>0.195</v>
      </c>
      <c r="I164" s="71" t="n">
        <v>0.195</v>
      </c>
      <c r="J164" s="71" t="n">
        <v>0.196</v>
      </c>
    </row>
    <row r="165" ht="16" customHeight="1">
      <c r="A165" s="96" t="inlineStr"/>
      <c r="B165" s="27" t="inlineStr">
        <is>
          <t>QoQ Rev Growth</t>
        </is>
      </c>
      <c r="C165" s="49" t="n"/>
      <c r="D165" s="75" t="n">
        <v>-0.006753506396401346</v>
      </c>
      <c r="E165" s="75" t="n">
        <v>-0.007940758648694955</v>
      </c>
      <c r="F165" s="75" t="n">
        <v>-0.02806407262906387</v>
      </c>
      <c r="G165" s="75" t="n">
        <v>0.0007275617168217865</v>
      </c>
      <c r="H165" s="75" t="n">
        <v>0.06573214994770957</v>
      </c>
      <c r="I165" s="75" t="n">
        <v>0.03724499836011807</v>
      </c>
      <c r="J165" s="75" t="n">
        <v>0.01300465445714864</v>
      </c>
    </row>
    <row r="166" ht="16" customHeight="1">
      <c r="A166" s="96" t="inlineStr"/>
      <c r="B166" s="20" t="inlineStr">
        <is>
          <t>YoY Rev Growth</t>
        </is>
      </c>
      <c r="C166" s="47" t="n"/>
      <c r="D166" s="47" t="n"/>
      <c r="E166" s="47" t="n"/>
      <c r="F166" s="47" t="n"/>
      <c r="G166" s="71" t="n">
        <v>-0.04159704346497758</v>
      </c>
      <c r="H166" s="71" t="n">
        <v>0.02834578320892452</v>
      </c>
      <c r="I166" s="71" t="n">
        <v>0.07518429924131675</v>
      </c>
      <c r="J166" s="71" t="n">
        <v>0.1206157410775749</v>
      </c>
    </row>
    <row r="167" ht="8" customHeight="1"/>
    <row r="168" ht="18" customHeight="1">
      <c r="A168" s="94" t="inlineStr">
        <is>
          <t>RUN  —  Sunrun Inc.</t>
        </is>
      </c>
      <c r="C168" s="37" t="inlineStr">
        <is>
          <t>Breakout</t>
        </is>
      </c>
      <c r="D168" s="74" t="inlineStr">
        <is>
          <t>Mkt Cap: $2189M</t>
        </is>
      </c>
      <c r="E168" s="95" t="n"/>
      <c r="F168" s="95" t="n"/>
      <c r="G168" s="95" t="n"/>
      <c r="H168" s="95" t="n"/>
      <c r="I168" s="95" t="n"/>
      <c r="J168" s="95" t="n"/>
      <c r="K168" s="95" t="n"/>
    </row>
    <row r="169" ht="16" customHeight="1">
      <c r="A169" s="96" t="inlineStr"/>
      <c r="B169" s="18" t="inlineStr">
        <is>
          <t>Quarter</t>
        </is>
      </c>
      <c r="C169" s="18" t="inlineStr">
        <is>
          <t>2024-03-31</t>
        </is>
      </c>
      <c r="D169" s="18" t="inlineStr">
        <is>
          <t>2024-06-30</t>
        </is>
      </c>
      <c r="E169" s="18" t="inlineStr">
        <is>
          <t>2024-09-30</t>
        </is>
      </c>
      <c r="F169" s="18" t="inlineStr">
        <is>
          <t>2024-12-31</t>
        </is>
      </c>
      <c r="G169" s="18" t="inlineStr">
        <is>
          <t>2025-03-31</t>
        </is>
      </c>
      <c r="H169" s="18" t="inlineStr">
        <is>
          <t>2025-06-30</t>
        </is>
      </c>
      <c r="I169" s="18" t="inlineStr">
        <is>
          <t>2025-09-30</t>
        </is>
      </c>
      <c r="J169" s="18" t="inlineStr">
        <is>
          <t>2025-12-31</t>
        </is>
      </c>
    </row>
    <row r="170" ht="16" customHeight="1">
      <c r="A170" s="96" t="inlineStr"/>
      <c r="B170" s="66" t="inlineStr">
        <is>
          <t>Revenue ($M)</t>
        </is>
      </c>
      <c r="C170" s="97" t="n">
        <v>458.188</v>
      </c>
      <c r="D170" s="97" t="n">
        <v>523.866</v>
      </c>
      <c r="E170" s="97" t="n">
        <v>537.173</v>
      </c>
      <c r="F170" s="97" t="n">
        <v>518.492</v>
      </c>
      <c r="G170" s="97" t="n">
        <v>504.271</v>
      </c>
      <c r="H170" s="97" t="n">
        <v>569.336</v>
      </c>
      <c r="I170" s="97" t="n">
        <v>724.557</v>
      </c>
      <c r="J170" s="97" t="n">
        <v>1158.833</v>
      </c>
    </row>
    <row r="171" ht="16" customHeight="1">
      <c r="A171" s="96" t="inlineStr"/>
      <c r="B171" s="94" t="inlineStr">
        <is>
          <t>Gross Margin %</t>
        </is>
      </c>
      <c r="C171" s="71" t="n">
        <v>0.07099999999999999</v>
      </c>
      <c r="D171" s="71" t="n">
        <v>0.181</v>
      </c>
      <c r="E171" s="71" t="n">
        <v>0.193</v>
      </c>
      <c r="F171" s="71" t="n">
        <v>0.188</v>
      </c>
      <c r="G171" s="71" t="n">
        <v>0.196</v>
      </c>
      <c r="H171" s="71" t="n">
        <v>0.166</v>
      </c>
      <c r="I171" s="71" t="n">
        <v>0.336</v>
      </c>
      <c r="J171" s="71" t="n">
        <v>0.353</v>
      </c>
    </row>
    <row r="172" ht="16" customHeight="1">
      <c r="A172" s="96" t="inlineStr"/>
      <c r="B172" s="27" t="inlineStr">
        <is>
          <t>QoQ Rev Growth</t>
        </is>
      </c>
      <c r="C172" s="49" t="n"/>
      <c r="D172" s="75" t="n">
        <v>0.1433429072782351</v>
      </c>
      <c r="E172" s="75" t="n">
        <v>0.0254015339800636</v>
      </c>
      <c r="F172" s="75" t="n">
        <v>-0.0347765058928874</v>
      </c>
      <c r="G172" s="75" t="n">
        <v>-0.02742761701241292</v>
      </c>
      <c r="H172" s="75" t="n">
        <v>0.1290278441552261</v>
      </c>
      <c r="I172" s="75" t="n">
        <v>0.2726351398822488</v>
      </c>
      <c r="J172" s="75" t="n">
        <v>0.5993676135900972</v>
      </c>
    </row>
    <row r="173" ht="16" customHeight="1">
      <c r="A173" s="96" t="inlineStr"/>
      <c r="B173" s="20" t="inlineStr">
        <is>
          <t>YoY Rev Growth</t>
        </is>
      </c>
      <c r="C173" s="47" t="n"/>
      <c r="D173" s="47" t="n"/>
      <c r="E173" s="47" t="n"/>
      <c r="F173" s="47" t="n"/>
      <c r="G173" s="71" t="n">
        <v>0.1005766192043441</v>
      </c>
      <c r="H173" s="71" t="n">
        <v>0.0867970053410605</v>
      </c>
      <c r="I173" s="71" t="n">
        <v>0.3488336159859114</v>
      </c>
      <c r="J173" s="71" t="n">
        <v>1.235006518904824</v>
      </c>
    </row>
    <row r="174" ht="8" customHeight="1"/>
    <row r="175" ht="18" customHeight="1">
      <c r="A175" s="94" t="inlineStr">
        <is>
          <t>ESI  —  Element Solutions Inc</t>
        </is>
      </c>
      <c r="C175" s="37" t="inlineStr">
        <is>
          <t>Breakout</t>
        </is>
      </c>
      <c r="D175" s="74" t="inlineStr">
        <is>
          <t>Mkt Cap: $8895M</t>
        </is>
      </c>
      <c r="E175" s="95" t="n"/>
      <c r="F175" s="95" t="n"/>
      <c r="G175" s="95" t="n"/>
      <c r="H175" s="95" t="n"/>
      <c r="I175" s="95" t="n"/>
      <c r="J175" s="95" t="n"/>
      <c r="K175" s="95" t="n"/>
    </row>
    <row r="176" ht="16" customHeight="1">
      <c r="A176" s="96" t="inlineStr"/>
      <c r="B176" s="18" t="inlineStr">
        <is>
          <t>Quarter</t>
        </is>
      </c>
      <c r="C176" s="18" t="inlineStr">
        <is>
          <t>2024-03-31</t>
        </is>
      </c>
      <c r="D176" s="18" t="inlineStr">
        <is>
          <t>2024-06-30</t>
        </is>
      </c>
      <c r="E176" s="18" t="inlineStr">
        <is>
          <t>2024-09-30</t>
        </is>
      </c>
      <c r="F176" s="18" t="inlineStr">
        <is>
          <t>2024-12-31</t>
        </is>
      </c>
      <c r="G176" s="18" t="inlineStr">
        <is>
          <t>2025-03-31</t>
        </is>
      </c>
      <c r="H176" s="18" t="inlineStr">
        <is>
          <t>2025-06-30</t>
        </is>
      </c>
      <c r="I176" s="18" t="inlineStr">
        <is>
          <t>2025-09-30</t>
        </is>
      </c>
      <c r="J176" s="18" t="inlineStr">
        <is>
          <t>2025-12-31</t>
        </is>
      </c>
    </row>
    <row r="177" ht="16" customHeight="1">
      <c r="A177" s="96" t="inlineStr"/>
      <c r="B177" s="66" t="inlineStr">
        <is>
          <t>Revenue ($M)</t>
        </is>
      </c>
      <c r="C177" s="97" t="n">
        <v>575</v>
      </c>
      <c r="D177" s="97" t="n">
        <v>612.7</v>
      </c>
      <c r="E177" s="97" t="n">
        <v>645</v>
      </c>
      <c r="F177" s="97" t="n">
        <v>624.2</v>
      </c>
      <c r="G177" s="97" t="n">
        <v>593.7</v>
      </c>
      <c r="H177" s="97" t="n">
        <v>625.2</v>
      </c>
      <c r="I177" s="97" t="n">
        <v>656.1</v>
      </c>
      <c r="J177" s="97" t="n">
        <v>676.2</v>
      </c>
    </row>
    <row r="178" ht="16" customHeight="1">
      <c r="A178" s="96" t="inlineStr"/>
      <c r="B178" s="94" t="inlineStr">
        <is>
          <t>Gross Margin %</t>
        </is>
      </c>
      <c r="C178" s="71" t="n">
        <v>0.426</v>
      </c>
      <c r="D178" s="71" t="n">
        <v>0.436</v>
      </c>
      <c r="E178" s="71" t="n">
        <v>0.415</v>
      </c>
      <c r="F178" s="71" t="n">
        <v>0.41</v>
      </c>
      <c r="G178" s="71" t="n">
        <v>0.422</v>
      </c>
      <c r="H178" s="71" t="n">
        <v>0.426</v>
      </c>
      <c r="I178" s="71" t="n">
        <v>0.422</v>
      </c>
      <c r="J178" s="71" t="n">
        <v>0.409</v>
      </c>
    </row>
    <row r="179" ht="16" customHeight="1">
      <c r="A179" s="96" t="inlineStr"/>
      <c r="B179" s="27" t="inlineStr">
        <is>
          <t>QoQ Rev Growth</t>
        </is>
      </c>
      <c r="C179" s="49" t="n"/>
      <c r="D179" s="75" t="n">
        <v>0.06556521739130435</v>
      </c>
      <c r="E179" s="75" t="n">
        <v>0.05271748000652848</v>
      </c>
      <c r="F179" s="75" t="n">
        <v>-0.03224806201550388</v>
      </c>
      <c r="G179" s="75" t="n">
        <v>-0.04886254405639218</v>
      </c>
      <c r="H179" s="75" t="n">
        <v>0.05305709954522486</v>
      </c>
      <c r="I179" s="75" t="n">
        <v>0.04942418426103647</v>
      </c>
      <c r="J179" s="75" t="n">
        <v>0.03063557384545039</v>
      </c>
    </row>
    <row r="180" ht="16" customHeight="1">
      <c r="A180" s="96" t="inlineStr"/>
      <c r="B180" s="20" t="inlineStr">
        <is>
          <t>YoY Rev Growth</t>
        </is>
      </c>
      <c r="C180" s="47" t="n"/>
      <c r="D180" s="47" t="n"/>
      <c r="E180" s="47" t="n"/>
      <c r="F180" s="47" t="n"/>
      <c r="G180" s="71" t="n">
        <v>0.03252173913043478</v>
      </c>
      <c r="H180" s="71" t="n">
        <v>0.02040150155051412</v>
      </c>
      <c r="I180" s="71" t="n">
        <v>0.01720930232558139</v>
      </c>
      <c r="J180" s="71" t="n">
        <v>0.08330663248958667</v>
      </c>
    </row>
    <row r="181" ht="8" customHeight="1"/>
    <row r="182" ht="18" customHeight="1">
      <c r="A182" s="94" t="inlineStr">
        <is>
          <t>BETA  —  BETA Technologies, Inc.</t>
        </is>
      </c>
      <c r="C182" s="37" t="inlineStr">
        <is>
          <t>Breakout</t>
        </is>
      </c>
      <c r="D182" s="74" t="inlineStr">
        <is>
          <t>Mkt Cap: $4845M</t>
        </is>
      </c>
      <c r="E182" s="95" t="n"/>
      <c r="F182" s="95" t="n"/>
      <c r="G182" s="95" t="n"/>
      <c r="H182" s="95" t="n"/>
      <c r="I182" s="95" t="n"/>
      <c r="J182" s="95" t="n"/>
      <c r="K182" s="95" t="n"/>
    </row>
    <row r="183" ht="16" customHeight="1">
      <c r="A183" s="96" t="inlineStr"/>
      <c r="B183" s="18" t="inlineStr">
        <is>
          <t>Quarter</t>
        </is>
      </c>
      <c r="C183" s="18" t="inlineStr">
        <is>
          <t>2024-12-31</t>
        </is>
      </c>
      <c r="D183" s="18" t="inlineStr">
        <is>
          <t>2025-03-31</t>
        </is>
      </c>
      <c r="E183" s="18" t="inlineStr">
        <is>
          <t>2025-06-30</t>
        </is>
      </c>
      <c r="F183" s="18" t="inlineStr">
        <is>
          <t>2025-09-30</t>
        </is>
      </c>
      <c r="G183" s="18" t="inlineStr">
        <is>
          <t>2025-12-31</t>
        </is>
      </c>
      <c r="H183" s="18" t="inlineStr">
        <is>
          <t>2026-03-31</t>
        </is>
      </c>
      <c r="I183" s="18" t="inlineStr">
        <is>
          <t>2026-06-30</t>
        </is>
      </c>
    </row>
    <row r="184" ht="16" customHeight="1">
      <c r="A184" s="96" t="inlineStr"/>
      <c r="B184" s="66" t="inlineStr">
        <is>
          <t>Revenue ($M)</t>
        </is>
      </c>
      <c r="C184" s="97" t="n">
        <v>4.437</v>
      </c>
      <c r="D184" s="97" t="n">
        <v>7.7825</v>
      </c>
      <c r="E184" s="97" t="n">
        <v>7.7825</v>
      </c>
      <c r="F184" s="97" t="n">
        <v>8.917999999999999</v>
      </c>
      <c r="G184" s="97" t="n">
        <v>11.133</v>
      </c>
      <c r="H184" s="97" t="n">
        <v>10.133</v>
      </c>
      <c r="I184" s="97" t="n">
        <v>14.658</v>
      </c>
    </row>
    <row r="185" ht="16" customHeight="1">
      <c r="A185" s="96" t="inlineStr"/>
      <c r="B185" s="94" t="inlineStr">
        <is>
          <t>Gross Margin %</t>
        </is>
      </c>
      <c r="C185" s="71" t="n">
        <v>-0.436</v>
      </c>
      <c r="D185" s="71" t="n">
        <v>0.8120000000000001</v>
      </c>
      <c r="E185" s="71" t="n">
        <v>0.8120000000000001</v>
      </c>
      <c r="F185" s="71" t="n">
        <v>0.6929999999999999</v>
      </c>
      <c r="G185" s="71" t="n">
        <v>0.62</v>
      </c>
      <c r="H185" s="71" t="n">
        <v>-0.031</v>
      </c>
      <c r="I185" s="71" t="n">
        <v>0.547</v>
      </c>
    </row>
    <row r="186" ht="16" customHeight="1">
      <c r="A186" s="96" t="inlineStr"/>
      <c r="B186" s="27" t="inlineStr">
        <is>
          <t>QoQ Rev Growth</t>
        </is>
      </c>
      <c r="C186" s="49" t="n"/>
      <c r="D186" s="75" t="n">
        <v>0.7540004507550147</v>
      </c>
      <c r="E186" s="75" t="n">
        <v>0</v>
      </c>
      <c r="F186" s="75" t="n">
        <v>0.1459042724060392</v>
      </c>
      <c r="G186" s="75" t="n">
        <v>0.2483740749046872</v>
      </c>
      <c r="H186" s="75" t="n">
        <v>-0.08982304859426929</v>
      </c>
      <c r="I186" s="75" t="n">
        <v>0.4465607421296753</v>
      </c>
    </row>
    <row r="187" ht="16" customHeight="1">
      <c r="A187" s="96" t="inlineStr"/>
      <c r="B187" s="20" t="inlineStr">
        <is>
          <t>YoY Rev Growth</t>
        </is>
      </c>
      <c r="C187" s="47" t="n"/>
      <c r="D187" s="47" t="n"/>
      <c r="E187" s="47" t="n"/>
      <c r="F187" s="47" t="n"/>
      <c r="G187" s="71" t="n">
        <v>1.509127789046653</v>
      </c>
      <c r="H187" s="71" t="n">
        <v>0.3020237712817218</v>
      </c>
      <c r="I187" s="71" t="n">
        <v>0.8834564728557661</v>
      </c>
    </row>
    <row r="188" ht="8" customHeight="1"/>
    <row r="189" ht="18" customHeight="1">
      <c r="A189" s="94" t="inlineStr">
        <is>
          <t>LASR  —  nLIGHT, Inc.</t>
        </is>
      </c>
      <c r="C189" s="37" t="inlineStr">
        <is>
          <t>Breakout</t>
        </is>
      </c>
      <c r="D189" s="74" t="inlineStr">
        <is>
          <t>Mkt Cap: $2325M</t>
        </is>
      </c>
      <c r="E189" s="95" t="n"/>
      <c r="F189" s="95" t="n"/>
      <c r="G189" s="95" t="n"/>
      <c r="H189" s="95" t="n"/>
      <c r="I189" s="95" t="n"/>
      <c r="J189" s="95" t="n"/>
      <c r="K189" s="95" t="n"/>
    </row>
    <row r="190" ht="16" customHeight="1">
      <c r="A190" s="96" t="inlineStr"/>
      <c r="B190" s="18" t="inlineStr">
        <is>
          <t>Quarter</t>
        </is>
      </c>
      <c r="C190" s="18" t="inlineStr">
        <is>
          <t>2024-03-31</t>
        </is>
      </c>
      <c r="D190" s="18" t="inlineStr">
        <is>
          <t>2024-06-30</t>
        </is>
      </c>
      <c r="E190" s="18" t="inlineStr">
        <is>
          <t>2024-09-30</t>
        </is>
      </c>
      <c r="F190" s="18" t="inlineStr">
        <is>
          <t>2024-12-31</t>
        </is>
      </c>
      <c r="G190" s="18" t="inlineStr">
        <is>
          <t>2025-03-31</t>
        </is>
      </c>
      <c r="H190" s="18" t="inlineStr">
        <is>
          <t>2025-06-30</t>
        </is>
      </c>
      <c r="I190" s="18" t="inlineStr">
        <is>
          <t>2025-09-30</t>
        </is>
      </c>
      <c r="J190" s="18" t="inlineStr">
        <is>
          <t>2025-12-31</t>
        </is>
      </c>
    </row>
    <row r="191" ht="16" customHeight="1">
      <c r="A191" s="96" t="inlineStr"/>
      <c r="B191" s="66" t="inlineStr">
        <is>
          <t>Revenue ($M)</t>
        </is>
      </c>
      <c r="C191" s="97" t="n">
        <v>44.527</v>
      </c>
      <c r="D191" s="97" t="n">
        <v>50.511</v>
      </c>
      <c r="E191" s="97" t="n">
        <v>56.129</v>
      </c>
      <c r="F191" s="97" t="n">
        <v>47.381</v>
      </c>
      <c r="G191" s="97" t="n">
        <v>51.668</v>
      </c>
      <c r="H191" s="97" t="n">
        <v>61.735</v>
      </c>
      <c r="I191" s="97" t="n">
        <v>66.742</v>
      </c>
      <c r="J191" s="97" t="n">
        <v>81.185</v>
      </c>
    </row>
    <row r="192" ht="16" customHeight="1">
      <c r="A192" s="96" t="inlineStr"/>
      <c r="B192" s="94" t="inlineStr">
        <is>
          <t>Gross Margin %</t>
        </is>
      </c>
      <c r="C192" s="71" t="n">
        <v>0.168</v>
      </c>
      <c r="D192" s="71" t="n">
        <v>0.235</v>
      </c>
      <c r="E192" s="71" t="n">
        <v>0.224</v>
      </c>
      <c r="F192" s="71" t="n">
        <v>0.024</v>
      </c>
      <c r="G192" s="71" t="n">
        <v>0.267</v>
      </c>
      <c r="H192" s="71" t="n">
        <v>0.299</v>
      </c>
      <c r="I192" s="71" t="n">
        <v>0.311</v>
      </c>
      <c r="J192" s="71" t="n">
        <v>0.307</v>
      </c>
    </row>
    <row r="193" ht="16" customHeight="1">
      <c r="A193" s="96" t="inlineStr"/>
      <c r="B193" s="27" t="inlineStr">
        <is>
          <t>QoQ Rev Growth</t>
        </is>
      </c>
      <c r="C193" s="49" t="n"/>
      <c r="D193" s="75" t="n">
        <v>0.1343903698879332</v>
      </c>
      <c r="E193" s="75" t="n">
        <v>0.1112232978955079</v>
      </c>
      <c r="F193" s="75" t="n">
        <v>-0.1558552619857828</v>
      </c>
      <c r="G193" s="75" t="n">
        <v>0.0904793060509487</v>
      </c>
      <c r="H193" s="75" t="n">
        <v>0.194840133157854</v>
      </c>
      <c r="I193" s="75" t="n">
        <v>0.08110472179476796</v>
      </c>
      <c r="J193" s="75" t="n">
        <v>0.2164004674717569</v>
      </c>
    </row>
    <row r="194" ht="16" customHeight="1">
      <c r="A194" s="96" t="inlineStr"/>
      <c r="B194" s="20" t="inlineStr">
        <is>
          <t>YoY Rev Growth</t>
        </is>
      </c>
      <c r="C194" s="47" t="n"/>
      <c r="D194" s="47" t="n"/>
      <c r="E194" s="47" t="n"/>
      <c r="F194" s="47" t="n"/>
      <c r="G194" s="71" t="n">
        <v>0.1603746041727491</v>
      </c>
      <c r="H194" s="71" t="n">
        <v>0.2222090237769991</v>
      </c>
      <c r="I194" s="71" t="n">
        <v>0.1890822925760302</v>
      </c>
      <c r="J194" s="71" t="n">
        <v>0.7134505392456892</v>
      </c>
    </row>
    <row r="195" ht="8" customHeight="1"/>
    <row r="196" ht="18" customHeight="1">
      <c r="A196" s="94" t="inlineStr">
        <is>
          <t>CALX  —  Calix, Inc.</t>
        </is>
      </c>
      <c r="C196" s="37" t="inlineStr">
        <is>
          <t>Breakout</t>
        </is>
      </c>
      <c r="D196" s="74" t="inlineStr">
        <is>
          <t>Mkt Cap: $2220M</t>
        </is>
      </c>
      <c r="E196" s="95" t="n"/>
      <c r="F196" s="95" t="n"/>
      <c r="G196" s="95" t="n"/>
      <c r="H196" s="95" t="n"/>
      <c r="I196" s="95" t="n"/>
      <c r="J196" s="95" t="n"/>
      <c r="K196" s="95" t="n"/>
    </row>
    <row r="197" ht="16" customHeight="1">
      <c r="A197" s="96" t="inlineStr"/>
      <c r="B197" s="18" t="inlineStr">
        <is>
          <t>Quarter</t>
        </is>
      </c>
      <c r="C197" s="18" t="inlineStr">
        <is>
          <t>2024-03-30</t>
        </is>
      </c>
      <c r="D197" s="18" t="inlineStr">
        <is>
          <t>2024-06-29</t>
        </is>
      </c>
      <c r="E197" s="18" t="inlineStr">
        <is>
          <t>2024-09-28</t>
        </is>
      </c>
      <c r="F197" s="18" t="inlineStr">
        <is>
          <t>2024-12-31</t>
        </is>
      </c>
      <c r="G197" s="18" t="inlineStr">
        <is>
          <t>2025-03-29</t>
        </is>
      </c>
      <c r="H197" s="18" t="inlineStr">
        <is>
          <t>2025-06-28</t>
        </is>
      </c>
      <c r="I197" s="18" t="inlineStr">
        <is>
          <t>2025-09-27</t>
        </is>
      </c>
      <c r="J197" s="18" t="inlineStr">
        <is>
          <t>2025-12-31</t>
        </is>
      </c>
    </row>
    <row r="198" ht="16" customHeight="1">
      <c r="A198" s="96" t="inlineStr"/>
      <c r="B198" s="66" t="inlineStr">
        <is>
          <t>Revenue ($M)</t>
        </is>
      </c>
      <c r="C198" s="97" t="n">
        <v>226.31</v>
      </c>
      <c r="D198" s="97" t="n">
        <v>198.139</v>
      </c>
      <c r="E198" s="97" t="n">
        <v>200.945</v>
      </c>
      <c r="F198" s="97" t="n">
        <v>206.124</v>
      </c>
      <c r="G198" s="97" t="n">
        <v>220.242</v>
      </c>
      <c r="H198" s="97" t="n">
        <v>241.882</v>
      </c>
      <c r="I198" s="97" t="n">
        <v>265.437</v>
      </c>
      <c r="J198" s="97" t="n">
        <v>272.449</v>
      </c>
    </row>
    <row r="199" ht="16" customHeight="1">
      <c r="A199" s="96" t="inlineStr"/>
      <c r="B199" s="94" t="inlineStr">
        <is>
          <t>Gross Margin %</t>
        </is>
      </c>
      <c r="C199" s="71" t="n">
        <v>0.542</v>
      </c>
      <c r="D199" s="71" t="n">
        <v>0.5429999999999999</v>
      </c>
      <c r="E199" s="71" t="n">
        <v>0.5479999999999999</v>
      </c>
      <c r="F199" s="71" t="n">
        <v>0.55</v>
      </c>
      <c r="G199" s="71" t="n">
        <v>0.5570000000000001</v>
      </c>
      <c r="H199" s="71" t="n">
        <v>0.5629999999999999</v>
      </c>
      <c r="I199" s="71" t="n">
        <v>0.573</v>
      </c>
      <c r="J199" s="71" t="n">
        <v>0.5770000000000001</v>
      </c>
    </row>
    <row r="200" ht="16" customHeight="1">
      <c r="A200" s="96" t="inlineStr"/>
      <c r="B200" s="27" t="inlineStr">
        <is>
          <t>QoQ Rev Growth</t>
        </is>
      </c>
      <c r="C200" s="49" t="n"/>
      <c r="D200" s="75" t="n">
        <v>-0.1244796959922231</v>
      </c>
      <c r="E200" s="75" t="n">
        <v>0.01416177531934652</v>
      </c>
      <c r="F200" s="75" t="n">
        <v>0.02577322152827888</v>
      </c>
      <c r="G200" s="75" t="n">
        <v>0.06849275193572801</v>
      </c>
      <c r="H200" s="75" t="n">
        <v>0.09825555525285821</v>
      </c>
      <c r="I200" s="75" t="n">
        <v>0.09738219462382484</v>
      </c>
      <c r="J200" s="75" t="n">
        <v>0.02641681453602927</v>
      </c>
    </row>
    <row r="201" ht="16" customHeight="1">
      <c r="A201" s="96" t="inlineStr"/>
      <c r="B201" s="20" t="inlineStr">
        <is>
          <t>YoY Rev Growth</t>
        </is>
      </c>
      <c r="C201" s="47" t="n"/>
      <c r="D201" s="47" t="n"/>
      <c r="E201" s="47" t="n"/>
      <c r="F201" s="47" t="n"/>
      <c r="G201" s="71" t="n">
        <v>-0.02681277893155406</v>
      </c>
      <c r="H201" s="71" t="n">
        <v>0.2207692579451799</v>
      </c>
      <c r="I201" s="71" t="n">
        <v>0.3209435417651596</v>
      </c>
      <c r="J201" s="71" t="n">
        <v>0.3217723312181017</v>
      </c>
    </row>
    <row r="202" ht="8" customHeight="1"/>
    <row r="203" ht="18" customHeight="1">
      <c r="A203" s="94" t="inlineStr">
        <is>
          <t>IPGP  —  IPG Photonics Corporation</t>
        </is>
      </c>
      <c r="C203" s="37" t="inlineStr">
        <is>
          <t>Breakout</t>
        </is>
      </c>
      <c r="D203" s="74" t="inlineStr">
        <is>
          <t>Mkt Cap: $3392M</t>
        </is>
      </c>
      <c r="E203" s="95" t="n"/>
      <c r="F203" s="95" t="n"/>
      <c r="G203" s="95" t="n"/>
      <c r="H203" s="95" t="n"/>
      <c r="I203" s="95" t="n"/>
      <c r="J203" s="95" t="n"/>
      <c r="K203" s="95" t="n"/>
    </row>
    <row r="204" ht="16" customHeight="1">
      <c r="A204" s="96" t="inlineStr"/>
      <c r="B204" s="18" t="inlineStr">
        <is>
          <t>Quarter</t>
        </is>
      </c>
      <c r="C204" s="18" t="inlineStr">
        <is>
          <t>2024-03-31</t>
        </is>
      </c>
      <c r="D204" s="18" t="inlineStr">
        <is>
          <t>2024-06-30</t>
        </is>
      </c>
      <c r="E204" s="18" t="inlineStr">
        <is>
          <t>2024-09-30</t>
        </is>
      </c>
      <c r="F204" s="18" t="inlineStr">
        <is>
          <t>2024-12-31</t>
        </is>
      </c>
      <c r="G204" s="18" t="inlineStr">
        <is>
          <t>2025-03-31</t>
        </is>
      </c>
      <c r="H204" s="18" t="inlineStr">
        <is>
          <t>2025-06-30</t>
        </is>
      </c>
      <c r="I204" s="18" t="inlineStr">
        <is>
          <t>2025-09-30</t>
        </is>
      </c>
      <c r="J204" s="18" t="inlineStr">
        <is>
          <t>2025-12-31</t>
        </is>
      </c>
    </row>
    <row r="205" ht="16" customHeight="1">
      <c r="A205" s="96" t="inlineStr"/>
      <c r="B205" s="66" t="inlineStr">
        <is>
          <t>Revenue ($M)</t>
        </is>
      </c>
      <c r="C205" s="97" t="n">
        <v>252.009</v>
      </c>
      <c r="D205" s="97" t="n">
        <v>257.645</v>
      </c>
      <c r="E205" s="97" t="n">
        <v>233.143</v>
      </c>
      <c r="F205" s="97" t="n">
        <v>234.337</v>
      </c>
      <c r="G205" s="97" t="n">
        <v>227.793</v>
      </c>
      <c r="H205" s="97" t="n">
        <v>250.721</v>
      </c>
      <c r="I205" s="97" t="n">
        <v>250.792</v>
      </c>
      <c r="J205" s="97" t="n">
        <v>274.471</v>
      </c>
    </row>
    <row r="206" ht="16" customHeight="1">
      <c r="A206" s="96" t="inlineStr"/>
      <c r="B206" s="94" t="inlineStr">
        <is>
          <t>Gross Margin %</t>
        </is>
      </c>
      <c r="C206" s="71" t="n">
        <v>0.387</v>
      </c>
      <c r="D206" s="71" t="n">
        <v>0.373</v>
      </c>
      <c r="E206" s="71" t="n">
        <v>0.232</v>
      </c>
      <c r="F206" s="71" t="n">
        <v>0.386</v>
      </c>
      <c r="G206" s="71" t="n">
        <v>0.394</v>
      </c>
      <c r="H206" s="71" t="n">
        <v>0.373</v>
      </c>
      <c r="I206" s="71" t="n">
        <v>0.395</v>
      </c>
      <c r="J206" s="71" t="n">
        <v>0.361</v>
      </c>
    </row>
    <row r="207" ht="16" customHeight="1">
      <c r="A207" s="96" t="inlineStr"/>
      <c r="B207" s="27" t="inlineStr">
        <is>
          <t>QoQ Rev Growth</t>
        </is>
      </c>
      <c r="C207" s="49" t="n"/>
      <c r="D207" s="75" t="n">
        <v>0.02236428064077077</v>
      </c>
      <c r="E207" s="75" t="n">
        <v>-0.09509984668827262</v>
      </c>
      <c r="F207" s="75" t="n">
        <v>0.005121320391347799</v>
      </c>
      <c r="G207" s="75" t="n">
        <v>-0.02792559433636174</v>
      </c>
      <c r="H207" s="75" t="n">
        <v>0.1006527856431058</v>
      </c>
      <c r="I207" s="75" t="n">
        <v>0.0002831832993646324</v>
      </c>
      <c r="J207" s="75" t="n">
        <v>0.09441688730103033</v>
      </c>
    </row>
    <row r="208" ht="16" customHeight="1">
      <c r="A208" s="96" t="inlineStr"/>
      <c r="B208" s="20" t="inlineStr">
        <is>
          <t>YoY Rev Growth</t>
        </is>
      </c>
      <c r="C208" s="47" t="n"/>
      <c r="D208" s="47" t="n"/>
      <c r="E208" s="47" t="n"/>
      <c r="F208" s="47" t="n"/>
      <c r="G208" s="71" t="n">
        <v>-0.09609180624501507</v>
      </c>
      <c r="H208" s="71" t="n">
        <v>-0.02687418735081216</v>
      </c>
      <c r="I208" s="71" t="n">
        <v>0.07570032126205806</v>
      </c>
      <c r="J208" s="71" t="n">
        <v>0.1712661679546977</v>
      </c>
    </row>
    <row r="209" ht="8" customHeight="1"/>
    <row r="210" ht="18" customHeight="1">
      <c r="A210" s="94" t="inlineStr">
        <is>
          <t>KD  —  Kyndryl Holdings, Inc.</t>
        </is>
      </c>
      <c r="C210" s="37" t="inlineStr">
        <is>
          <t>Breakout</t>
        </is>
      </c>
      <c r="D210" s="74" t="inlineStr">
        <is>
          <t>Mkt Cap: $2791M</t>
        </is>
      </c>
      <c r="E210" s="95" t="n"/>
      <c r="F210" s="95" t="n"/>
      <c r="G210" s="95" t="n"/>
      <c r="H210" s="95" t="n"/>
      <c r="I210" s="95" t="n"/>
      <c r="J210" s="95" t="n"/>
      <c r="K210" s="95" t="n"/>
    </row>
    <row r="211" ht="16" customHeight="1">
      <c r="A211" s="96" t="inlineStr"/>
      <c r="B211" s="18" t="inlineStr">
        <is>
          <t>Quarter</t>
        </is>
      </c>
      <c r="C211" s="18" t="inlineStr">
        <is>
          <t>2024-03-31</t>
        </is>
      </c>
      <c r="D211" s="18" t="inlineStr">
        <is>
          <t>2024-06-30</t>
        </is>
      </c>
      <c r="E211" s="18" t="inlineStr">
        <is>
          <t>2024-09-30</t>
        </is>
      </c>
      <c r="F211" s="18" t="inlineStr">
        <is>
          <t>2024-12-31</t>
        </is>
      </c>
      <c r="G211" s="18" t="inlineStr">
        <is>
          <t>2025-03-31</t>
        </is>
      </c>
      <c r="H211" s="18" t="inlineStr">
        <is>
          <t>2025-06-30</t>
        </is>
      </c>
      <c r="I211" s="18" t="inlineStr">
        <is>
          <t>2025-09-30</t>
        </is>
      </c>
      <c r="J211" s="18" t="inlineStr">
        <is>
          <t>2025-12-31</t>
        </is>
      </c>
    </row>
    <row r="212" ht="16" customHeight="1">
      <c r="A212" s="96" t="inlineStr"/>
      <c r="B212" s="66" t="inlineStr">
        <is>
          <t>Revenue ($M)</t>
        </is>
      </c>
      <c r="C212" s="97" t="n">
        <v>3850</v>
      </c>
      <c r="D212" s="97" t="n">
        <v>3739</v>
      </c>
      <c r="E212" s="97" t="n">
        <v>3774</v>
      </c>
      <c r="F212" s="97" t="n">
        <v>3744</v>
      </c>
      <c r="G212" s="97" t="n">
        <v>3800</v>
      </c>
      <c r="H212" s="97" t="n">
        <v>3743</v>
      </c>
      <c r="I212" s="97" t="n">
        <v>3721</v>
      </c>
      <c r="J212" s="97" t="n">
        <v>3859</v>
      </c>
    </row>
    <row r="213" ht="16" customHeight="1">
      <c r="A213" s="96" t="inlineStr"/>
      <c r="B213" s="94" t="inlineStr">
        <is>
          <t>Gross Margin %</t>
        </is>
      </c>
      <c r="C213" s="71" t="n">
        <v>0.189</v>
      </c>
      <c r="D213" s="71" t="n">
        <v>0.215</v>
      </c>
      <c r="E213" s="71" t="n">
        <v>0.199</v>
      </c>
      <c r="F213" s="71" t="n">
        <v>0.204</v>
      </c>
      <c r="G213" s="71" t="n">
        <v>0.227</v>
      </c>
      <c r="H213" s="71" t="n">
        <v>0.213</v>
      </c>
      <c r="I213" s="71" t="n">
        <v>0.215</v>
      </c>
      <c r="J213" s="71" t="n">
        <v>0.218</v>
      </c>
    </row>
    <row r="214" ht="16" customHeight="1">
      <c r="A214" s="96" t="inlineStr"/>
      <c r="B214" s="27" t="inlineStr">
        <is>
          <t>QoQ Rev Growth</t>
        </is>
      </c>
      <c r="C214" s="49" t="n"/>
      <c r="D214" s="75" t="n">
        <v>-0.02883116883116883</v>
      </c>
      <c r="E214" s="75" t="n">
        <v>0.009360791655522867</v>
      </c>
      <c r="F214" s="75" t="n">
        <v>-0.007949125596184419</v>
      </c>
      <c r="G214" s="75" t="n">
        <v>0.01495726495726496</v>
      </c>
      <c r="H214" s="75" t="n">
        <v>-0.015</v>
      </c>
      <c r="I214" s="75" t="n">
        <v>-0.005877638258081752</v>
      </c>
      <c r="J214" s="75" t="n">
        <v>0.03708680462241333</v>
      </c>
    </row>
    <row r="215" ht="16" customHeight="1">
      <c r="A215" s="96" t="inlineStr"/>
      <c r="B215" s="20" t="inlineStr">
        <is>
          <t>YoY Rev Growth</t>
        </is>
      </c>
      <c r="C215" s="47" t="n"/>
      <c r="D215" s="47" t="n"/>
      <c r="E215" s="47" t="n"/>
      <c r="F215" s="47" t="n"/>
      <c r="G215" s="71" t="n">
        <v>-0.01298701298701299</v>
      </c>
      <c r="H215" s="71" t="n">
        <v>0.001069804760631185</v>
      </c>
      <c r="I215" s="71" t="n">
        <v>-0.01404345521992581</v>
      </c>
      <c r="J215" s="71" t="n">
        <v>0.03071581196581196</v>
      </c>
    </row>
    <row r="216" ht="8" customHeight="1"/>
    <row r="217" ht="22" customHeight="1">
      <c r="A217" s="16" t="inlineStr">
        <is>
          <t xml:space="preserve">  Vital Link</t>
        </is>
      </c>
      <c r="B217" s="17" t="n"/>
      <c r="C217" s="17" t="n"/>
      <c r="D217" s="17" t="n"/>
      <c r="E217" s="17" t="n"/>
      <c r="F217" s="17" t="n"/>
      <c r="G217" s="17" t="n"/>
      <c r="H217" s="17" t="n"/>
      <c r="I217" s="17" t="n"/>
      <c r="J217" s="17" t="n"/>
      <c r="K217" s="17" t="n"/>
    </row>
    <row r="218" ht="18" customHeight="1">
      <c r="A218" s="94" t="inlineStr">
        <is>
          <t>MPWR  —  Monolithic Power Systems, Inc.</t>
        </is>
      </c>
      <c r="C218" s="37" t="inlineStr">
        <is>
          <t>Vital Link</t>
        </is>
      </c>
      <c r="D218" s="74" t="inlineStr">
        <is>
          <t>Mkt Cap: $60014M</t>
        </is>
      </c>
      <c r="E218" s="95" t="n"/>
      <c r="F218" s="95" t="n"/>
      <c r="G218" s="95" t="n"/>
      <c r="H218" s="95" t="n"/>
      <c r="I218" s="95" t="n"/>
      <c r="J218" s="95" t="n"/>
      <c r="K218" s="95" t="n"/>
    </row>
    <row r="219" ht="16" customHeight="1">
      <c r="A219" s="96" t="inlineStr"/>
      <c r="B219" s="18" t="inlineStr">
        <is>
          <t>Quarter</t>
        </is>
      </c>
      <c r="C219" s="18" t="inlineStr">
        <is>
          <t>2024-03-31</t>
        </is>
      </c>
      <c r="D219" s="18" t="inlineStr">
        <is>
          <t>2024-06-30</t>
        </is>
      </c>
      <c r="E219" s="18" t="inlineStr">
        <is>
          <t>2024-09-30</t>
        </is>
      </c>
      <c r="F219" s="18" t="inlineStr">
        <is>
          <t>2024-12-31</t>
        </is>
      </c>
      <c r="G219" s="18" t="inlineStr">
        <is>
          <t>2025-03-31</t>
        </is>
      </c>
      <c r="H219" s="18" t="inlineStr">
        <is>
          <t>2025-06-30</t>
        </is>
      </c>
      <c r="I219" s="18" t="inlineStr">
        <is>
          <t>2025-09-30</t>
        </is>
      </c>
      <c r="J219" s="18" t="inlineStr">
        <is>
          <t>2025-12-31</t>
        </is>
      </c>
    </row>
    <row r="220" ht="16" customHeight="1">
      <c r="A220" s="96" t="inlineStr"/>
      <c r="B220" s="66" t="inlineStr">
        <is>
          <t>Revenue ($M)</t>
        </is>
      </c>
      <c r="C220" s="97" t="n">
        <v>457.885</v>
      </c>
      <c r="D220" s="97" t="n">
        <v>507.431</v>
      </c>
      <c r="E220" s="97" t="n">
        <v>620.119</v>
      </c>
      <c r="F220" s="97" t="n">
        <v>621.665</v>
      </c>
      <c r="G220" s="97" t="n">
        <v>637.554</v>
      </c>
      <c r="H220" s="97" t="n">
        <v>664.574</v>
      </c>
      <c r="I220" s="97" t="n">
        <v>737.176</v>
      </c>
      <c r="J220" s="97" t="n">
        <v>751.155</v>
      </c>
    </row>
    <row r="221" ht="16" customHeight="1">
      <c r="A221" s="96" t="inlineStr"/>
      <c r="B221" s="94" t="inlineStr">
        <is>
          <t>Gross Margin %</t>
        </is>
      </c>
      <c r="C221" s="71" t="n">
        <v>0.551</v>
      </c>
      <c r="D221" s="71" t="n">
        <v>0.5529999999999999</v>
      </c>
      <c r="E221" s="71" t="n">
        <v>0.5539999999999999</v>
      </c>
      <c r="F221" s="71" t="n">
        <v>0.5539999999999999</v>
      </c>
      <c r="G221" s="71" t="n">
        <v>0.5539999999999999</v>
      </c>
      <c r="H221" s="71" t="n">
        <v>0.551</v>
      </c>
      <c r="I221" s="71" t="n">
        <v>0.551</v>
      </c>
      <c r="J221" s="71" t="n">
        <v>0.552</v>
      </c>
    </row>
    <row r="222" ht="16" customHeight="1">
      <c r="A222" s="96" t="inlineStr"/>
      <c r="B222" s="27" t="inlineStr">
        <is>
          <t>QoQ Rev Growth</t>
        </is>
      </c>
      <c r="C222" s="49" t="n"/>
      <c r="D222" s="75" t="n">
        <v>0.1082062089826048</v>
      </c>
      <c r="E222" s="75" t="n">
        <v>0.2220755137151652</v>
      </c>
      <c r="F222" s="75" t="n">
        <v>0.002493069878523316</v>
      </c>
      <c r="G222" s="75" t="n">
        <v>0.02555878165893206</v>
      </c>
      <c r="H222" s="75" t="n">
        <v>0.04238072382888351</v>
      </c>
      <c r="I222" s="75" t="n">
        <v>0.1092459229521468</v>
      </c>
      <c r="J222" s="75" t="n">
        <v>0.01896290709409965</v>
      </c>
    </row>
    <row r="223" ht="16" customHeight="1">
      <c r="A223" s="96" t="inlineStr"/>
      <c r="B223" s="20" t="inlineStr">
        <is>
          <t>YoY Rev Growth</t>
        </is>
      </c>
      <c r="C223" s="47" t="n"/>
      <c r="D223" s="47" t="n"/>
      <c r="E223" s="47" t="n"/>
      <c r="F223" s="47" t="n"/>
      <c r="G223" s="71" t="n">
        <v>0.3923889186149361</v>
      </c>
      <c r="H223" s="71" t="n">
        <v>0.3096834840599018</v>
      </c>
      <c r="I223" s="71" t="n">
        <v>0.1887653821282689</v>
      </c>
      <c r="J223" s="71" t="n">
        <v>0.2082954645991008</v>
      </c>
    </row>
    <row r="224" ht="8" customHeight="1"/>
    <row r="225" ht="18" customHeight="1">
      <c r="A225" s="94" t="inlineStr">
        <is>
          <t>MCHP  —  Microchip Technology Incorporated</t>
        </is>
      </c>
      <c r="C225" s="37" t="inlineStr">
        <is>
          <t>Vital Link</t>
        </is>
      </c>
      <c r="D225" s="74" t="inlineStr">
        <is>
          <t>Mkt Cap: $40145M</t>
        </is>
      </c>
      <c r="E225" s="95" t="n"/>
      <c r="F225" s="95" t="n"/>
      <c r="G225" s="95" t="n"/>
      <c r="H225" s="95" t="n"/>
      <c r="I225" s="95" t="n"/>
      <c r="J225" s="95" t="n"/>
      <c r="K225" s="95" t="n"/>
    </row>
    <row r="226" ht="16" customHeight="1">
      <c r="A226" s="96" t="inlineStr"/>
      <c r="B226" s="18" t="inlineStr">
        <is>
          <t>Quarter</t>
        </is>
      </c>
      <c r="C226" s="18" t="inlineStr">
        <is>
          <t>2024-03-31</t>
        </is>
      </c>
      <c r="D226" s="18" t="inlineStr">
        <is>
          <t>2024-06-30</t>
        </is>
      </c>
      <c r="E226" s="18" t="inlineStr">
        <is>
          <t>2024-09-30</t>
        </is>
      </c>
      <c r="F226" s="18" t="inlineStr">
        <is>
          <t>2024-12-31</t>
        </is>
      </c>
      <c r="G226" s="18" t="inlineStr">
        <is>
          <t>2025-03-31</t>
        </is>
      </c>
      <c r="H226" s="18" t="inlineStr">
        <is>
          <t>2025-06-30</t>
        </is>
      </c>
      <c r="I226" s="18" t="inlineStr">
        <is>
          <t>2025-09-30</t>
        </is>
      </c>
      <c r="J226" s="18" t="inlineStr">
        <is>
          <t>2025-12-31</t>
        </is>
      </c>
    </row>
    <row r="227" ht="16" customHeight="1">
      <c r="A227" s="96" t="inlineStr"/>
      <c r="B227" s="66" t="inlineStr">
        <is>
          <t>Revenue ($M)</t>
        </is>
      </c>
      <c r="C227" s="97" t="n">
        <v>1325.8</v>
      </c>
      <c r="D227" s="97" t="n">
        <v>1241.3</v>
      </c>
      <c r="E227" s="97" t="n">
        <v>1163.8</v>
      </c>
      <c r="F227" s="97" t="n">
        <v>1026</v>
      </c>
      <c r="G227" s="97" t="n">
        <v>970.5</v>
      </c>
      <c r="H227" s="97" t="n">
        <v>1075.5</v>
      </c>
      <c r="I227" s="97" t="n">
        <v>1140.4</v>
      </c>
      <c r="J227" s="97" t="n">
        <v>1186</v>
      </c>
    </row>
    <row r="228" ht="16" customHeight="1">
      <c r="A228" s="96" t="inlineStr"/>
      <c r="B228" s="94" t="inlineStr">
        <is>
          <t>Gross Margin %</t>
        </is>
      </c>
      <c r="C228" s="71" t="n">
        <v>0.596</v>
      </c>
      <c r="D228" s="71" t="n">
        <v>0.594</v>
      </c>
      <c r="E228" s="71" t="n">
        <v>0.574</v>
      </c>
      <c r="F228" s="71" t="n">
        <v>0.547</v>
      </c>
      <c r="G228" s="71" t="n">
        <v>0.516</v>
      </c>
      <c r="H228" s="71" t="n">
        <v>0.536</v>
      </c>
      <c r="I228" s="71" t="n">
        <v>0.5589999999999999</v>
      </c>
      <c r="J228" s="71" t="n">
        <v>0.596</v>
      </c>
    </row>
    <row r="229" ht="16" customHeight="1">
      <c r="A229" s="96" t="inlineStr"/>
      <c r="B229" s="27" t="inlineStr">
        <is>
          <t>QoQ Rev Growth</t>
        </is>
      </c>
      <c r="C229" s="49" t="n"/>
      <c r="D229" s="75" t="n">
        <v>-0.06373510333383617</v>
      </c>
      <c r="E229" s="75" t="n">
        <v>-0.06243454442922743</v>
      </c>
      <c r="F229" s="75" t="n">
        <v>-0.1184052242653377</v>
      </c>
      <c r="G229" s="75" t="n">
        <v>-0.05409356725146199</v>
      </c>
      <c r="H229" s="75" t="n">
        <v>0.1081916537867079</v>
      </c>
      <c r="I229" s="75" t="n">
        <v>0.0603440260344026</v>
      </c>
      <c r="J229" s="75" t="n">
        <v>0.03998596983514556</v>
      </c>
    </row>
    <row r="230" ht="16" customHeight="1">
      <c r="A230" s="96" t="inlineStr"/>
      <c r="B230" s="20" t="inlineStr">
        <is>
          <t>YoY Rev Growth</t>
        </is>
      </c>
      <c r="C230" s="47" t="n"/>
      <c r="D230" s="47" t="n"/>
      <c r="E230" s="47" t="n"/>
      <c r="F230" s="47" t="n"/>
      <c r="G230" s="71" t="n">
        <v>-0.267989138633278</v>
      </c>
      <c r="H230" s="71" t="n">
        <v>-0.133569644727302</v>
      </c>
      <c r="I230" s="71" t="n">
        <v>-0.02010654751675546</v>
      </c>
      <c r="J230" s="71" t="n">
        <v>0.1559454191033138</v>
      </c>
    </row>
    <row r="231" ht="8" customHeight="1"/>
    <row r="232" ht="18" customHeight="1">
      <c r="A232" s="94" t="inlineStr">
        <is>
          <t>HEI  —  HEICO Corporation</t>
        </is>
      </c>
      <c r="C232" s="37" t="inlineStr">
        <is>
          <t>Vital Link</t>
        </is>
      </c>
      <c r="D232" s="74" t="inlineStr">
        <is>
          <t>Mkt Cap: $44350M</t>
        </is>
      </c>
      <c r="E232" s="95" t="n"/>
      <c r="F232" s="95" t="n"/>
      <c r="G232" s="95" t="n"/>
      <c r="H232" s="95" t="n"/>
      <c r="I232" s="95" t="n"/>
      <c r="J232" s="95" t="n"/>
      <c r="K232" s="95" t="n"/>
    </row>
    <row r="233" ht="16" customHeight="1">
      <c r="A233" s="96" t="inlineStr"/>
      <c r="B233" s="18" t="inlineStr">
        <is>
          <t>Quarter</t>
        </is>
      </c>
      <c r="C233" s="18" t="inlineStr">
        <is>
          <t>2024-04-30</t>
        </is>
      </c>
      <c r="D233" s="18" t="inlineStr">
        <is>
          <t>2024-07-31</t>
        </is>
      </c>
      <c r="E233" s="18" t="inlineStr">
        <is>
          <t>2024-10-31</t>
        </is>
      </c>
      <c r="F233" s="18" t="inlineStr">
        <is>
          <t>2025-01-31</t>
        </is>
      </c>
      <c r="G233" s="18" t="inlineStr">
        <is>
          <t>2025-04-30</t>
        </is>
      </c>
      <c r="H233" s="18" t="inlineStr">
        <is>
          <t>2025-07-31</t>
        </is>
      </c>
      <c r="I233" s="18" t="inlineStr">
        <is>
          <t>2025-10-31</t>
        </is>
      </c>
      <c r="J233" s="18" t="inlineStr">
        <is>
          <t>2026-01-31</t>
        </is>
      </c>
    </row>
    <row r="234" ht="16" customHeight="1">
      <c r="A234" s="96" t="inlineStr"/>
      <c r="B234" s="66" t="inlineStr">
        <is>
          <t>Revenue ($M)</t>
        </is>
      </c>
      <c r="C234" s="97" t="n">
        <v>955.395</v>
      </c>
      <c r="D234" s="97" t="n">
        <v>992.246</v>
      </c>
      <c r="E234" s="97" t="n">
        <v>1013.665</v>
      </c>
      <c r="F234" s="97" t="n">
        <v>1030.222</v>
      </c>
      <c r="G234" s="97" t="n">
        <v>1097.82</v>
      </c>
      <c r="H234" s="97" t="n">
        <v>1147.591</v>
      </c>
      <c r="I234" s="97" t="n">
        <v>1209.411</v>
      </c>
      <c r="J234" s="97" t="n">
        <v>1178.582</v>
      </c>
    </row>
    <row r="235" ht="16" customHeight="1">
      <c r="A235" s="96" t="inlineStr"/>
      <c r="B235" s="94" t="inlineStr">
        <is>
          <t>Gross Margin %</t>
        </is>
      </c>
      <c r="C235" s="71" t="n">
        <v>0.418</v>
      </c>
      <c r="D235" s="71" t="n">
        <v>0.422</v>
      </c>
      <c r="E235" s="71" t="n">
        <v>0.417</v>
      </c>
      <c r="F235" s="71" t="n">
        <v>0.421</v>
      </c>
      <c r="G235" s="71" t="n">
        <v>0.425</v>
      </c>
      <c r="H235" s="71" t="n">
        <v>0.398</v>
      </c>
      <c r="I235" s="71" t="n">
        <v>0.402</v>
      </c>
      <c r="J235" s="71" t="n">
        <v>0.386</v>
      </c>
    </row>
    <row r="236" ht="16" customHeight="1">
      <c r="A236" s="96" t="inlineStr"/>
      <c r="B236" s="27" t="inlineStr">
        <is>
          <t>QoQ Rev Growth</t>
        </is>
      </c>
      <c r="C236" s="49" t="n"/>
      <c r="D236" s="75" t="n">
        <v>0.03857148090580336</v>
      </c>
      <c r="E236" s="75" t="n">
        <v>0.02158638079669759</v>
      </c>
      <c r="F236" s="75" t="n">
        <v>0.01633379864156304</v>
      </c>
      <c r="G236" s="75" t="n">
        <v>0.06561498395491457</v>
      </c>
      <c r="H236" s="75" t="n">
        <v>0.04533621176513454</v>
      </c>
      <c r="I236" s="75" t="n">
        <v>0.05386936635090376</v>
      </c>
      <c r="J236" s="75" t="n">
        <v>-0.02549092078706081</v>
      </c>
    </row>
    <row r="237" ht="16" customHeight="1">
      <c r="A237" s="96" t="inlineStr"/>
      <c r="B237" s="20" t="inlineStr">
        <is>
          <t>YoY Rev Growth</t>
        </is>
      </c>
      <c r="C237" s="47" t="n"/>
      <c r="D237" s="47" t="n"/>
      <c r="E237" s="47" t="n"/>
      <c r="F237" s="47" t="n"/>
      <c r="G237" s="71" t="n">
        <v>0.149074466581885</v>
      </c>
      <c r="H237" s="71" t="n">
        <v>0.1565589581615849</v>
      </c>
      <c r="I237" s="71" t="n">
        <v>0.193107190245298</v>
      </c>
      <c r="J237" s="71" t="n">
        <v>0.1440077963778681</v>
      </c>
    </row>
    <row r="238" ht="8" customHeight="1"/>
    <row r="239" ht="18" customHeight="1">
      <c r="A239" s="94" t="inlineStr">
        <is>
          <t>UI  —  Ubiquiti Inc.</t>
        </is>
      </c>
      <c r="C239" s="37" t="inlineStr">
        <is>
          <t>Vital Link</t>
        </is>
      </c>
      <c r="D239" s="74" t="inlineStr">
        <is>
          <t>Mkt Cap: $34616M</t>
        </is>
      </c>
      <c r="E239" s="95" t="n"/>
      <c r="F239" s="95" t="n"/>
      <c r="G239" s="95" t="n"/>
      <c r="H239" s="95" t="n"/>
      <c r="I239" s="95" t="n"/>
      <c r="J239" s="95" t="n"/>
      <c r="K239" s="95" t="n"/>
    </row>
    <row r="240" ht="16" customHeight="1">
      <c r="A240" s="96" t="inlineStr"/>
      <c r="B240" s="18" t="inlineStr">
        <is>
          <t>Quarter</t>
        </is>
      </c>
      <c r="C240" s="18" t="inlineStr">
        <is>
          <t>2024-03-31</t>
        </is>
      </c>
      <c r="D240" s="18" t="inlineStr">
        <is>
          <t>2024-06-30</t>
        </is>
      </c>
      <c r="E240" s="18" t="inlineStr">
        <is>
          <t>2024-09-30</t>
        </is>
      </c>
      <c r="F240" s="18" t="inlineStr">
        <is>
          <t>2024-12-31</t>
        </is>
      </c>
      <c r="G240" s="18" t="inlineStr">
        <is>
          <t>2025-03-31</t>
        </is>
      </c>
      <c r="H240" s="18" t="inlineStr">
        <is>
          <t>2025-06-30</t>
        </is>
      </c>
      <c r="I240" s="18" t="inlineStr">
        <is>
          <t>2025-09-30</t>
        </is>
      </c>
      <c r="J240" s="18" t="inlineStr">
        <is>
          <t>2025-12-31</t>
        </is>
      </c>
    </row>
    <row r="241" ht="16" customHeight="1">
      <c r="A241" s="96" t="inlineStr"/>
      <c r="B241" s="66" t="inlineStr">
        <is>
          <t>Revenue ($M)</t>
        </is>
      </c>
      <c r="C241" s="97" t="n">
        <v>492.997</v>
      </c>
      <c r="D241" s="97" t="n">
        <v>507.461</v>
      </c>
      <c r="E241" s="97" t="n">
        <v>550.3440000000001</v>
      </c>
      <c r="F241" s="97" t="n">
        <v>599.879</v>
      </c>
      <c r="G241" s="97" t="n">
        <v>664.17</v>
      </c>
      <c r="H241" s="97" t="n">
        <v>759.152</v>
      </c>
      <c r="I241" s="97" t="n">
        <v>733.773</v>
      </c>
      <c r="J241" s="97" t="n">
        <v>814.867</v>
      </c>
    </row>
    <row r="242" ht="16" customHeight="1">
      <c r="A242" s="96" t="inlineStr"/>
      <c r="B242" s="94" t="inlineStr">
        <is>
          <t>Gross Margin %</t>
        </is>
      </c>
      <c r="C242" s="71" t="n">
        <v>0.353</v>
      </c>
      <c r="D242" s="71" t="n">
        <v>0.402</v>
      </c>
      <c r="E242" s="71" t="n">
        <v>0.421</v>
      </c>
      <c r="F242" s="71" t="n">
        <v>0.412</v>
      </c>
      <c r="G242" s="71" t="n">
        <v>0.445</v>
      </c>
      <c r="H242" s="71" t="n">
        <v>0.451</v>
      </c>
      <c r="I242" s="71" t="n">
        <v>0.46</v>
      </c>
      <c r="J242" s="71" t="n">
        <v>0.459</v>
      </c>
    </row>
    <row r="243" ht="16" customHeight="1">
      <c r="A243" s="96" t="inlineStr"/>
      <c r="B243" s="27" t="inlineStr">
        <is>
          <t>QoQ Rev Growth</t>
        </is>
      </c>
      <c r="C243" s="49" t="n"/>
      <c r="D243" s="75" t="n">
        <v>0.02933892092649651</v>
      </c>
      <c r="E243" s="75" t="n">
        <v>0.08450501614902425</v>
      </c>
      <c r="F243" s="75" t="n">
        <v>0.09000734086316922</v>
      </c>
      <c r="G243" s="75" t="n">
        <v>0.1071732799447889</v>
      </c>
      <c r="H243" s="75" t="n">
        <v>0.1430085670837286</v>
      </c>
      <c r="I243" s="75" t="n">
        <v>-0.03343072270111914</v>
      </c>
      <c r="J243" s="75" t="n">
        <v>0.1105164676269091</v>
      </c>
    </row>
    <row r="244" ht="16" customHeight="1">
      <c r="A244" s="96" t="inlineStr"/>
      <c r="B244" s="20" t="inlineStr">
        <is>
          <t>YoY Rev Growth</t>
        </is>
      </c>
      <c r="C244" s="47" t="n"/>
      <c r="D244" s="47" t="n"/>
      <c r="E244" s="47" t="n"/>
      <c r="F244" s="47" t="n"/>
      <c r="G244" s="71" t="n">
        <v>0.3472090093854526</v>
      </c>
      <c r="H244" s="71" t="n">
        <v>0.4959809719367597</v>
      </c>
      <c r="I244" s="71" t="n">
        <v>0.3332988094718939</v>
      </c>
      <c r="J244" s="71" t="n">
        <v>0.3583856077642325</v>
      </c>
    </row>
    <row r="245" ht="8" customHeight="1"/>
    <row r="246" ht="18" customHeight="1">
      <c r="A246" s="94" t="inlineStr">
        <is>
          <t>RBC  —  RBC Bearings Incorporated</t>
        </is>
      </c>
      <c r="C246" s="37" t="inlineStr">
        <is>
          <t>Vital Link</t>
        </is>
      </c>
      <c r="D246" s="74" t="inlineStr">
        <is>
          <t>Mkt Cap: $15470M</t>
        </is>
      </c>
      <c r="E246" s="95" t="n"/>
      <c r="F246" s="95" t="n"/>
      <c r="G246" s="95" t="n"/>
      <c r="H246" s="95" t="n"/>
      <c r="I246" s="95" t="n"/>
      <c r="J246" s="95" t="n"/>
      <c r="K246" s="95" t="n"/>
    </row>
    <row r="247" ht="16" customHeight="1">
      <c r="A247" s="96" t="inlineStr"/>
      <c r="B247" s="18" t="inlineStr">
        <is>
          <t>Quarter</t>
        </is>
      </c>
      <c r="C247" s="18" t="inlineStr">
        <is>
          <t>2024-03-30</t>
        </is>
      </c>
      <c r="D247" s="18" t="inlineStr">
        <is>
          <t>2024-06-29</t>
        </is>
      </c>
      <c r="E247" s="18" t="inlineStr">
        <is>
          <t>2024-09-28</t>
        </is>
      </c>
      <c r="F247" s="18" t="inlineStr">
        <is>
          <t>2024-12-28</t>
        </is>
      </c>
      <c r="G247" s="18" t="inlineStr">
        <is>
          <t>2025-03-29</t>
        </is>
      </c>
      <c r="H247" s="18" t="inlineStr">
        <is>
          <t>2025-06-28</t>
        </is>
      </c>
      <c r="I247" s="18" t="inlineStr">
        <is>
          <t>2025-09-27</t>
        </is>
      </c>
      <c r="J247" s="18" t="inlineStr">
        <is>
          <t>2025-12-27</t>
        </is>
      </c>
    </row>
    <row r="248" ht="16" customHeight="1">
      <c r="A248" s="96" t="inlineStr"/>
      <c r="B248" s="66" t="inlineStr">
        <is>
          <t>Revenue ($M)</t>
        </is>
      </c>
      <c r="C248" s="97" t="n">
        <v>413.7</v>
      </c>
      <c r="D248" s="97" t="n">
        <v>406.3</v>
      </c>
      <c r="E248" s="97" t="n">
        <v>397.9</v>
      </c>
      <c r="F248" s="97" t="n">
        <v>394.4</v>
      </c>
      <c r="G248" s="97" t="n">
        <v>437.7</v>
      </c>
      <c r="H248" s="97" t="n">
        <v>436</v>
      </c>
      <c r="I248" s="97" t="n">
        <v>455.3</v>
      </c>
      <c r="J248" s="97" t="n">
        <v>461.6</v>
      </c>
    </row>
    <row r="249" ht="16" customHeight="1">
      <c r="A249" s="96" t="inlineStr"/>
      <c r="B249" s="94" t="inlineStr">
        <is>
          <t>Gross Margin %</t>
        </is>
      </c>
      <c r="C249" s="71" t="n">
        <v>0.431</v>
      </c>
      <c r="D249" s="71" t="n">
        <v>0.453</v>
      </c>
      <c r="E249" s="71" t="n">
        <v>0.4370000000000001</v>
      </c>
      <c r="F249" s="71" t="n">
        <v>0.4429999999999999</v>
      </c>
      <c r="G249" s="71" t="n">
        <v>0.4</v>
      </c>
      <c r="H249" s="71" t="n">
        <v>0.448</v>
      </c>
      <c r="I249" s="71" t="n">
        <v>0.441</v>
      </c>
      <c r="J249" s="71" t="n">
        <v>0.397</v>
      </c>
    </row>
    <row r="250" ht="16" customHeight="1">
      <c r="A250" s="96" t="inlineStr"/>
      <c r="B250" s="27" t="inlineStr">
        <is>
          <t>QoQ Rev Growth</t>
        </is>
      </c>
      <c r="C250" s="49" t="n"/>
      <c r="D250" s="75" t="n">
        <v>-0.01788735798888083</v>
      </c>
      <c r="E250" s="75" t="n">
        <v>-0.02067437853802609</v>
      </c>
      <c r="F250" s="75" t="n">
        <v>-0.008796179944709727</v>
      </c>
      <c r="G250" s="75" t="n">
        <v>0.1097870182555781</v>
      </c>
      <c r="H250" s="75" t="n">
        <v>-0.003883938770847613</v>
      </c>
      <c r="I250" s="75" t="n">
        <v>0.04426605504587156</v>
      </c>
      <c r="J250" s="75" t="n">
        <v>0.01383703052932133</v>
      </c>
    </row>
    <row r="251" ht="16" customHeight="1">
      <c r="A251" s="96" t="inlineStr"/>
      <c r="B251" s="20" t="inlineStr">
        <is>
          <t>YoY Rev Growth</t>
        </is>
      </c>
      <c r="C251" s="47" t="n"/>
      <c r="D251" s="47" t="n"/>
      <c r="E251" s="47" t="n"/>
      <c r="F251" s="47" t="n"/>
      <c r="G251" s="71" t="n">
        <v>0.05801305293691081</v>
      </c>
      <c r="H251" s="71" t="n">
        <v>0.07309869554516367</v>
      </c>
      <c r="I251" s="71" t="n">
        <v>0.1442573510932395</v>
      </c>
      <c r="J251" s="71" t="n">
        <v>0.1703853955375254</v>
      </c>
    </row>
    <row r="252" ht="8" customHeight="1"/>
    <row r="253" ht="18" customHeight="1">
      <c r="A253" s="94" t="inlineStr">
        <is>
          <t>HWM  —  Howmet Aerospace Inc.</t>
        </is>
      </c>
      <c r="C253" s="37" t="inlineStr">
        <is>
          <t>Vital Link</t>
        </is>
      </c>
      <c r="D253" s="74" t="inlineStr">
        <is>
          <t>Mkt Cap: $96030M</t>
        </is>
      </c>
      <c r="E253" s="95" t="n"/>
      <c r="F253" s="95" t="n"/>
      <c r="G253" s="95" t="n"/>
      <c r="H253" s="95" t="n"/>
      <c r="I253" s="95" t="n"/>
      <c r="J253" s="95" t="n"/>
      <c r="K253" s="95" t="n"/>
    </row>
    <row r="254" ht="16" customHeight="1">
      <c r="A254" s="96" t="inlineStr"/>
      <c r="B254" s="18" t="inlineStr">
        <is>
          <t>Quarter</t>
        </is>
      </c>
      <c r="C254" s="18" t="inlineStr">
        <is>
          <t>2024-03-31</t>
        </is>
      </c>
      <c r="D254" s="18" t="inlineStr">
        <is>
          <t>2024-06-30</t>
        </is>
      </c>
      <c r="E254" s="18" t="inlineStr">
        <is>
          <t>2024-09-30</t>
        </is>
      </c>
      <c r="F254" s="18" t="inlineStr">
        <is>
          <t>2024-12-31</t>
        </is>
      </c>
      <c r="G254" s="18" t="inlineStr">
        <is>
          <t>2025-03-31</t>
        </is>
      </c>
      <c r="H254" s="18" t="inlineStr">
        <is>
          <t>2025-06-30</t>
        </is>
      </c>
      <c r="I254" s="18" t="inlineStr">
        <is>
          <t>2025-09-30</t>
        </is>
      </c>
      <c r="J254" s="18" t="inlineStr">
        <is>
          <t>2025-12-31</t>
        </is>
      </c>
    </row>
    <row r="255" ht="16" customHeight="1">
      <c r="A255" s="96" t="inlineStr"/>
      <c r="B255" s="66" t="inlineStr">
        <is>
          <t>Revenue ($M)</t>
        </is>
      </c>
      <c r="C255" s="97" t="n">
        <v>1824</v>
      </c>
      <c r="D255" s="97" t="n">
        <v>1880</v>
      </c>
      <c r="E255" s="97" t="n">
        <v>1835</v>
      </c>
      <c r="F255" s="97" t="n">
        <v>1891</v>
      </c>
      <c r="G255" s="97" t="n">
        <v>1942</v>
      </c>
      <c r="H255" s="97" t="n">
        <v>2053</v>
      </c>
      <c r="I255" s="97" t="n">
        <v>2089</v>
      </c>
      <c r="J255" s="97" t="n">
        <v>2168</v>
      </c>
    </row>
    <row r="256" ht="16" customHeight="1">
      <c r="A256" s="96" t="inlineStr"/>
      <c r="B256" s="94" t="inlineStr">
        <is>
          <t>Gross Margin %</t>
        </is>
      </c>
      <c r="C256" s="71" t="n">
        <v>0.256</v>
      </c>
      <c r="D256" s="71" t="n">
        <v>0.279</v>
      </c>
      <c r="E256" s="71" t="n">
        <v>0.28</v>
      </c>
      <c r="F256" s="71" t="n">
        <v>0.286</v>
      </c>
      <c r="G256" s="71" t="n">
        <v>0.3</v>
      </c>
      <c r="H256" s="71" t="n">
        <v>0.302</v>
      </c>
      <c r="I256" s="71" t="n">
        <v>0.312</v>
      </c>
      <c r="J256" s="71" t="n">
        <v>0.315</v>
      </c>
    </row>
    <row r="257" ht="16" customHeight="1">
      <c r="A257" s="96" t="inlineStr"/>
      <c r="B257" s="27" t="inlineStr">
        <is>
          <t>QoQ Rev Growth</t>
        </is>
      </c>
      <c r="C257" s="49" t="n"/>
      <c r="D257" s="75" t="n">
        <v>0.03070175438596491</v>
      </c>
      <c r="E257" s="75" t="n">
        <v>-0.02393617021276596</v>
      </c>
      <c r="F257" s="75" t="n">
        <v>0.03051771117166212</v>
      </c>
      <c r="G257" s="75" t="n">
        <v>0.02696985721840296</v>
      </c>
      <c r="H257" s="75" t="n">
        <v>0.05715756951596292</v>
      </c>
      <c r="I257" s="75" t="n">
        <v>0.01753531417437896</v>
      </c>
      <c r="J257" s="75" t="n">
        <v>0.03781713738630924</v>
      </c>
    </row>
    <row r="258" ht="16" customHeight="1">
      <c r="A258" s="96" t="inlineStr"/>
      <c r="B258" s="20" t="inlineStr">
        <is>
          <t>YoY Rev Growth</t>
        </is>
      </c>
      <c r="C258" s="47" t="n"/>
      <c r="D258" s="47" t="n"/>
      <c r="E258" s="47" t="n"/>
      <c r="F258" s="47" t="n"/>
      <c r="G258" s="71" t="n">
        <v>0.06469298245614036</v>
      </c>
      <c r="H258" s="71" t="n">
        <v>0.09202127659574467</v>
      </c>
      <c r="I258" s="71" t="n">
        <v>0.1384196185286103</v>
      </c>
      <c r="J258" s="71" t="n">
        <v>0.1464833421470122</v>
      </c>
    </row>
    <row r="259" ht="8" customHeight="1"/>
    <row r="260" ht="18" customHeight="1">
      <c r="A260" s="94" t="inlineStr">
        <is>
          <t>AXON  —  Axon Enterprise, Inc.</t>
        </is>
      </c>
      <c r="C260" s="37" t="inlineStr">
        <is>
          <t>Vital Link</t>
        </is>
      </c>
      <c r="D260" s="74" t="inlineStr">
        <is>
          <t>Mkt Cap: $41037M</t>
        </is>
      </c>
      <c r="E260" s="95" t="n"/>
      <c r="F260" s="95" t="n"/>
      <c r="G260" s="95" t="n"/>
      <c r="H260" s="95" t="n"/>
      <c r="I260" s="95" t="n"/>
      <c r="J260" s="95" t="n"/>
      <c r="K260" s="95" t="n"/>
    </row>
    <row r="261" ht="16" customHeight="1">
      <c r="A261" s="96" t="inlineStr"/>
      <c r="B261" s="18" t="inlineStr">
        <is>
          <t>Quarter</t>
        </is>
      </c>
      <c r="C261" s="18" t="inlineStr">
        <is>
          <t>2024-03-31</t>
        </is>
      </c>
      <c r="D261" s="18" t="inlineStr">
        <is>
          <t>2024-06-30</t>
        </is>
      </c>
      <c r="E261" s="18" t="inlineStr">
        <is>
          <t>2024-09-30</t>
        </is>
      </c>
      <c r="F261" s="18" t="inlineStr">
        <is>
          <t>2024-12-31</t>
        </is>
      </c>
      <c r="G261" s="18" t="inlineStr">
        <is>
          <t>2025-03-31</t>
        </is>
      </c>
      <c r="H261" s="18" t="inlineStr">
        <is>
          <t>2025-06-30</t>
        </is>
      </c>
      <c r="I261" s="18" t="inlineStr">
        <is>
          <t>2025-09-30</t>
        </is>
      </c>
      <c r="J261" s="18" t="inlineStr">
        <is>
          <t>2025-12-31</t>
        </is>
      </c>
    </row>
    <row r="262" ht="16" customHeight="1">
      <c r="A262" s="96" t="inlineStr"/>
      <c r="B262" s="66" t="inlineStr">
        <is>
          <t>Revenue ($M)</t>
        </is>
      </c>
      <c r="C262" s="97" t="n">
        <v>459.871</v>
      </c>
      <c r="D262" s="97" t="n">
        <v>503.236</v>
      </c>
      <c r="E262" s="97" t="n">
        <v>544.274</v>
      </c>
      <c r="F262" s="97" t="n">
        <v>575.145</v>
      </c>
      <c r="G262" s="97" t="n">
        <v>603.633</v>
      </c>
      <c r="H262" s="97" t="n">
        <v>668.538</v>
      </c>
      <c r="I262" s="97" t="n">
        <v>710.641</v>
      </c>
      <c r="J262" s="97" t="n">
        <v>796.724</v>
      </c>
    </row>
    <row r="263" ht="16" customHeight="1">
      <c r="A263" s="96" t="inlineStr"/>
      <c r="B263" s="94" t="inlineStr">
        <is>
          <t>Gross Margin %</t>
        </is>
      </c>
      <c r="C263" s="71" t="n">
        <v>0.5620000000000001</v>
      </c>
      <c r="D263" s="71" t="n">
        <v>0.608</v>
      </c>
      <c r="E263" s="71" t="n">
        <v>0.608</v>
      </c>
      <c r="F263" s="71" t="n">
        <v>0.601</v>
      </c>
      <c r="G263" s="71" t="n">
        <v>0.606</v>
      </c>
      <c r="H263" s="71" t="n">
        <v>0.604</v>
      </c>
      <c r="I263" s="71" t="n">
        <v>0.601</v>
      </c>
      <c r="J263" s="71" t="n">
        <v>0.579</v>
      </c>
    </row>
    <row r="264" ht="16" customHeight="1">
      <c r="A264" s="96" t="inlineStr"/>
      <c r="B264" s="27" t="inlineStr">
        <is>
          <t>QoQ Rev Growth</t>
        </is>
      </c>
      <c r="C264" s="49" t="n"/>
      <c r="D264" s="75" t="n">
        <v>0.09429818362105895</v>
      </c>
      <c r="E264" s="75" t="n">
        <v>0.0815482199206734</v>
      </c>
      <c r="F264" s="75" t="n">
        <v>0.05671959344006879</v>
      </c>
      <c r="G264" s="75" t="n">
        <v>0.04953185718384059</v>
      </c>
      <c r="H264" s="75" t="n">
        <v>0.107523942527993</v>
      </c>
      <c r="I264" s="75" t="n">
        <v>0.06297772153564943</v>
      </c>
      <c r="J264" s="75" t="n">
        <v>0.1211342998785603</v>
      </c>
    </row>
    <row r="265" ht="16" customHeight="1">
      <c r="A265" s="96" t="inlineStr"/>
      <c r="B265" s="20" t="inlineStr">
        <is>
          <t>YoY Rev Growth</t>
        </is>
      </c>
      <c r="C265" s="47" t="n"/>
      <c r="D265" s="47" t="n"/>
      <c r="E265" s="47" t="n"/>
      <c r="F265" s="47" t="n"/>
      <c r="G265" s="71" t="n">
        <v>0.312613754726869</v>
      </c>
      <c r="H265" s="71" t="n">
        <v>0.3284780898027963</v>
      </c>
      <c r="I265" s="71" t="n">
        <v>0.3056677335312729</v>
      </c>
      <c r="J265" s="71" t="n">
        <v>0.3852576306844361</v>
      </c>
    </row>
    <row r="266" ht="8" customHeight="1"/>
    <row r="267" ht="18" customHeight="1">
      <c r="A267" s="94" t="inlineStr">
        <is>
          <t>TDG  —  TransDigm Group Incorporated</t>
        </is>
      </c>
      <c r="C267" s="37" t="inlineStr">
        <is>
          <t>Vital Link</t>
        </is>
      </c>
      <c r="D267" s="74" t="inlineStr">
        <is>
          <t>Mkt Cap: $64117M</t>
        </is>
      </c>
      <c r="E267" s="95" t="n"/>
      <c r="F267" s="95" t="n"/>
      <c r="G267" s="95" t="n"/>
      <c r="H267" s="95" t="n"/>
      <c r="I267" s="95" t="n"/>
      <c r="J267" s="95" t="n"/>
      <c r="K267" s="95" t="n"/>
    </row>
    <row r="268" ht="16" customHeight="1">
      <c r="A268" s="96" t="inlineStr"/>
      <c r="B268" s="18" t="inlineStr">
        <is>
          <t>Quarter</t>
        </is>
      </c>
      <c r="C268" s="18" t="inlineStr">
        <is>
          <t>2024-03-30</t>
        </is>
      </c>
      <c r="D268" s="18" t="inlineStr">
        <is>
          <t>2024-06-29</t>
        </is>
      </c>
      <c r="E268" s="18" t="inlineStr">
        <is>
          <t>2024-09-30</t>
        </is>
      </c>
      <c r="F268" s="18" t="inlineStr">
        <is>
          <t>2024-12-28</t>
        </is>
      </c>
      <c r="G268" s="18" t="inlineStr">
        <is>
          <t>2025-03-29</t>
        </is>
      </c>
      <c r="H268" s="18" t="inlineStr">
        <is>
          <t>2025-06-28</t>
        </is>
      </c>
      <c r="I268" s="18" t="inlineStr">
        <is>
          <t>2025-09-30</t>
        </is>
      </c>
      <c r="J268" s="18" t="inlineStr">
        <is>
          <t>2025-12-27</t>
        </is>
      </c>
    </row>
    <row r="269" ht="16" customHeight="1">
      <c r="A269" s="96" t="inlineStr"/>
      <c r="B269" s="66" t="inlineStr">
        <is>
          <t>Revenue ($M)</t>
        </is>
      </c>
      <c r="C269" s="97" t="n">
        <v>1919</v>
      </c>
      <c r="D269" s="97" t="n">
        <v>2046</v>
      </c>
      <c r="E269" s="97" t="n">
        <v>2186</v>
      </c>
      <c r="F269" s="97" t="n">
        <v>2006</v>
      </c>
      <c r="G269" s="97" t="n">
        <v>2150</v>
      </c>
      <c r="H269" s="97" t="n">
        <v>2237</v>
      </c>
      <c r="I269" s="97" t="n">
        <v>2437</v>
      </c>
      <c r="J269" s="97" t="n">
        <v>2285</v>
      </c>
    </row>
    <row r="270" ht="16" customHeight="1">
      <c r="A270" s="96" t="inlineStr"/>
      <c r="B270" s="94" t="inlineStr">
        <is>
          <t>Gross Margin %</t>
        </is>
      </c>
      <c r="C270" s="71" t="n">
        <v>0.6</v>
      </c>
      <c r="D270" s="71" t="n">
        <v>0.596</v>
      </c>
      <c r="E270" s="71" t="n">
        <v>0.5760000000000001</v>
      </c>
      <c r="F270" s="71" t="n">
        <v>0.616</v>
      </c>
      <c r="G270" s="71" t="n">
        <v>0.593</v>
      </c>
      <c r="H270" s="71" t="n">
        <v>0.595</v>
      </c>
      <c r="I270" s="71" t="n">
        <v>0.603</v>
      </c>
      <c r="J270" s="71" t="n">
        <v>0.5920000000000001</v>
      </c>
    </row>
    <row r="271" ht="16" customHeight="1">
      <c r="A271" s="96" t="inlineStr"/>
      <c r="B271" s="27" t="inlineStr">
        <is>
          <t>QoQ Rev Growth</t>
        </is>
      </c>
      <c r="C271" s="49" t="n"/>
      <c r="D271" s="75" t="n">
        <v>0.06618030224075039</v>
      </c>
      <c r="E271" s="75" t="n">
        <v>0.06842619745845552</v>
      </c>
      <c r="F271" s="75" t="n">
        <v>-0.08234217749313816</v>
      </c>
      <c r="G271" s="75" t="n">
        <v>0.07178464606181456</v>
      </c>
      <c r="H271" s="75" t="n">
        <v>0.04046511627906977</v>
      </c>
      <c r="I271" s="75" t="n">
        <v>0.08940545373267769</v>
      </c>
      <c r="J271" s="75" t="n">
        <v>-0.06237176856791136</v>
      </c>
    </row>
    <row r="272" ht="16" customHeight="1">
      <c r="A272" s="96" t="inlineStr"/>
      <c r="B272" s="20" t="inlineStr">
        <is>
          <t>YoY Rev Growth</t>
        </is>
      </c>
      <c r="C272" s="47" t="n"/>
      <c r="D272" s="47" t="n"/>
      <c r="E272" s="47" t="n"/>
      <c r="F272" s="47" t="n"/>
      <c r="G272" s="71" t="n">
        <v>0.1203751954142783</v>
      </c>
      <c r="H272" s="71" t="n">
        <v>0.09335288367546432</v>
      </c>
      <c r="I272" s="71" t="n">
        <v>0.1148215919487649</v>
      </c>
      <c r="J272" s="71" t="n">
        <v>0.1390827517447657</v>
      </c>
    </row>
    <row r="273" ht="8" customHeight="1"/>
    <row r="274" ht="18" customHeight="1">
      <c r="A274" s="94" t="inlineStr">
        <is>
          <t>FTAI  —  FTAI Aviation Ltd.</t>
        </is>
      </c>
      <c r="C274" s="37" t="inlineStr">
        <is>
          <t>Vital Link</t>
        </is>
      </c>
      <c r="D274" s="74" t="inlineStr">
        <is>
          <t>Mkt Cap: $20414M</t>
        </is>
      </c>
      <c r="E274" s="95" t="n"/>
      <c r="F274" s="95" t="n"/>
      <c r="G274" s="95" t="n"/>
      <c r="H274" s="95" t="n"/>
      <c r="I274" s="95" t="n"/>
      <c r="J274" s="95" t="n"/>
      <c r="K274" s="95" t="n"/>
    </row>
    <row r="275" ht="16" customHeight="1">
      <c r="A275" s="96" t="inlineStr"/>
      <c r="B275" s="18" t="inlineStr">
        <is>
          <t>Quarter</t>
        </is>
      </c>
      <c r="C275" s="18" t="inlineStr">
        <is>
          <t>2024-03-31</t>
        </is>
      </c>
      <c r="D275" s="18" t="inlineStr">
        <is>
          <t>2024-06-30</t>
        </is>
      </c>
      <c r="E275" s="18" t="inlineStr">
        <is>
          <t>2024-09-30</t>
        </is>
      </c>
      <c r="F275" s="18" t="inlineStr">
        <is>
          <t>2024-12-31</t>
        </is>
      </c>
      <c r="G275" s="18" t="inlineStr">
        <is>
          <t>2025-03-31</t>
        </is>
      </c>
      <c r="H275" s="18" t="inlineStr">
        <is>
          <t>2025-06-30</t>
        </is>
      </c>
      <c r="I275" s="18" t="inlineStr">
        <is>
          <t>2025-09-30</t>
        </is>
      </c>
      <c r="J275" s="18" t="inlineStr">
        <is>
          <t>2025-12-31</t>
        </is>
      </c>
    </row>
    <row r="276" ht="16" customHeight="1">
      <c r="A276" s="96" t="inlineStr"/>
      <c r="B276" s="66" t="inlineStr">
        <is>
          <t>Revenue ($M)</t>
        </is>
      </c>
      <c r="C276" s="97" t="n">
        <v>330.67</v>
      </c>
      <c r="D276" s="97" t="n">
        <v>447.38</v>
      </c>
      <c r="E276" s="97" t="n">
        <v>469.514</v>
      </c>
      <c r="F276" s="97" t="n">
        <v>502.934</v>
      </c>
      <c r="G276" s="97" t="n">
        <v>502.08</v>
      </c>
      <c r="H276" s="97" t="n">
        <v>676.237</v>
      </c>
      <c r="I276" s="97" t="n">
        <v>667.064</v>
      </c>
      <c r="J276" s="97" t="n">
        <v>662.028</v>
      </c>
    </row>
    <row r="277" ht="16" customHeight="1">
      <c r="A277" s="96" t="inlineStr"/>
      <c r="B277" s="94" t="inlineStr">
        <is>
          <t>Gross Margin %</t>
        </is>
      </c>
      <c r="C277" s="71" t="n">
        <v>0.329</v>
      </c>
      <c r="D277" s="71" t="n">
        <v>0.34</v>
      </c>
      <c r="E277" s="71" t="n">
        <v>0.352</v>
      </c>
      <c r="F277" s="71" t="n">
        <v>0.302</v>
      </c>
      <c r="G277" s="71" t="n">
        <v>0.386</v>
      </c>
      <c r="H277" s="71" t="n">
        <v>0.3720000000000001</v>
      </c>
      <c r="I277" s="71" t="n">
        <v>0.373</v>
      </c>
      <c r="J277" s="71" t="n">
        <v>0.288</v>
      </c>
    </row>
    <row r="278" ht="16" customHeight="1">
      <c r="A278" s="96" t="inlineStr"/>
      <c r="B278" s="27" t="inlineStr">
        <is>
          <t>QoQ Rev Growth</t>
        </is>
      </c>
      <c r="C278" s="49" t="n"/>
      <c r="D278" s="75" t="n">
        <v>0.352950071067832</v>
      </c>
      <c r="E278" s="75" t="n">
        <v>0.04947471947784881</v>
      </c>
      <c r="F278" s="75" t="n">
        <v>0.07117998611330013</v>
      </c>
      <c r="G278" s="75" t="n">
        <v>-0.001698035925190979</v>
      </c>
      <c r="H278" s="75" t="n">
        <v>0.3468710165710644</v>
      </c>
      <c r="I278" s="75" t="n">
        <v>-0.01356477093090144</v>
      </c>
      <c r="J278" s="75" t="n">
        <v>-0.007549500497703369</v>
      </c>
    </row>
    <row r="279" ht="16" customHeight="1">
      <c r="A279" s="96" t="inlineStr"/>
      <c r="B279" s="20" t="inlineStr">
        <is>
          <t>YoY Rev Growth</t>
        </is>
      </c>
      <c r="C279" s="47" t="n"/>
      <c r="D279" s="47" t="n"/>
      <c r="E279" s="47" t="n"/>
      <c r="F279" s="47" t="n"/>
      <c r="G279" s="71" t="n">
        <v>0.5183717906069495</v>
      </c>
      <c r="H279" s="71" t="n">
        <v>0.5115494657785328</v>
      </c>
      <c r="I279" s="71" t="n">
        <v>0.4207542267110246</v>
      </c>
      <c r="J279" s="71" t="n">
        <v>0.3163317652017958</v>
      </c>
    </row>
    <row r="280" ht="8" customHeight="1"/>
    <row r="281" ht="18" customHeight="1">
      <c r="A281" s="94" t="inlineStr">
        <is>
          <t>TDY  —  Teledyne Technologies Incorporated</t>
        </is>
      </c>
      <c r="C281" s="37" t="inlineStr">
        <is>
          <t>Vital Link</t>
        </is>
      </c>
      <c r="D281" s="74" t="inlineStr">
        <is>
          <t>Mkt Cap: $28081M</t>
        </is>
      </c>
      <c r="E281" s="95" t="n"/>
      <c r="F281" s="95" t="n"/>
      <c r="G281" s="95" t="n"/>
      <c r="H281" s="95" t="n"/>
      <c r="I281" s="95" t="n"/>
      <c r="J281" s="95" t="n"/>
      <c r="K281" s="95" t="n"/>
    </row>
    <row r="282" ht="16" customHeight="1">
      <c r="A282" s="96" t="inlineStr"/>
      <c r="B282" s="18" t="inlineStr">
        <is>
          <t>Quarter</t>
        </is>
      </c>
      <c r="C282" s="18" t="inlineStr">
        <is>
          <t>2024-03-31</t>
        </is>
      </c>
      <c r="D282" s="18" t="inlineStr">
        <is>
          <t>2024-06-30</t>
        </is>
      </c>
      <c r="E282" s="18" t="inlineStr">
        <is>
          <t>2024-09-29</t>
        </is>
      </c>
      <c r="F282" s="18" t="inlineStr">
        <is>
          <t>2024-12-31</t>
        </is>
      </c>
      <c r="G282" s="18" t="inlineStr">
        <is>
          <t>2025-03-30</t>
        </is>
      </c>
      <c r="H282" s="18" t="inlineStr">
        <is>
          <t>2025-06-29</t>
        </is>
      </c>
      <c r="I282" s="18" t="inlineStr">
        <is>
          <t>2025-09-28</t>
        </is>
      </c>
      <c r="J282" s="18" t="inlineStr">
        <is>
          <t>2025-12-28</t>
        </is>
      </c>
    </row>
    <row r="283" ht="16" customHeight="1">
      <c r="A283" s="96" t="inlineStr"/>
      <c r="B283" s="66" t="inlineStr">
        <is>
          <t>Revenue ($M)</t>
        </is>
      </c>
      <c r="C283" s="97" t="n">
        <v>1350.1</v>
      </c>
      <c r="D283" s="97" t="n">
        <v>1374.1</v>
      </c>
      <c r="E283" s="97" t="n">
        <v>1443.5</v>
      </c>
      <c r="F283" s="97" t="n">
        <v>1502.3</v>
      </c>
      <c r="G283" s="97" t="n">
        <v>1449.9</v>
      </c>
      <c r="H283" s="97" t="n">
        <v>1513.7</v>
      </c>
      <c r="I283" s="97" t="n">
        <v>1539.5</v>
      </c>
      <c r="J283" s="97" t="n">
        <v>1612.3</v>
      </c>
    </row>
    <row r="284" ht="16" customHeight="1">
      <c r="A284" s="96" t="inlineStr"/>
      <c r="B284" s="94" t="inlineStr">
        <is>
          <t>Gross Margin %</t>
        </is>
      </c>
      <c r="C284" s="71" t="n">
        <v>0.43</v>
      </c>
      <c r="D284" s="71" t="n">
        <v>0.431</v>
      </c>
      <c r="E284" s="71" t="n">
        <v>0.429</v>
      </c>
      <c r="F284" s="71" t="n">
        <v>0.428</v>
      </c>
      <c r="G284" s="71" t="n">
        <v>0.427</v>
      </c>
      <c r="H284" s="71" t="n">
        <v>0.426</v>
      </c>
      <c r="I284" s="71" t="n">
        <v>0.428</v>
      </c>
      <c r="J284" s="71" t="n">
        <v>0.294</v>
      </c>
    </row>
    <row r="285" ht="16" customHeight="1">
      <c r="A285" s="96" t="inlineStr"/>
      <c r="B285" s="27" t="inlineStr">
        <is>
          <t>QoQ Rev Growth</t>
        </is>
      </c>
      <c r="C285" s="49" t="n"/>
      <c r="D285" s="75" t="n">
        <v>0.01777646100288868</v>
      </c>
      <c r="E285" s="75" t="n">
        <v>0.05050578560512335</v>
      </c>
      <c r="F285" s="75" t="n">
        <v>0.04073432629026671</v>
      </c>
      <c r="G285" s="75" t="n">
        <v>-0.03487985089529388</v>
      </c>
      <c r="H285" s="75" t="n">
        <v>0.04400303469204773</v>
      </c>
      <c r="I285" s="75" t="n">
        <v>0.01704432846667107</v>
      </c>
      <c r="J285" s="75" t="n">
        <v>0.0472880805456317</v>
      </c>
    </row>
    <row r="286" ht="16" customHeight="1">
      <c r="A286" s="96" t="inlineStr"/>
      <c r="B286" s="20" t="inlineStr">
        <is>
          <t>YoY Rev Growth</t>
        </is>
      </c>
      <c r="C286" s="47" t="n"/>
      <c r="D286" s="47" t="n"/>
      <c r="E286" s="47" t="n"/>
      <c r="F286" s="47" t="n"/>
      <c r="G286" s="71" t="n">
        <v>0.07392045033701207</v>
      </c>
      <c r="H286" s="71" t="n">
        <v>0.1015937704679427</v>
      </c>
      <c r="I286" s="71" t="n">
        <v>0.06650502251472117</v>
      </c>
      <c r="J286" s="71" t="n">
        <v>0.07322106103973906</v>
      </c>
    </row>
    <row r="287" ht="8" customHeight="1"/>
  </sheetData>
  <mergeCells count="46">
    <mergeCell ref="A232:B232"/>
    <mergeCell ref="A260:B260"/>
    <mergeCell ref="A182:B182"/>
    <mergeCell ref="A225:B225"/>
    <mergeCell ref="A281:B281"/>
    <mergeCell ref="A132:B132"/>
    <mergeCell ref="A61:B61"/>
    <mergeCell ref="A1:K1"/>
    <mergeCell ref="A168:B168"/>
    <mergeCell ref="A146:K146"/>
    <mergeCell ref="A218:B218"/>
    <mergeCell ref="A54:B54"/>
    <mergeCell ref="A196:B196"/>
    <mergeCell ref="A90:B90"/>
    <mergeCell ref="A246:B246"/>
    <mergeCell ref="A118:B118"/>
    <mergeCell ref="A189:B189"/>
    <mergeCell ref="A217:K217"/>
    <mergeCell ref="A75:K75"/>
    <mergeCell ref="A154:B154"/>
    <mergeCell ref="A267:B267"/>
    <mergeCell ref="A12:B12"/>
    <mergeCell ref="A239:B239"/>
    <mergeCell ref="A26:B26"/>
    <mergeCell ref="A139:B139"/>
    <mergeCell ref="A210:B210"/>
    <mergeCell ref="A104:B104"/>
    <mergeCell ref="A175:B175"/>
    <mergeCell ref="A76:B76"/>
    <mergeCell ref="A33:B33"/>
    <mergeCell ref="A47:B47"/>
    <mergeCell ref="A5:B5"/>
    <mergeCell ref="A2:K2"/>
    <mergeCell ref="A203:B203"/>
    <mergeCell ref="A253:B253"/>
    <mergeCell ref="A97:B97"/>
    <mergeCell ref="A125:B125"/>
    <mergeCell ref="A4:K4"/>
    <mergeCell ref="A147:B147"/>
    <mergeCell ref="A274:B274"/>
    <mergeCell ref="A19:B19"/>
    <mergeCell ref="A68:B68"/>
    <mergeCell ref="A161:B161"/>
    <mergeCell ref="A111:B111"/>
    <mergeCell ref="A40:B40"/>
    <mergeCell ref="A83:B83"/>
  </mergeCells>
  <conditionalFormatting sqref="C8:J8">
    <cfRule type="colorScale" priority="1">
      <colorScale>
        <cfvo type="min"/>
        <cfvo type="max"/>
        <color rgb="00FFFFFF"/>
        <color rgb="002A9D8F"/>
      </colorScale>
    </cfRule>
  </conditionalFormatting>
  <conditionalFormatting sqref="D9:J9">
    <cfRule type="colorScale" priority="2">
      <colorScale>
        <cfvo type="min"/>
        <cfvo type="num" val="0"/>
        <cfvo type="max"/>
        <color rgb="00E76F51"/>
        <color rgb="00FFFFFF"/>
        <color rgb="002A9D8F"/>
      </colorScale>
    </cfRule>
  </conditionalFormatting>
  <conditionalFormatting sqref="C15:J15">
    <cfRule type="colorScale" priority="3">
      <colorScale>
        <cfvo type="min"/>
        <cfvo type="max"/>
        <color rgb="00FFFFFF"/>
        <color rgb="002A9D8F"/>
      </colorScale>
    </cfRule>
  </conditionalFormatting>
  <conditionalFormatting sqref="D16:J16">
    <cfRule type="colorScale" priority="4">
      <colorScale>
        <cfvo type="min"/>
        <cfvo type="num" val="0"/>
        <cfvo type="max"/>
        <color rgb="00E76F51"/>
        <color rgb="00FFFFFF"/>
        <color rgb="002A9D8F"/>
      </colorScale>
    </cfRule>
  </conditionalFormatting>
  <conditionalFormatting sqref="C22:J22">
    <cfRule type="colorScale" priority="5">
      <colorScale>
        <cfvo type="min"/>
        <cfvo type="max"/>
        <color rgb="00FFFFFF"/>
        <color rgb="002A9D8F"/>
      </colorScale>
    </cfRule>
  </conditionalFormatting>
  <conditionalFormatting sqref="D23:J23">
    <cfRule type="colorScale" priority="6">
      <colorScale>
        <cfvo type="min"/>
        <cfvo type="num" val="0"/>
        <cfvo type="max"/>
        <color rgb="00E76F51"/>
        <color rgb="00FFFFFF"/>
        <color rgb="002A9D8F"/>
      </colorScale>
    </cfRule>
  </conditionalFormatting>
  <conditionalFormatting sqref="C29:J29">
    <cfRule type="colorScale" priority="7">
      <colorScale>
        <cfvo type="min"/>
        <cfvo type="max"/>
        <color rgb="00FFFFFF"/>
        <color rgb="002A9D8F"/>
      </colorScale>
    </cfRule>
  </conditionalFormatting>
  <conditionalFormatting sqref="D30:J30">
    <cfRule type="colorScale" priority="8">
      <colorScale>
        <cfvo type="min"/>
        <cfvo type="num" val="0"/>
        <cfvo type="max"/>
        <color rgb="00E76F51"/>
        <color rgb="00FFFFFF"/>
        <color rgb="002A9D8F"/>
      </colorScale>
    </cfRule>
  </conditionalFormatting>
  <conditionalFormatting sqref="C36:J36">
    <cfRule type="colorScale" priority="9">
      <colorScale>
        <cfvo type="min"/>
        <cfvo type="max"/>
        <color rgb="00FFFFFF"/>
        <color rgb="002A9D8F"/>
      </colorScale>
    </cfRule>
  </conditionalFormatting>
  <conditionalFormatting sqref="D37:J37">
    <cfRule type="colorScale" priority="10">
      <colorScale>
        <cfvo type="min"/>
        <cfvo type="num" val="0"/>
        <cfvo type="max"/>
        <color rgb="00E76F51"/>
        <color rgb="00FFFFFF"/>
        <color rgb="002A9D8F"/>
      </colorScale>
    </cfRule>
  </conditionalFormatting>
  <conditionalFormatting sqref="C43:J43">
    <cfRule type="colorScale" priority="11">
      <colorScale>
        <cfvo type="min"/>
        <cfvo type="max"/>
        <color rgb="00FFFFFF"/>
        <color rgb="002A9D8F"/>
      </colorScale>
    </cfRule>
  </conditionalFormatting>
  <conditionalFormatting sqref="D44:J44">
    <cfRule type="colorScale" priority="12">
      <colorScale>
        <cfvo type="min"/>
        <cfvo type="num" val="0"/>
        <cfvo type="max"/>
        <color rgb="00E76F51"/>
        <color rgb="00FFFFFF"/>
        <color rgb="002A9D8F"/>
      </colorScale>
    </cfRule>
  </conditionalFormatting>
  <conditionalFormatting sqref="C50:J50">
    <cfRule type="colorScale" priority="13">
      <colorScale>
        <cfvo type="min"/>
        <cfvo type="max"/>
        <color rgb="00FFFFFF"/>
        <color rgb="002A9D8F"/>
      </colorScale>
    </cfRule>
  </conditionalFormatting>
  <conditionalFormatting sqref="D51:J51">
    <cfRule type="colorScale" priority="14">
      <colorScale>
        <cfvo type="min"/>
        <cfvo type="num" val="0"/>
        <cfvo type="max"/>
        <color rgb="00E76F51"/>
        <color rgb="00FFFFFF"/>
        <color rgb="002A9D8F"/>
      </colorScale>
    </cfRule>
  </conditionalFormatting>
  <conditionalFormatting sqref="C57:G57">
    <cfRule type="colorScale" priority="15">
      <colorScale>
        <cfvo type="min"/>
        <cfvo type="max"/>
        <color rgb="00FFFFFF"/>
        <color rgb="002A9D8F"/>
      </colorScale>
    </cfRule>
  </conditionalFormatting>
  <conditionalFormatting sqref="D58:G58">
    <cfRule type="colorScale" priority="16">
      <colorScale>
        <cfvo type="min"/>
        <cfvo type="num" val="0"/>
        <cfvo type="max"/>
        <color rgb="00E76F51"/>
        <color rgb="00FFFFFF"/>
        <color rgb="002A9D8F"/>
      </colorScale>
    </cfRule>
  </conditionalFormatting>
  <conditionalFormatting sqref="C64:J64">
    <cfRule type="colorScale" priority="17">
      <colorScale>
        <cfvo type="min"/>
        <cfvo type="max"/>
        <color rgb="00FFFFFF"/>
        <color rgb="002A9D8F"/>
      </colorScale>
    </cfRule>
  </conditionalFormatting>
  <conditionalFormatting sqref="D65:J65">
    <cfRule type="colorScale" priority="18">
      <colorScale>
        <cfvo type="min"/>
        <cfvo type="num" val="0"/>
        <cfvo type="max"/>
        <color rgb="00E76F51"/>
        <color rgb="00FFFFFF"/>
        <color rgb="002A9D8F"/>
      </colorScale>
    </cfRule>
  </conditionalFormatting>
  <conditionalFormatting sqref="C71:J71">
    <cfRule type="colorScale" priority="19">
      <colorScale>
        <cfvo type="min"/>
        <cfvo type="max"/>
        <color rgb="00FFFFFF"/>
        <color rgb="002A9D8F"/>
      </colorScale>
    </cfRule>
  </conditionalFormatting>
  <conditionalFormatting sqref="D72:J72">
    <cfRule type="colorScale" priority="20">
      <colorScale>
        <cfvo type="min"/>
        <cfvo type="num" val="0"/>
        <cfvo type="max"/>
        <color rgb="00E76F51"/>
        <color rgb="00FFFFFF"/>
        <color rgb="002A9D8F"/>
      </colorScale>
    </cfRule>
  </conditionalFormatting>
  <conditionalFormatting sqref="C79:J79">
    <cfRule type="colorScale" priority="21">
      <colorScale>
        <cfvo type="min"/>
        <cfvo type="max"/>
        <color rgb="00FFFFFF"/>
        <color rgb="002A9D8F"/>
      </colorScale>
    </cfRule>
  </conditionalFormatting>
  <conditionalFormatting sqref="D80:J80">
    <cfRule type="colorScale" priority="22">
      <colorScale>
        <cfvo type="min"/>
        <cfvo type="num" val="0"/>
        <cfvo type="max"/>
        <color rgb="00E76F51"/>
        <color rgb="00FFFFFF"/>
        <color rgb="002A9D8F"/>
      </colorScale>
    </cfRule>
  </conditionalFormatting>
  <conditionalFormatting sqref="C86:J86">
    <cfRule type="colorScale" priority="23">
      <colorScale>
        <cfvo type="min"/>
        <cfvo type="max"/>
        <color rgb="00FFFFFF"/>
        <color rgb="002A9D8F"/>
      </colorScale>
    </cfRule>
  </conditionalFormatting>
  <conditionalFormatting sqref="D87:J87">
    <cfRule type="colorScale" priority="24">
      <colorScale>
        <cfvo type="min"/>
        <cfvo type="num" val="0"/>
        <cfvo type="max"/>
        <color rgb="00E76F51"/>
        <color rgb="00FFFFFF"/>
        <color rgb="002A9D8F"/>
      </colorScale>
    </cfRule>
  </conditionalFormatting>
  <conditionalFormatting sqref="C93:J93">
    <cfRule type="colorScale" priority="25">
      <colorScale>
        <cfvo type="min"/>
        <cfvo type="max"/>
        <color rgb="00FFFFFF"/>
        <color rgb="002A9D8F"/>
      </colorScale>
    </cfRule>
  </conditionalFormatting>
  <conditionalFormatting sqref="D94:J94">
    <cfRule type="colorScale" priority="26">
      <colorScale>
        <cfvo type="min"/>
        <cfvo type="num" val="0"/>
        <cfvo type="max"/>
        <color rgb="00E76F51"/>
        <color rgb="00FFFFFF"/>
        <color rgb="002A9D8F"/>
      </colorScale>
    </cfRule>
  </conditionalFormatting>
  <conditionalFormatting sqref="C100:J100">
    <cfRule type="colorScale" priority="27">
      <colorScale>
        <cfvo type="min"/>
        <cfvo type="max"/>
        <color rgb="00FFFFFF"/>
        <color rgb="002A9D8F"/>
      </colorScale>
    </cfRule>
  </conditionalFormatting>
  <conditionalFormatting sqref="D101:J101">
    <cfRule type="colorScale" priority="28">
      <colorScale>
        <cfvo type="min"/>
        <cfvo type="num" val="0"/>
        <cfvo type="max"/>
        <color rgb="00E76F51"/>
        <color rgb="00FFFFFF"/>
        <color rgb="002A9D8F"/>
      </colorScale>
    </cfRule>
  </conditionalFormatting>
  <conditionalFormatting sqref="C107:J107">
    <cfRule type="colorScale" priority="29">
      <colorScale>
        <cfvo type="min"/>
        <cfvo type="max"/>
        <color rgb="00FFFFFF"/>
        <color rgb="002A9D8F"/>
      </colorScale>
    </cfRule>
  </conditionalFormatting>
  <conditionalFormatting sqref="D108:J108">
    <cfRule type="colorScale" priority="30">
      <colorScale>
        <cfvo type="min"/>
        <cfvo type="num" val="0"/>
        <cfvo type="max"/>
        <color rgb="00E76F51"/>
        <color rgb="00FFFFFF"/>
        <color rgb="002A9D8F"/>
      </colorScale>
    </cfRule>
  </conditionalFormatting>
  <conditionalFormatting sqref="C114:H114">
    <cfRule type="colorScale" priority="31">
      <colorScale>
        <cfvo type="min"/>
        <cfvo type="max"/>
        <color rgb="00FFFFFF"/>
        <color rgb="002A9D8F"/>
      </colorScale>
    </cfRule>
  </conditionalFormatting>
  <conditionalFormatting sqref="D115:H115">
    <cfRule type="colorScale" priority="32">
      <colorScale>
        <cfvo type="min"/>
        <cfvo type="num" val="0"/>
        <cfvo type="max"/>
        <color rgb="00E76F51"/>
        <color rgb="00FFFFFF"/>
        <color rgb="002A9D8F"/>
      </colorScale>
    </cfRule>
  </conditionalFormatting>
  <conditionalFormatting sqref="C121:J121">
    <cfRule type="colorScale" priority="33">
      <colorScale>
        <cfvo type="min"/>
        <cfvo type="max"/>
        <color rgb="00FFFFFF"/>
        <color rgb="002A9D8F"/>
      </colorScale>
    </cfRule>
  </conditionalFormatting>
  <conditionalFormatting sqref="D122:J122">
    <cfRule type="colorScale" priority="34">
      <colorScale>
        <cfvo type="min"/>
        <cfvo type="num" val="0"/>
        <cfvo type="max"/>
        <color rgb="00E76F51"/>
        <color rgb="00FFFFFF"/>
        <color rgb="002A9D8F"/>
      </colorScale>
    </cfRule>
  </conditionalFormatting>
  <conditionalFormatting sqref="C128:G128">
    <cfRule type="colorScale" priority="35">
      <colorScale>
        <cfvo type="min"/>
        <cfvo type="max"/>
        <color rgb="00FFFFFF"/>
        <color rgb="002A9D8F"/>
      </colorScale>
    </cfRule>
  </conditionalFormatting>
  <conditionalFormatting sqref="D129:G129">
    <cfRule type="colorScale" priority="36">
      <colorScale>
        <cfvo type="min"/>
        <cfvo type="num" val="0"/>
        <cfvo type="max"/>
        <color rgb="00E76F51"/>
        <color rgb="00FFFFFF"/>
        <color rgb="002A9D8F"/>
      </colorScale>
    </cfRule>
  </conditionalFormatting>
  <conditionalFormatting sqref="C135:J135">
    <cfRule type="colorScale" priority="37">
      <colorScale>
        <cfvo type="min"/>
        <cfvo type="max"/>
        <color rgb="00FFFFFF"/>
        <color rgb="002A9D8F"/>
      </colorScale>
    </cfRule>
  </conditionalFormatting>
  <conditionalFormatting sqref="D136:J136">
    <cfRule type="colorScale" priority="38">
      <colorScale>
        <cfvo type="min"/>
        <cfvo type="num" val="0"/>
        <cfvo type="max"/>
        <color rgb="00E76F51"/>
        <color rgb="00FFFFFF"/>
        <color rgb="002A9D8F"/>
      </colorScale>
    </cfRule>
  </conditionalFormatting>
  <conditionalFormatting sqref="C142:J142">
    <cfRule type="colorScale" priority="39">
      <colorScale>
        <cfvo type="min"/>
        <cfvo type="max"/>
        <color rgb="00FFFFFF"/>
        <color rgb="002A9D8F"/>
      </colorScale>
    </cfRule>
  </conditionalFormatting>
  <conditionalFormatting sqref="D143:J143">
    <cfRule type="colorScale" priority="40">
      <colorScale>
        <cfvo type="min"/>
        <cfvo type="num" val="0"/>
        <cfvo type="max"/>
        <color rgb="00E76F51"/>
        <color rgb="00FFFFFF"/>
        <color rgb="002A9D8F"/>
      </colorScale>
    </cfRule>
  </conditionalFormatting>
  <conditionalFormatting sqref="C150:J150">
    <cfRule type="colorScale" priority="41">
      <colorScale>
        <cfvo type="min"/>
        <cfvo type="max"/>
        <color rgb="00FFFFFF"/>
        <color rgb="002A9D8F"/>
      </colorScale>
    </cfRule>
  </conditionalFormatting>
  <conditionalFormatting sqref="D151:J151">
    <cfRule type="colorScale" priority="42">
      <colorScale>
        <cfvo type="min"/>
        <cfvo type="num" val="0"/>
        <cfvo type="max"/>
        <color rgb="00E76F51"/>
        <color rgb="00FFFFFF"/>
        <color rgb="002A9D8F"/>
      </colorScale>
    </cfRule>
  </conditionalFormatting>
  <conditionalFormatting sqref="C157:J157">
    <cfRule type="colorScale" priority="43">
      <colorScale>
        <cfvo type="min"/>
        <cfvo type="max"/>
        <color rgb="00FFFFFF"/>
        <color rgb="002A9D8F"/>
      </colorScale>
    </cfRule>
  </conditionalFormatting>
  <conditionalFormatting sqref="D158:J158">
    <cfRule type="colorScale" priority="44">
      <colorScale>
        <cfvo type="min"/>
        <cfvo type="num" val="0"/>
        <cfvo type="max"/>
        <color rgb="00E76F51"/>
        <color rgb="00FFFFFF"/>
        <color rgb="002A9D8F"/>
      </colorScale>
    </cfRule>
  </conditionalFormatting>
  <conditionalFormatting sqref="C164:J164">
    <cfRule type="colorScale" priority="45">
      <colorScale>
        <cfvo type="min"/>
        <cfvo type="max"/>
        <color rgb="00FFFFFF"/>
        <color rgb="002A9D8F"/>
      </colorScale>
    </cfRule>
  </conditionalFormatting>
  <conditionalFormatting sqref="D165:J165">
    <cfRule type="colorScale" priority="46">
      <colorScale>
        <cfvo type="min"/>
        <cfvo type="num" val="0"/>
        <cfvo type="max"/>
        <color rgb="00E76F51"/>
        <color rgb="00FFFFFF"/>
        <color rgb="002A9D8F"/>
      </colorScale>
    </cfRule>
  </conditionalFormatting>
  <conditionalFormatting sqref="C171:J171">
    <cfRule type="colorScale" priority="47">
      <colorScale>
        <cfvo type="min"/>
        <cfvo type="max"/>
        <color rgb="00FFFFFF"/>
        <color rgb="002A9D8F"/>
      </colorScale>
    </cfRule>
  </conditionalFormatting>
  <conditionalFormatting sqref="D172:J172">
    <cfRule type="colorScale" priority="48">
      <colorScale>
        <cfvo type="min"/>
        <cfvo type="num" val="0"/>
        <cfvo type="max"/>
        <color rgb="00E76F51"/>
        <color rgb="00FFFFFF"/>
        <color rgb="002A9D8F"/>
      </colorScale>
    </cfRule>
  </conditionalFormatting>
  <conditionalFormatting sqref="C178:J178">
    <cfRule type="colorScale" priority="49">
      <colorScale>
        <cfvo type="min"/>
        <cfvo type="max"/>
        <color rgb="00FFFFFF"/>
        <color rgb="002A9D8F"/>
      </colorScale>
    </cfRule>
  </conditionalFormatting>
  <conditionalFormatting sqref="D179:J179">
    <cfRule type="colorScale" priority="50">
      <colorScale>
        <cfvo type="min"/>
        <cfvo type="num" val="0"/>
        <cfvo type="max"/>
        <color rgb="00E76F51"/>
        <color rgb="00FFFFFF"/>
        <color rgb="002A9D8F"/>
      </colorScale>
    </cfRule>
  </conditionalFormatting>
  <conditionalFormatting sqref="C185:I185">
    <cfRule type="colorScale" priority="51">
      <colorScale>
        <cfvo type="min"/>
        <cfvo type="max"/>
        <color rgb="00FFFFFF"/>
        <color rgb="002A9D8F"/>
      </colorScale>
    </cfRule>
  </conditionalFormatting>
  <conditionalFormatting sqref="D186:I186">
    <cfRule type="colorScale" priority="52">
      <colorScale>
        <cfvo type="min"/>
        <cfvo type="num" val="0"/>
        <cfvo type="max"/>
        <color rgb="00E76F51"/>
        <color rgb="00FFFFFF"/>
        <color rgb="002A9D8F"/>
      </colorScale>
    </cfRule>
  </conditionalFormatting>
  <conditionalFormatting sqref="C192:J192">
    <cfRule type="colorScale" priority="53">
      <colorScale>
        <cfvo type="min"/>
        <cfvo type="max"/>
        <color rgb="00FFFFFF"/>
        <color rgb="002A9D8F"/>
      </colorScale>
    </cfRule>
  </conditionalFormatting>
  <conditionalFormatting sqref="D193:J193">
    <cfRule type="colorScale" priority="54">
      <colorScale>
        <cfvo type="min"/>
        <cfvo type="num" val="0"/>
        <cfvo type="max"/>
        <color rgb="00E76F51"/>
        <color rgb="00FFFFFF"/>
        <color rgb="002A9D8F"/>
      </colorScale>
    </cfRule>
  </conditionalFormatting>
  <conditionalFormatting sqref="C199:J199">
    <cfRule type="colorScale" priority="55">
      <colorScale>
        <cfvo type="min"/>
        <cfvo type="max"/>
        <color rgb="00FFFFFF"/>
        <color rgb="002A9D8F"/>
      </colorScale>
    </cfRule>
  </conditionalFormatting>
  <conditionalFormatting sqref="D200:J200">
    <cfRule type="colorScale" priority="56">
      <colorScale>
        <cfvo type="min"/>
        <cfvo type="num" val="0"/>
        <cfvo type="max"/>
        <color rgb="00E76F51"/>
        <color rgb="00FFFFFF"/>
        <color rgb="002A9D8F"/>
      </colorScale>
    </cfRule>
  </conditionalFormatting>
  <conditionalFormatting sqref="C206:J206">
    <cfRule type="colorScale" priority="57">
      <colorScale>
        <cfvo type="min"/>
        <cfvo type="max"/>
        <color rgb="00FFFFFF"/>
        <color rgb="002A9D8F"/>
      </colorScale>
    </cfRule>
  </conditionalFormatting>
  <conditionalFormatting sqref="D207:J207">
    <cfRule type="colorScale" priority="58">
      <colorScale>
        <cfvo type="min"/>
        <cfvo type="num" val="0"/>
        <cfvo type="max"/>
        <color rgb="00E76F51"/>
        <color rgb="00FFFFFF"/>
        <color rgb="002A9D8F"/>
      </colorScale>
    </cfRule>
  </conditionalFormatting>
  <conditionalFormatting sqref="C213:J213">
    <cfRule type="colorScale" priority="59">
      <colorScale>
        <cfvo type="min"/>
        <cfvo type="max"/>
        <color rgb="00FFFFFF"/>
        <color rgb="002A9D8F"/>
      </colorScale>
    </cfRule>
  </conditionalFormatting>
  <conditionalFormatting sqref="D214:J214">
    <cfRule type="colorScale" priority="60">
      <colorScale>
        <cfvo type="min"/>
        <cfvo type="num" val="0"/>
        <cfvo type="max"/>
        <color rgb="00E76F51"/>
        <color rgb="00FFFFFF"/>
        <color rgb="002A9D8F"/>
      </colorScale>
    </cfRule>
  </conditionalFormatting>
  <conditionalFormatting sqref="C221:J221">
    <cfRule type="colorScale" priority="61">
      <colorScale>
        <cfvo type="min"/>
        <cfvo type="max"/>
        <color rgb="00FFFFFF"/>
        <color rgb="002A9D8F"/>
      </colorScale>
    </cfRule>
  </conditionalFormatting>
  <conditionalFormatting sqref="D222:J222">
    <cfRule type="colorScale" priority="62">
      <colorScale>
        <cfvo type="min"/>
        <cfvo type="num" val="0"/>
        <cfvo type="max"/>
        <color rgb="00E76F51"/>
        <color rgb="00FFFFFF"/>
        <color rgb="002A9D8F"/>
      </colorScale>
    </cfRule>
  </conditionalFormatting>
  <conditionalFormatting sqref="C228:J228">
    <cfRule type="colorScale" priority="63">
      <colorScale>
        <cfvo type="min"/>
        <cfvo type="max"/>
        <color rgb="00FFFFFF"/>
        <color rgb="002A9D8F"/>
      </colorScale>
    </cfRule>
  </conditionalFormatting>
  <conditionalFormatting sqref="D229:J229">
    <cfRule type="colorScale" priority="64">
      <colorScale>
        <cfvo type="min"/>
        <cfvo type="num" val="0"/>
        <cfvo type="max"/>
        <color rgb="00E76F51"/>
        <color rgb="00FFFFFF"/>
        <color rgb="002A9D8F"/>
      </colorScale>
    </cfRule>
  </conditionalFormatting>
  <conditionalFormatting sqref="C235:J235">
    <cfRule type="colorScale" priority="65">
      <colorScale>
        <cfvo type="min"/>
        <cfvo type="max"/>
        <color rgb="00FFFFFF"/>
        <color rgb="002A9D8F"/>
      </colorScale>
    </cfRule>
  </conditionalFormatting>
  <conditionalFormatting sqref="D236:J236">
    <cfRule type="colorScale" priority="66">
      <colorScale>
        <cfvo type="min"/>
        <cfvo type="num" val="0"/>
        <cfvo type="max"/>
        <color rgb="00E76F51"/>
        <color rgb="00FFFFFF"/>
        <color rgb="002A9D8F"/>
      </colorScale>
    </cfRule>
  </conditionalFormatting>
  <conditionalFormatting sqref="C242:J242">
    <cfRule type="colorScale" priority="67">
      <colorScale>
        <cfvo type="min"/>
        <cfvo type="max"/>
        <color rgb="00FFFFFF"/>
        <color rgb="002A9D8F"/>
      </colorScale>
    </cfRule>
  </conditionalFormatting>
  <conditionalFormatting sqref="D243:J243">
    <cfRule type="colorScale" priority="68">
      <colorScale>
        <cfvo type="min"/>
        <cfvo type="num" val="0"/>
        <cfvo type="max"/>
        <color rgb="00E76F51"/>
        <color rgb="00FFFFFF"/>
        <color rgb="002A9D8F"/>
      </colorScale>
    </cfRule>
  </conditionalFormatting>
  <conditionalFormatting sqref="C249:J249">
    <cfRule type="colorScale" priority="69">
      <colorScale>
        <cfvo type="min"/>
        <cfvo type="max"/>
        <color rgb="00FFFFFF"/>
        <color rgb="002A9D8F"/>
      </colorScale>
    </cfRule>
  </conditionalFormatting>
  <conditionalFormatting sqref="D250:J250">
    <cfRule type="colorScale" priority="70">
      <colorScale>
        <cfvo type="min"/>
        <cfvo type="num" val="0"/>
        <cfvo type="max"/>
        <color rgb="00E76F51"/>
        <color rgb="00FFFFFF"/>
        <color rgb="002A9D8F"/>
      </colorScale>
    </cfRule>
  </conditionalFormatting>
  <conditionalFormatting sqref="C256:J256">
    <cfRule type="colorScale" priority="71">
      <colorScale>
        <cfvo type="min"/>
        <cfvo type="max"/>
        <color rgb="00FFFFFF"/>
        <color rgb="002A9D8F"/>
      </colorScale>
    </cfRule>
  </conditionalFormatting>
  <conditionalFormatting sqref="D257:J257">
    <cfRule type="colorScale" priority="72">
      <colorScale>
        <cfvo type="min"/>
        <cfvo type="num" val="0"/>
        <cfvo type="max"/>
        <color rgb="00E76F51"/>
        <color rgb="00FFFFFF"/>
        <color rgb="002A9D8F"/>
      </colorScale>
    </cfRule>
  </conditionalFormatting>
  <conditionalFormatting sqref="C263:J263">
    <cfRule type="colorScale" priority="73">
      <colorScale>
        <cfvo type="min"/>
        <cfvo type="max"/>
        <color rgb="00FFFFFF"/>
        <color rgb="002A9D8F"/>
      </colorScale>
    </cfRule>
  </conditionalFormatting>
  <conditionalFormatting sqref="D264:J264">
    <cfRule type="colorScale" priority="74">
      <colorScale>
        <cfvo type="min"/>
        <cfvo type="num" val="0"/>
        <cfvo type="max"/>
        <color rgb="00E76F51"/>
        <color rgb="00FFFFFF"/>
        <color rgb="002A9D8F"/>
      </colorScale>
    </cfRule>
  </conditionalFormatting>
  <conditionalFormatting sqref="C270:J270">
    <cfRule type="colorScale" priority="75">
      <colorScale>
        <cfvo type="min"/>
        <cfvo type="max"/>
        <color rgb="00FFFFFF"/>
        <color rgb="002A9D8F"/>
      </colorScale>
    </cfRule>
  </conditionalFormatting>
  <conditionalFormatting sqref="D271:J271">
    <cfRule type="colorScale" priority="76">
      <colorScale>
        <cfvo type="min"/>
        <cfvo type="num" val="0"/>
        <cfvo type="max"/>
        <color rgb="00E76F51"/>
        <color rgb="00FFFFFF"/>
        <color rgb="002A9D8F"/>
      </colorScale>
    </cfRule>
  </conditionalFormatting>
  <conditionalFormatting sqref="C277:J277">
    <cfRule type="colorScale" priority="77">
      <colorScale>
        <cfvo type="min"/>
        <cfvo type="max"/>
        <color rgb="00FFFFFF"/>
        <color rgb="002A9D8F"/>
      </colorScale>
    </cfRule>
  </conditionalFormatting>
  <conditionalFormatting sqref="D278:J278">
    <cfRule type="colorScale" priority="78">
      <colorScale>
        <cfvo type="min"/>
        <cfvo type="num" val="0"/>
        <cfvo type="max"/>
        <color rgb="00E76F51"/>
        <color rgb="00FFFFFF"/>
        <color rgb="002A9D8F"/>
      </colorScale>
    </cfRule>
  </conditionalFormatting>
  <conditionalFormatting sqref="C284:J284">
    <cfRule type="colorScale" priority="79">
      <colorScale>
        <cfvo type="min"/>
        <cfvo type="max"/>
        <color rgb="00FFFFFF"/>
        <color rgb="002A9D8F"/>
      </colorScale>
    </cfRule>
  </conditionalFormatting>
  <conditionalFormatting sqref="D285:J285">
    <cfRule type="colorScale" priority="80">
      <colorScale>
        <cfvo type="min"/>
        <cfvo type="num" val="0"/>
        <cfvo type="max"/>
        <color rgb="00E76F51"/>
        <color rgb="00FFFFFF"/>
        <color rgb="002A9D8F"/>
      </colorScale>
    </cfRule>
  </conditionalFormatting>
  <pageMargins left="0.75" right="0.75" top="1" bottom="1" header="0.5" footer="0.5"/>
  <pageSetup orientation="landscape" fitToWidth="1"/>
</worksheet>
</file>

<file path=xl/worksheets/sheet13.xml><?xml version="1.0" encoding="utf-8"?>
<worksheet xmlns="http://schemas.openxmlformats.org/spreadsheetml/2006/main">
  <sheetPr>
    <tabColor rgb="00C9A84C"/>
    <outlinePr summaryBelow="1" summaryRight="1"/>
    <pageSetUpPr fitToPage="1"/>
  </sheetPr>
  <dimension ref="A1:Q6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ht="28" customHeight="1">
      <c r="A1" s="15" t="inlineStr">
        <is>
          <t>THE FINGERPRINT — Pre-Run Profiles of 10x Stocks</t>
        </is>
      </c>
    </row>
    <row r="2" ht="20" customHeight="1"/>
    <row r="3" ht="20" customHeight="1">
      <c r="A3" s="31" t="inlineStr">
        <is>
          <t>Historical winners at their pre-run inflection point — the benchmark for scoring</t>
        </is>
      </c>
    </row>
    <row r="4" ht="8" customHeight="1"/>
    <row r="5" ht="22" customHeight="1">
      <c r="A5" s="16" t="inlineStr">
        <is>
          <t>REFERENCE STOCK PROFILES</t>
        </is>
      </c>
      <c r="B5" s="17" t="n"/>
      <c r="C5" s="17" t="n"/>
      <c r="D5" s="17" t="n"/>
      <c r="E5" s="17" t="n"/>
      <c r="F5" s="17" t="n"/>
      <c r="G5" s="17" t="n"/>
      <c r="H5" s="17" t="n"/>
      <c r="I5" s="17" t="n"/>
      <c r="J5" s="17" t="n"/>
      <c r="K5" s="17" t="n"/>
      <c r="L5" s="17" t="n"/>
      <c r="M5" s="17" t="n"/>
      <c r="N5" s="17" t="n"/>
      <c r="O5" s="17" t="n"/>
      <c r="P5" s="17" t="n"/>
      <c r="Q5" s="17" t="n"/>
    </row>
    <row r="6">
      <c r="A6" s="98" t="inlineStr">
        <is>
          <t>LITE  —  Lumentum Holdings</t>
        </is>
      </c>
      <c r="B6" s="80" t="n"/>
      <c r="C6" s="80" t="n"/>
      <c r="D6" s="80" t="n"/>
      <c r="E6" s="99" t="n"/>
      <c r="G6" s="98" t="inlineStr">
        <is>
          <t>COHR  —  Coherent Corp (formerly II-VI)</t>
        </is>
      </c>
      <c r="H6" s="80" t="n"/>
      <c r="I6" s="80" t="n"/>
      <c r="J6" s="80" t="n"/>
      <c r="K6" s="99" t="n"/>
      <c r="M6" s="98" t="inlineStr">
        <is>
          <t>AAOI  —  Applied Optoelectronics</t>
        </is>
      </c>
      <c r="N6" s="80" t="n"/>
      <c r="O6" s="80" t="n"/>
      <c r="P6" s="80" t="n"/>
      <c r="Q6" s="99" t="n"/>
    </row>
    <row r="7">
      <c r="A7" s="100" t="inlineStr">
        <is>
          <t>Run Period: 2017   ▲ 850%</t>
        </is>
      </c>
      <c r="B7" s="95" t="n"/>
      <c r="C7" s="95" t="n"/>
      <c r="D7" s="95" t="n"/>
      <c r="E7" s="101" t="n"/>
      <c r="G7" s="100" t="inlineStr">
        <is>
          <t>Run Period: 2016   ▲ 600%</t>
        </is>
      </c>
      <c r="H7" s="95" t="n"/>
      <c r="I7" s="95" t="n"/>
      <c r="J7" s="95" t="n"/>
      <c r="K7" s="101" t="n"/>
      <c r="M7" s="100" t="inlineStr">
        <is>
          <t>Run Period: 2017   ▲ 1,200%</t>
        </is>
      </c>
      <c r="N7" s="95" t="n"/>
      <c r="O7" s="95" t="n"/>
      <c r="P7" s="95" t="n"/>
      <c r="Q7" s="101" t="n"/>
    </row>
    <row r="8">
      <c r="A8" s="102" t="inlineStr">
        <is>
          <t>Market Cap</t>
        </is>
      </c>
      <c r="B8" s="94" t="inlineStr">
        <is>
          <t>$1200M</t>
        </is>
      </c>
      <c r="C8" s="95" t="n"/>
      <c r="D8" s="95" t="n"/>
      <c r="E8" s="101" t="n"/>
      <c r="G8" s="102" t="inlineStr">
        <is>
          <t>Market Cap</t>
        </is>
      </c>
      <c r="H8" s="94" t="inlineStr">
        <is>
          <t>$900M</t>
        </is>
      </c>
      <c r="I8" s="95" t="n"/>
      <c r="J8" s="95" t="n"/>
      <c r="K8" s="101" t="n"/>
      <c r="M8" s="102" t="inlineStr">
        <is>
          <t>Market Cap</t>
        </is>
      </c>
      <c r="N8" s="94" t="inlineStr">
        <is>
          <t>$300M</t>
        </is>
      </c>
      <c r="O8" s="95" t="n"/>
      <c r="P8" s="95" t="n"/>
      <c r="Q8" s="101" t="n"/>
    </row>
    <row r="9">
      <c r="A9" s="102" t="inlineStr">
        <is>
          <t>Revenue Growth</t>
        </is>
      </c>
      <c r="B9" s="94" t="inlineStr">
        <is>
          <t>38%</t>
        </is>
      </c>
      <c r="C9" s="95" t="n"/>
      <c r="D9" s="95" t="n"/>
      <c r="E9" s="101" t="n"/>
      <c r="G9" s="102" t="inlineStr">
        <is>
          <t>Revenue Growth</t>
        </is>
      </c>
      <c r="H9" s="94" t="inlineStr">
        <is>
          <t>22%</t>
        </is>
      </c>
      <c r="I9" s="95" t="n"/>
      <c r="J9" s="95" t="n"/>
      <c r="K9" s="101" t="n"/>
      <c r="M9" s="102" t="inlineStr">
        <is>
          <t>Revenue Growth</t>
        </is>
      </c>
      <c r="N9" s="94" t="inlineStr">
        <is>
          <t>95%</t>
        </is>
      </c>
      <c r="O9" s="95" t="n"/>
      <c r="P9" s="95" t="n"/>
      <c r="Q9" s="101" t="n"/>
    </row>
    <row r="10">
      <c r="A10" s="102" t="inlineStr">
        <is>
          <t>Gross Margin</t>
        </is>
      </c>
      <c r="B10" s="94" t="inlineStr">
        <is>
          <t>44%</t>
        </is>
      </c>
      <c r="C10" s="95" t="n"/>
      <c r="D10" s="95" t="n"/>
      <c r="E10" s="101" t="n"/>
      <c r="G10" s="102" t="inlineStr">
        <is>
          <t>Gross Margin</t>
        </is>
      </c>
      <c r="H10" s="94" t="inlineStr">
        <is>
          <t>50%</t>
        </is>
      </c>
      <c r="I10" s="95" t="n"/>
      <c r="J10" s="95" t="n"/>
      <c r="K10" s="101" t="n"/>
      <c r="M10" s="102" t="inlineStr">
        <is>
          <t>Gross Margin</t>
        </is>
      </c>
      <c r="N10" s="94" t="inlineStr">
        <is>
          <t>38%</t>
        </is>
      </c>
      <c r="O10" s="95" t="n"/>
      <c r="P10" s="95" t="n"/>
      <c r="Q10" s="101" t="n"/>
    </row>
    <row r="11">
      <c r="A11" s="102" t="inlineStr">
        <is>
          <t>Insider Ownership</t>
        </is>
      </c>
      <c r="B11" s="94" t="inlineStr">
        <is>
          <t>8%</t>
        </is>
      </c>
      <c r="C11" s="95" t="n"/>
      <c r="D11" s="95" t="n"/>
      <c r="E11" s="101" t="n"/>
      <c r="G11" s="102" t="inlineStr">
        <is>
          <t>Insider Ownership</t>
        </is>
      </c>
      <c r="H11" s="94" t="inlineStr">
        <is>
          <t>12%</t>
        </is>
      </c>
      <c r="I11" s="95" t="n"/>
      <c r="J11" s="95" t="n"/>
      <c r="K11" s="101" t="n"/>
      <c r="M11" s="102" t="inlineStr">
        <is>
          <t>Insider Ownership</t>
        </is>
      </c>
      <c r="N11" s="94" t="inlineStr">
        <is>
          <t>20%</t>
        </is>
      </c>
      <c r="O11" s="95" t="n"/>
      <c r="P11" s="95" t="n"/>
      <c r="Q11" s="101" t="n"/>
    </row>
    <row r="12">
      <c r="A12" s="102" t="inlineStr">
        <is>
          <t>Dilution 3yr</t>
        </is>
      </c>
      <c r="B12" s="94" t="inlineStr">
        <is>
          <t>4%</t>
        </is>
      </c>
      <c r="C12" s="95" t="n"/>
      <c r="D12" s="95" t="n"/>
      <c r="E12" s="101" t="n"/>
      <c r="G12" s="102" t="inlineStr">
        <is>
          <t>Dilution 3yr</t>
        </is>
      </c>
      <c r="H12" s="94" t="inlineStr">
        <is>
          <t>6%</t>
        </is>
      </c>
      <c r="I12" s="95" t="n"/>
      <c r="J12" s="95" t="n"/>
      <c r="K12" s="101" t="n"/>
      <c r="M12" s="102" t="inlineStr">
        <is>
          <t>Dilution 3yr</t>
        </is>
      </c>
      <c r="N12" s="94" t="inlineStr">
        <is>
          <t>3%</t>
        </is>
      </c>
      <c r="O12" s="95" t="n"/>
      <c r="P12" s="95" t="n"/>
      <c r="Q12" s="101" t="n"/>
    </row>
    <row r="13">
      <c r="A13" s="103" t="inlineStr">
        <is>
          <t>Data center optical interconnects</t>
        </is>
      </c>
      <c r="B13" s="95" t="n"/>
      <c r="C13" s="95" t="n"/>
      <c r="D13" s="95" t="n"/>
      <c r="E13" s="101" t="n"/>
      <c r="G13" s="103" t="inlineStr">
        <is>
          <t>Optical networking + vertical integration</t>
        </is>
      </c>
      <c r="H13" s="95" t="n"/>
      <c r="I13" s="95" t="n"/>
      <c r="J13" s="95" t="n"/>
      <c r="K13" s="101" t="n"/>
      <c r="M13" s="103" t="inlineStr">
        <is>
          <t>Hyperscaler data center buildout</t>
        </is>
      </c>
      <c r="N13" s="95" t="n"/>
      <c r="O13" s="95" t="n"/>
      <c r="P13" s="95" t="n"/>
      <c r="Q13" s="101" t="n"/>
    </row>
    <row r="19">
      <c r="A19" s="98" t="inlineStr">
        <is>
          <t>KTOS  —  Kratos Defense &amp; Security</t>
        </is>
      </c>
      <c r="B19" s="80" t="n"/>
      <c r="C19" s="80" t="n"/>
      <c r="D19" s="80" t="n"/>
      <c r="E19" s="99" t="n"/>
      <c r="G19" s="98" t="inlineStr">
        <is>
          <t>RKLB  —  Rocket Lab USA</t>
        </is>
      </c>
      <c r="H19" s="80" t="n"/>
      <c r="I19" s="80" t="n"/>
      <c r="J19" s="80" t="n"/>
      <c r="K19" s="99" t="n"/>
      <c r="M19" s="98" t="inlineStr">
        <is>
          <t>GLW  —  Corning Incorporated</t>
        </is>
      </c>
      <c r="N19" s="80" t="n"/>
      <c r="O19" s="80" t="n"/>
      <c r="P19" s="80" t="n"/>
      <c r="Q19" s="99" t="n"/>
    </row>
    <row r="20">
      <c r="A20" s="100" t="inlineStr">
        <is>
          <t>Run Period: 2019   ▲ 500%</t>
        </is>
      </c>
      <c r="B20" s="95" t="n"/>
      <c r="C20" s="95" t="n"/>
      <c r="D20" s="95" t="n"/>
      <c r="E20" s="101" t="n"/>
      <c r="G20" s="100" t="inlineStr">
        <is>
          <t>Run Period: 2023   ▲ 400%</t>
        </is>
      </c>
      <c r="H20" s="95" t="n"/>
      <c r="I20" s="95" t="n"/>
      <c r="J20" s="95" t="n"/>
      <c r="K20" s="101" t="n"/>
      <c r="M20" s="100" t="inlineStr">
        <is>
          <t>Run Period: 2023   ▲ 740%</t>
        </is>
      </c>
      <c r="N20" s="95" t="n"/>
      <c r="O20" s="95" t="n"/>
      <c r="P20" s="95" t="n"/>
      <c r="Q20" s="101" t="n"/>
    </row>
    <row r="21">
      <c r="A21" s="102" t="inlineStr">
        <is>
          <t>Market Cap</t>
        </is>
      </c>
      <c r="B21" s="94" t="inlineStr">
        <is>
          <t>$700M</t>
        </is>
      </c>
      <c r="C21" s="95" t="n"/>
      <c r="D21" s="95" t="n"/>
      <c r="E21" s="101" t="n"/>
      <c r="G21" s="102" t="inlineStr">
        <is>
          <t>Market Cap</t>
        </is>
      </c>
      <c r="H21" s="94" t="inlineStr">
        <is>
          <t>$1200M</t>
        </is>
      </c>
      <c r="I21" s="95" t="n"/>
      <c r="J21" s="95" t="n"/>
      <c r="K21" s="101" t="n"/>
      <c r="M21" s="102" t="inlineStr">
        <is>
          <t>Market Cap</t>
        </is>
      </c>
      <c r="N21" s="94" t="inlineStr">
        <is>
          <t>$26000M</t>
        </is>
      </c>
      <c r="O21" s="95" t="n"/>
      <c r="P21" s="95" t="n"/>
      <c r="Q21" s="101" t="n"/>
    </row>
    <row r="22">
      <c r="A22" s="102" t="inlineStr">
        <is>
          <t>Revenue Growth</t>
        </is>
      </c>
      <c r="B22" s="94" t="inlineStr">
        <is>
          <t>18%</t>
        </is>
      </c>
      <c r="C22" s="95" t="n"/>
      <c r="D22" s="95" t="n"/>
      <c r="E22" s="101" t="n"/>
      <c r="G22" s="102" t="inlineStr">
        <is>
          <t>Revenue Growth</t>
        </is>
      </c>
      <c r="H22" s="94" t="inlineStr">
        <is>
          <t>55%</t>
        </is>
      </c>
      <c r="I22" s="95" t="n"/>
      <c r="J22" s="95" t="n"/>
      <c r="K22" s="101" t="n"/>
      <c r="M22" s="102" t="inlineStr">
        <is>
          <t>Revenue Growth</t>
        </is>
      </c>
      <c r="N22" s="94" t="inlineStr">
        <is>
          <t>-11.3%</t>
        </is>
      </c>
      <c r="O22" s="95" t="n"/>
      <c r="P22" s="95" t="n"/>
      <c r="Q22" s="101" t="n"/>
    </row>
    <row r="23">
      <c r="A23" s="102" t="inlineStr">
        <is>
          <t>Gross Margin</t>
        </is>
      </c>
      <c r="B23" s="94" t="inlineStr">
        <is>
          <t>25%</t>
        </is>
      </c>
      <c r="C23" s="95" t="n"/>
      <c r="D23" s="95" t="n"/>
      <c r="E23" s="101" t="n"/>
      <c r="G23" s="102" t="inlineStr">
        <is>
          <t>Gross Margin</t>
        </is>
      </c>
      <c r="H23" s="94" t="inlineStr">
        <is>
          <t>28%</t>
        </is>
      </c>
      <c r="I23" s="95" t="n"/>
      <c r="J23" s="95" t="n"/>
      <c r="K23" s="101" t="n"/>
      <c r="M23" s="102" t="inlineStr">
        <is>
          <t>Gross Margin</t>
        </is>
      </c>
      <c r="N23" s="94" t="inlineStr">
        <is>
          <t>33.5%</t>
        </is>
      </c>
      <c r="O23" s="95" t="n"/>
      <c r="P23" s="95" t="n"/>
      <c r="Q23" s="101" t="n"/>
    </row>
    <row r="24">
      <c r="A24" s="102" t="inlineStr">
        <is>
          <t>Insider Ownership</t>
        </is>
      </c>
      <c r="B24" s="94" t="inlineStr">
        <is>
          <t>5%</t>
        </is>
      </c>
      <c r="C24" s="95" t="n"/>
      <c r="D24" s="95" t="n"/>
      <c r="E24" s="101" t="n"/>
      <c r="G24" s="102" t="inlineStr">
        <is>
          <t>Insider Ownership</t>
        </is>
      </c>
      <c r="H24" s="94" t="inlineStr">
        <is>
          <t>30%</t>
        </is>
      </c>
      <c r="I24" s="95" t="n"/>
      <c r="J24" s="95" t="n"/>
      <c r="K24" s="101" t="n"/>
      <c r="M24" s="102" t="inlineStr">
        <is>
          <t>Insider Ownership</t>
        </is>
      </c>
      <c r="N24" s="94" t="inlineStr">
        <is>
          <t>1%</t>
        </is>
      </c>
      <c r="O24" s="95" t="n"/>
      <c r="P24" s="95" t="n"/>
      <c r="Q24" s="101" t="n"/>
    </row>
    <row r="25">
      <c r="A25" s="102" t="inlineStr">
        <is>
          <t>Dilution 3yr</t>
        </is>
      </c>
      <c r="B25" s="94" t="inlineStr">
        <is>
          <t>8%</t>
        </is>
      </c>
      <c r="C25" s="95" t="n"/>
      <c r="D25" s="95" t="n"/>
      <c r="E25" s="101" t="n"/>
      <c r="G25" s="102" t="inlineStr">
        <is>
          <t>Dilution 3yr</t>
        </is>
      </c>
      <c r="H25" s="94" t="inlineStr">
        <is>
          <t>15%</t>
        </is>
      </c>
      <c r="I25" s="95" t="n"/>
      <c r="J25" s="95" t="n"/>
      <c r="K25" s="101" t="n"/>
      <c r="M25" s="102" t="inlineStr">
        <is>
          <t>Dilution 3yr</t>
        </is>
      </c>
      <c r="N25" s="94" t="inlineStr">
        <is>
          <t>-4%</t>
        </is>
      </c>
      <c r="O25" s="95" t="n"/>
      <c r="P25" s="95" t="n"/>
      <c r="Q25" s="101" t="n"/>
    </row>
    <row r="26">
      <c r="A26" s="103" t="inlineStr">
        <is>
          <t>Drone warfare + affordable attritable aircraft</t>
        </is>
      </c>
      <c r="B26" s="95" t="n"/>
      <c r="C26" s="95" t="n"/>
      <c r="D26" s="95" t="n"/>
      <c r="E26" s="101" t="n"/>
      <c r="G26" s="103" t="inlineStr">
        <is>
          <t>Small sat launch + space systems vertical integration</t>
        </is>
      </c>
      <c r="H26" s="95" t="n"/>
      <c r="I26" s="95" t="n"/>
      <c r="J26" s="95" t="n"/>
      <c r="K26" s="101" t="n"/>
      <c r="M26" s="103" t="inlineStr">
        <is>
          <t>Optical fiber as the vital link in AI data-center buildout</t>
        </is>
      </c>
      <c r="N26" s="95" t="n"/>
      <c r="O26" s="95" t="n"/>
      <c r="P26" s="95" t="n"/>
      <c r="Q26" s="101" t="n"/>
    </row>
    <row r="34" ht="22" customHeight="1">
      <c r="A34" s="16" t="inlineStr">
        <is>
          <t>COMPARATIVE RADAR — All Reference Stocks</t>
        </is>
      </c>
      <c r="B34" s="17" t="n"/>
      <c r="C34" s="17" t="n"/>
      <c r="D34" s="17" t="n"/>
      <c r="E34" s="17" t="n"/>
      <c r="F34" s="17" t="n"/>
      <c r="G34" s="17" t="n"/>
      <c r="H34" s="17" t="n"/>
      <c r="I34" s="17" t="n"/>
      <c r="J34" s="17" t="n"/>
      <c r="K34" s="17" t="n"/>
      <c r="L34" s="17" t="n"/>
      <c r="M34" s="17" t="n"/>
      <c r="N34" s="17" t="n"/>
      <c r="O34" s="17" t="n"/>
      <c r="P34" s="17" t="n"/>
      <c r="Q34" s="17" t="n"/>
    </row>
    <row r="35">
      <c r="A35" t="inlineStr">
        <is>
          <t>Metric</t>
        </is>
      </c>
      <c r="B35" t="inlineStr">
        <is>
          <t>LITE</t>
        </is>
      </c>
      <c r="C35" t="inlineStr">
        <is>
          <t>COHR</t>
        </is>
      </c>
      <c r="D35" t="inlineStr">
        <is>
          <t>AAOI</t>
        </is>
      </c>
      <c r="E35" t="inlineStr">
        <is>
          <t>KTOS</t>
        </is>
      </c>
      <c r="F35" t="inlineStr">
        <is>
          <t>RKLB</t>
        </is>
      </c>
      <c r="G35" t="inlineStr">
        <is>
          <t>GLW</t>
        </is>
      </c>
    </row>
    <row r="36">
      <c r="A36" t="inlineStr">
        <is>
          <t>Revenue Growth</t>
        </is>
      </c>
      <c r="B36" t="n">
        <v>40</v>
      </c>
      <c r="C36" t="n">
        <v>23.15789473684211</v>
      </c>
      <c r="D36" t="n">
        <v>100</v>
      </c>
      <c r="E36" t="n">
        <v>18.94736842105263</v>
      </c>
      <c r="F36" t="n">
        <v>57.89473684210526</v>
      </c>
      <c r="G36" t="n">
        <v>-11.89473684210526</v>
      </c>
    </row>
    <row r="37">
      <c r="A37" t="inlineStr">
        <is>
          <t>Gross Margin</t>
        </is>
      </c>
      <c r="B37" t="n">
        <v>88</v>
      </c>
      <c r="C37" t="n">
        <v>100</v>
      </c>
      <c r="D37" t="n">
        <v>76</v>
      </c>
      <c r="E37" t="n">
        <v>50</v>
      </c>
      <c r="F37" t="n">
        <v>56</v>
      </c>
      <c r="G37" t="n">
        <v>67</v>
      </c>
    </row>
    <row r="38">
      <c r="A38" t="inlineStr">
        <is>
          <t>Insider %</t>
        </is>
      </c>
      <c r="B38" t="n">
        <v>26.66666666666667</v>
      </c>
      <c r="C38" t="n">
        <v>40</v>
      </c>
      <c r="D38" t="n">
        <v>66.66666666666667</v>
      </c>
      <c r="E38" t="n">
        <v>16.66666666666667</v>
      </c>
      <c r="F38" t="n">
        <v>100</v>
      </c>
      <c r="G38" t="n">
        <v>3.333333333333333</v>
      </c>
    </row>
    <row r="39">
      <c r="A39" t="inlineStr">
        <is>
          <t>Low Dilution</t>
        </is>
      </c>
      <c r="B39" t="n">
        <v>84</v>
      </c>
      <c r="C39" t="n">
        <v>76</v>
      </c>
      <c r="D39" t="n">
        <v>88</v>
      </c>
      <c r="E39" t="n">
        <v>68</v>
      </c>
      <c r="F39" t="n">
        <v>40</v>
      </c>
      <c r="G39" t="n">
        <v>116</v>
      </c>
    </row>
    <row r="40">
      <c r="A40" t="inlineStr">
        <is>
          <t>Mkt Cap Score</t>
        </is>
      </c>
      <c r="B40" t="n">
        <v>0</v>
      </c>
      <c r="C40" t="n">
        <v>25</v>
      </c>
      <c r="D40" t="n">
        <v>75</v>
      </c>
      <c r="E40" t="n">
        <v>41.66666666666666</v>
      </c>
      <c r="F40" t="n">
        <v>0</v>
      </c>
      <c r="G40" t="n">
        <v>0</v>
      </c>
    </row>
    <row r="60" ht="22" customHeight="1">
      <c r="A60" s="16" t="inlineStr">
        <is>
          <t>REFERENCE SPREAD (descriptive — scoring uses nearest match)</t>
        </is>
      </c>
      <c r="B60" s="17" t="n"/>
      <c r="C60" s="17" t="n"/>
      <c r="D60" s="17" t="n"/>
      <c r="E60" s="17" t="n"/>
      <c r="F60" s="17" t="n"/>
      <c r="G60" s="17" t="n"/>
      <c r="H60" s="17" t="n"/>
      <c r="I60" s="17" t="n"/>
      <c r="J60" s="17" t="n"/>
    </row>
    <row r="61" ht="18" customHeight="1">
      <c r="A61" s="18" t="inlineStr">
        <is>
          <t>Metric</t>
        </is>
      </c>
      <c r="B61" s="18" t="inlineStr">
        <is>
          <t>Min</t>
        </is>
      </c>
      <c r="C61" s="18" t="inlineStr">
        <is>
          <t>Median</t>
        </is>
      </c>
      <c r="D61" s="18" t="inlineStr">
        <is>
          <t>Max</t>
        </is>
      </c>
      <c r="E61" s="18" t="inlineStr">
        <is>
          <t>Screener Threshold</t>
        </is>
      </c>
      <c r="F61" s="18" t="inlineStr">
        <is>
          <t>Status</t>
        </is>
      </c>
    </row>
    <row r="62" ht="16" customHeight="1">
      <c r="A62" s="94" t="inlineStr">
        <is>
          <t>Revenue Growth %</t>
        </is>
      </c>
      <c r="B62" s="35" t="n">
        <v>-11.3</v>
      </c>
      <c r="C62" s="35" t="n">
        <v>30</v>
      </c>
      <c r="D62" s="35" t="n">
        <v>95</v>
      </c>
      <c r="E62" s="20" t="inlineStr">
        <is>
          <t>5% (floor)</t>
        </is>
      </c>
      <c r="F62" s="104" t="inlineStr">
        <is>
          <t>✓ Aligned</t>
        </is>
      </c>
    </row>
    <row r="63" ht="16" customHeight="1">
      <c r="A63" s="66" t="inlineStr">
        <is>
          <t>Gross Margin %</t>
        </is>
      </c>
      <c r="B63" s="41" t="n">
        <v>25</v>
      </c>
      <c r="C63" s="41" t="n">
        <v>35.75</v>
      </c>
      <c r="D63" s="41" t="n">
        <v>50</v>
      </c>
      <c r="E63" s="27" t="inlineStr">
        <is>
          <t>20% (floor)</t>
        </is>
      </c>
      <c r="F63" s="104" t="inlineStr">
        <is>
          <t>✓ Aligned</t>
        </is>
      </c>
    </row>
    <row r="64" ht="16" customHeight="1">
      <c r="A64" s="94" t="inlineStr">
        <is>
          <t>Insider Ownership %</t>
        </is>
      </c>
      <c r="B64" s="35" t="n">
        <v>1</v>
      </c>
      <c r="C64" s="35" t="n">
        <v>10</v>
      </c>
      <c r="D64" s="35" t="n">
        <v>30</v>
      </c>
      <c r="E64" s="20" t="inlineStr">
        <is>
          <t>N/A</t>
        </is>
      </c>
      <c r="F64" s="105" t="inlineStr">
        <is>
          <t>⚠ Loose</t>
        </is>
      </c>
    </row>
    <row r="65" ht="16" customHeight="1">
      <c r="A65" s="66" t="inlineStr">
        <is>
          <t>Dilution 3yr %</t>
        </is>
      </c>
      <c r="B65" s="41" t="n">
        <v>-4</v>
      </c>
      <c r="C65" s="41" t="n">
        <v>5</v>
      </c>
      <c r="D65" s="41" t="n">
        <v>15</v>
      </c>
      <c r="E65" s="27" t="inlineStr">
        <is>
          <t>30% (ceiling)</t>
        </is>
      </c>
      <c r="F65" s="104" t="inlineStr">
        <is>
          <t>✓ Aligned</t>
        </is>
      </c>
    </row>
  </sheetData>
  <mergeCells count="53">
    <mergeCell ref="H22:K22"/>
    <mergeCell ref="B9:E9"/>
    <mergeCell ref="A34:Q34"/>
    <mergeCell ref="N9:Q9"/>
    <mergeCell ref="H12:K12"/>
    <mergeCell ref="B24:E24"/>
    <mergeCell ref="H24:K24"/>
    <mergeCell ref="N24:Q24"/>
    <mergeCell ref="A6:E6"/>
    <mergeCell ref="H23:K23"/>
    <mergeCell ref="G7:K7"/>
    <mergeCell ref="M20:Q20"/>
    <mergeCell ref="H8:K8"/>
    <mergeCell ref="A7:E7"/>
    <mergeCell ref="N11:Q11"/>
    <mergeCell ref="B25:E25"/>
    <mergeCell ref="G13:K13"/>
    <mergeCell ref="G19:K19"/>
    <mergeCell ref="G6:K6"/>
    <mergeCell ref="M13:Q13"/>
    <mergeCell ref="H10:K10"/>
    <mergeCell ref="B22:E22"/>
    <mergeCell ref="M7:Q7"/>
    <mergeCell ref="N25:Q25"/>
    <mergeCell ref="A60:J60"/>
    <mergeCell ref="A26:E26"/>
    <mergeCell ref="H9:K9"/>
    <mergeCell ref="A3:Q3"/>
    <mergeCell ref="N22:Q22"/>
    <mergeCell ref="B12:E12"/>
    <mergeCell ref="M6:Q6"/>
    <mergeCell ref="H25:K25"/>
    <mergeCell ref="B21:E21"/>
    <mergeCell ref="N21:Q21"/>
    <mergeCell ref="B11:E11"/>
    <mergeCell ref="N12:Q12"/>
    <mergeCell ref="H21:K21"/>
    <mergeCell ref="A5:Q5"/>
    <mergeCell ref="A1:Q2"/>
    <mergeCell ref="G26:K26"/>
    <mergeCell ref="M26:Q26"/>
    <mergeCell ref="B23:E23"/>
    <mergeCell ref="N23:Q23"/>
    <mergeCell ref="B8:E8"/>
    <mergeCell ref="A20:E20"/>
    <mergeCell ref="N8:Q8"/>
    <mergeCell ref="G20:K20"/>
    <mergeCell ref="H11:K11"/>
    <mergeCell ref="A19:E19"/>
    <mergeCell ref="A13:E13"/>
    <mergeCell ref="M19:Q19"/>
    <mergeCell ref="B10:E10"/>
    <mergeCell ref="N10:Q10"/>
  </mergeCells>
  <pageMargins left="0.75" right="0.75" top="1" bottom="1" header="0.5" footer="0.5"/>
  <pageSetup orientation="landscape" fitToWidth="1"/>
  <drawing xmlns:r="http://schemas.openxmlformats.org/officeDocument/2006/relationships" r:id="rId1"/>
</worksheet>
</file>

<file path=xl/worksheets/sheet14.xml><?xml version="1.0" encoding="utf-8"?>
<worksheet xmlns="http://schemas.openxmlformats.org/spreadsheetml/2006/main">
  <sheetPr>
    <tabColor rgb="001B2A3B"/>
    <outlinePr summaryBelow="1" summaryRight="1"/>
    <pageSetUpPr fitToPage="1"/>
  </sheetPr>
  <dimension ref="A1:C69"/>
  <sheetViews>
    <sheetView showGridLines="0" workbookViewId="0">
      <pane ySplit="3" topLeftCell="A4" activePane="bottomLeft" state="frozen"/>
      <selection pane="bottomLeft" activeCell="A1" sqref="A1"/>
    </sheetView>
  </sheetViews>
  <sheetFormatPr baseColWidth="8" defaultRowHeight="15"/>
  <cols>
    <col width="3" customWidth="1" min="1" max="1"/>
    <col width="28" customWidth="1" min="2" max="2"/>
    <col width="55" customWidth="1" min="3" max="3"/>
  </cols>
  <sheetData>
    <row r="1" ht="28" customHeight="1">
      <c r="A1" s="30" t="inlineStr">
        <is>
          <t>SCREENING METHODOLOGY</t>
        </is>
      </c>
      <c r="B1" s="11" t="n"/>
      <c r="C1" s="11" t="n"/>
    </row>
    <row r="2" ht="22" customHeight="1">
      <c r="A2" s="31" t="inlineStr">
        <is>
          <t>Technical documentation for the structural growth equity screener</t>
        </is>
      </c>
      <c r="B2" s="12" t="n"/>
      <c r="C2" s="12" t="n"/>
    </row>
    <row r="3" ht="8" customHeight="1"/>
    <row r="4" ht="22" customHeight="1">
      <c r="B4" s="16" t="inlineStr">
        <is>
          <t>Screening Universe</t>
        </is>
      </c>
      <c r="C4" s="17" t="n"/>
    </row>
    <row r="5" ht="16" customHeight="1">
      <c r="B5" s="106" t="inlineStr"/>
      <c r="C5" s="50" t="inlineStr">
        <is>
          <t>US-listed equities across four market cap tiers:</t>
        </is>
      </c>
    </row>
    <row r="6" ht="16" customHeight="1">
      <c r="B6" s="106" t="inlineStr"/>
      <c r="C6" s="50" t="inlineStr">
        <is>
          <t xml:space="preserve">  Nano Cap: $50M–$300M (highest risk, highest upside)</t>
        </is>
      </c>
    </row>
    <row r="7" ht="16" customHeight="1">
      <c r="B7" s="106" t="inlineStr"/>
      <c r="C7" s="50" t="inlineStr">
        <is>
          <t xml:space="preserve">  Small Cap: $300M–$2B (the sweet spot — proven enough to have real revenue)</t>
        </is>
      </c>
    </row>
    <row r="8" ht="16" customHeight="1">
      <c r="B8" s="106" t="inlineStr"/>
      <c r="C8" s="50" t="inlineStr">
        <is>
          <t xml:space="preserve">  Breakout: $2B–$15B (validated, growth re-accelerating)</t>
        </is>
      </c>
    </row>
    <row r="9" ht="16" customHeight="1">
      <c r="B9" s="106" t="inlineStr"/>
      <c r="C9" s="50" t="inlineStr">
        <is>
          <t xml:space="preserve">  Vital Link: $15B–$100B (entrenched supplier at a cyclical trough)</t>
        </is>
      </c>
    </row>
    <row r="10" ht="8" customHeight="1"/>
    <row r="11" ht="16" customHeight="1">
      <c r="B11" s="106" t="inlineStr"/>
      <c r="C11" s="50" t="inlineStr">
        <is>
          <t>Focus themes: Aerospace/Defense, Semiconductors, AI Infrastructure,</t>
        </is>
      </c>
    </row>
    <row r="12" ht="16" customHeight="1">
      <c r="B12" s="106" t="inlineStr"/>
      <c r="C12" s="50" t="inlineStr">
        <is>
          <t>Photonics, Quantum Computing, Space, New Energy, Gene Editing</t>
        </is>
      </c>
    </row>
    <row r="13" ht="8" customHeight="1"/>
    <row r="14" ht="22" customHeight="1">
      <c r="B14" s="16" t="inlineStr">
        <is>
          <t>Hard Filters</t>
        </is>
      </c>
      <c r="C14" s="17" t="n"/>
    </row>
    <row r="15" ht="16" customHeight="1">
      <c r="B15" s="106" t="inlineStr"/>
      <c r="C15" s="50" t="inlineStr">
        <is>
          <t>Must be US-domiciled and actively trading on a major exchange</t>
        </is>
      </c>
    </row>
    <row r="16" ht="16" customHeight="1">
      <c r="B16" s="106" t="inlineStr"/>
      <c r="C16" s="50" t="inlineStr">
        <is>
          <t>Excludes: Biotech/Pharma (unless gene editing keywords in description)</t>
        </is>
      </c>
    </row>
    <row r="17" ht="16" customHeight="1">
      <c r="B17" s="106" t="inlineStr"/>
      <c r="C17" s="50" t="inlineStr">
        <is>
          <t>Excludes: Oil &amp; Gas, Warrants, Units, Preferred shares</t>
        </is>
      </c>
    </row>
    <row r="18" ht="16" customHeight="1">
      <c r="B18" s="106" t="inlineStr"/>
      <c r="C18" s="50" t="inlineStr">
        <is>
          <t>Must match industry whitelist OR description keywords in target themes</t>
        </is>
      </c>
    </row>
    <row r="19" ht="16" customHeight="1">
      <c r="B19" s="106" t="inlineStr"/>
      <c r="C19" s="50" t="inlineStr">
        <is>
          <t>No OTC/pink sheet securities</t>
        </is>
      </c>
    </row>
    <row r="20" ht="8" customHeight="1"/>
    <row r="21" ht="22" customHeight="1">
      <c r="B21" s="16" t="inlineStr">
        <is>
          <t>Quality Floor</t>
        </is>
      </c>
      <c r="C21" s="17" t="n"/>
    </row>
    <row r="22" ht="16" customHeight="1">
      <c r="B22" s="106" t="inlineStr"/>
      <c r="C22" s="50" t="inlineStr">
        <is>
          <t>Revenue growth must exceed 5% YoY</t>
        </is>
      </c>
    </row>
    <row r="23" ht="16" customHeight="1">
      <c r="B23" s="106" t="inlineStr"/>
      <c r="C23" s="50" t="inlineStr">
        <is>
          <t>Gross margin must exceed 20%</t>
        </is>
      </c>
    </row>
    <row r="24" ht="16" customHeight="1">
      <c r="B24" s="106" t="inlineStr"/>
      <c r="C24" s="50" t="inlineStr">
        <is>
          <t>3-year share dilution must be below 30%</t>
        </is>
      </c>
    </row>
    <row r="25" ht="16" customHeight="1">
      <c r="B25" s="106" t="inlineStr"/>
      <c r="C25" s="50" t="inlineStr">
        <is>
          <t>Stocks failing any of these thresholds are excluded entirely</t>
        </is>
      </c>
    </row>
    <row r="26" ht="8" customHeight="1"/>
    <row r="27" ht="22" customHeight="1">
      <c r="B27" s="16" t="inlineStr">
        <is>
          <t>Composite Score (60%)</t>
        </is>
      </c>
      <c r="C27" s="17" t="n"/>
    </row>
    <row r="28" ht="16" customHeight="1">
      <c r="B28" s="106" t="inlineStr"/>
      <c r="C28" s="50" t="inlineStr">
        <is>
          <t>Revenue Growth YoY: 30% weight — Higher is better, &gt;50% = max score</t>
        </is>
      </c>
    </row>
    <row r="29" ht="16" customHeight="1">
      <c r="B29" s="106" t="inlineStr"/>
      <c r="C29" s="50" t="inlineStr">
        <is>
          <t xml:space="preserve">  A decline scores zero UNLESS gross margin held through it, in which case it</t>
        </is>
      </c>
    </row>
    <row r="30" ht="16" customHeight="1">
      <c r="B30" s="106" t="inlineStr"/>
      <c r="C30" s="50" t="inlineStr">
        <is>
          <t xml:space="preserve">  earns partial credit (max 50, i.e. a 25% grower) scaled by margin conceded</t>
        </is>
      </c>
    </row>
    <row r="31" ht="16" customHeight="1">
      <c r="B31" s="106" t="inlineStr"/>
      <c r="C31" s="50" t="inlineStr">
        <is>
          <t xml:space="preserve">  per point of revenue decline. Corning conceded 0.6pp on an 11.3% fall.</t>
        </is>
      </c>
    </row>
    <row r="32" ht="16" customHeight="1">
      <c r="B32" s="106" t="inlineStr"/>
      <c r="C32" s="50" t="inlineStr">
        <is>
          <t>Gross Margin: 20% weight — &gt;40% = max, proxy for pricing power and moat</t>
        </is>
      </c>
    </row>
    <row r="33" ht="16" customHeight="1">
      <c r="B33" s="106" t="inlineStr"/>
      <c r="C33" s="50" t="inlineStr">
        <is>
          <t>Dilution 3yr: 20% weight — Lower is better, &lt;5% = full points, &gt;30% = zero</t>
        </is>
      </c>
    </row>
    <row r="34" ht="16" customHeight="1">
      <c r="B34" s="106" t="inlineStr"/>
      <c r="C34" s="50" t="inlineStr">
        <is>
          <t>Insider Ownership: 15% weight — &gt;10% = full points, founders with skin in the game</t>
        </is>
      </c>
    </row>
    <row r="35" ht="16" customHeight="1">
      <c r="B35" s="106" t="inlineStr"/>
      <c r="C35" s="50" t="inlineStr">
        <is>
          <t>Revenue Acceleration: 15% weight — Is the growth rate itself increasing?</t>
        </is>
      </c>
    </row>
    <row r="36" ht="8" customHeight="1"/>
    <row r="37" ht="22" customHeight="1">
      <c r="B37" s="16" t="inlineStr">
        <is>
          <t>Fingerprint Score (25%)</t>
        </is>
      </c>
      <c r="C37" s="17" t="n"/>
    </row>
    <row r="38" ht="16" customHeight="1">
      <c r="B38" s="106" t="inlineStr"/>
      <c r="C38" s="50" t="inlineStr">
        <is>
          <t>Measures similarity to 6 reference stocks at their pre-run inflection point</t>
        </is>
      </c>
    </row>
    <row r="39" ht="16" customHeight="1">
      <c r="B39" s="106" t="inlineStr"/>
      <c r="C39" s="50" t="inlineStr">
        <is>
          <t>Reference stocks: LITE, COHR, AAOI, KTOS, RKLB, GLW</t>
        </is>
      </c>
    </row>
    <row r="40" ht="16" customHeight="1">
      <c r="B40" s="106" t="inlineStr"/>
      <c r="C40" s="50" t="inlineStr">
        <is>
          <t>Compares: revenue growth, gross margin, insider %, dilution, market cap</t>
        </is>
      </c>
    </row>
    <row r="41" ht="16" customHeight="1">
      <c r="B41" s="106" t="inlineStr"/>
      <c r="C41" s="50" t="inlineStr">
        <is>
          <t>Scores against the NEAREST reference, not an average of all of them</t>
        </is>
      </c>
    </row>
    <row r="42" ht="16" customHeight="1">
      <c r="B42" s="106" t="inlineStr"/>
      <c r="C42" s="50" t="inlineStr">
        <is>
          <t>The set spans archetypes: AAOI was $300M growing 95%; GLW was $26B with revenue down 11% at its trough</t>
        </is>
      </c>
    </row>
    <row r="43" ht="16" customHeight="1">
      <c r="B43" s="106" t="inlineStr"/>
      <c r="C43" s="50" t="inlineStr">
        <is>
          <t>Market cap is compared in orders of magnitude, other metrics in absolute distance</t>
        </is>
      </c>
    </row>
    <row r="44" ht="16" customHeight="1">
      <c r="B44" s="106" t="inlineStr"/>
      <c r="C44" s="50" t="inlineStr">
        <is>
          <t>Combined Score = 35% × Composite + 25% × Fingerprint + 40% × WPS</t>
        </is>
      </c>
    </row>
    <row r="45" ht="8" customHeight="1"/>
    <row r="46" ht="22" customHeight="1">
      <c r="B46" s="16" t="inlineStr">
        <is>
          <t>Position Sizing Rules</t>
        </is>
      </c>
      <c r="C46" s="17" t="n"/>
    </row>
    <row r="47" ht="16" customHeight="1">
      <c r="B47" s="106" t="inlineStr"/>
      <c r="C47" s="50" t="inlineStr">
        <is>
          <t>Based on conviction level: High (8%), Medium-High (5%), Medium (3%), Speculative (1.5%)</t>
        </is>
      </c>
    </row>
    <row r="48" ht="16" customHeight="1">
      <c r="B48" s="106" t="inlineStr"/>
      <c r="C48" s="50" t="inlineStr">
        <is>
          <t>Nano caps receive 0.6x risk multiplier (smaller positions for higher risk)</t>
        </is>
      </c>
    </row>
    <row r="49" ht="16" customHeight="1">
      <c r="B49" s="106" t="inlineStr"/>
      <c r="C49" s="50" t="inlineStr">
        <is>
          <t>Breakout caps receive 1.2x multiplier (larger positions for validated growth)</t>
        </is>
      </c>
    </row>
    <row r="50" ht="16" customHeight="1">
      <c r="B50" s="106" t="inlineStr"/>
      <c r="C50" s="50" t="inlineStr">
        <is>
          <t>Vital Link caps receive 1.4x multiplier (entrenched incumbents, lower single-name risk)</t>
        </is>
      </c>
    </row>
    <row r="51" ht="16" customHeight="1">
      <c r="B51" s="106" t="inlineStr"/>
      <c r="C51" s="50" t="inlineStr">
        <is>
          <t>Designed to sum to &lt;100% with meaningful cash reserve</t>
        </is>
      </c>
    </row>
    <row r="52" ht="8" customHeight="1"/>
    <row r="53" ht="22" customHeight="1">
      <c r="B53" s="16" t="inlineStr">
        <is>
          <t>Data Source &amp; Refresh</t>
        </is>
      </c>
      <c r="C53" s="17" t="n"/>
    </row>
    <row r="54" ht="16" customHeight="1">
      <c r="B54" s="106" t="inlineStr"/>
      <c r="C54" s="50" t="inlineStr">
        <is>
          <t>All data sourced from Financial Modeling Prep (FMP) API</t>
        </is>
      </c>
    </row>
    <row r="55" ht="16" customHeight="1">
      <c r="B55" s="106" t="inlineStr"/>
      <c r="C55" s="50" t="inlineStr">
        <is>
          <t>24-hour cache on all API responses to protect rate limits</t>
        </is>
      </c>
    </row>
    <row r="56" ht="16" customHeight="1">
      <c r="B56" s="106" t="inlineStr"/>
      <c r="C56" s="50" t="inlineStr">
        <is>
          <t>Quarterly financials: last 10 quarters of income statements</t>
        </is>
      </c>
    </row>
    <row r="57" ht="16" customHeight="1">
      <c r="B57" s="106" t="inlineStr"/>
      <c r="C57" s="50" t="inlineStr">
        <is>
          <t>Share count history: last 12 quarters of enterprise values</t>
        </is>
      </c>
    </row>
    <row r="58" ht="16" customHeight="1">
      <c r="B58" s="106" t="inlineStr"/>
      <c r="C58" s="50" t="inlineStr">
        <is>
          <t>Report generated: September 08, 2026</t>
        </is>
      </c>
    </row>
    <row r="59" ht="8" customHeight="1"/>
    <row r="60" ht="22" customHeight="1">
      <c r="B60" s="16" t="inlineStr">
        <is>
          <t>Disclaimer</t>
        </is>
      </c>
      <c r="C60" s="17" t="n"/>
    </row>
    <row r="61" ht="16" customHeight="1">
      <c r="B61" s="106" t="inlineStr"/>
      <c r="C61" s="50" t="inlineStr">
        <is>
          <t>This screener is for research and educational purposes only.</t>
        </is>
      </c>
    </row>
    <row r="62" ht="16" customHeight="1">
      <c r="B62" s="106" t="inlineStr"/>
      <c r="C62" s="50" t="inlineStr">
        <is>
          <t>It does not constitute investment advice or a recommendation to buy or sell.</t>
        </is>
      </c>
    </row>
    <row r="63" ht="16" customHeight="1">
      <c r="B63" s="106" t="inlineStr"/>
      <c r="C63" s="50" t="inlineStr">
        <is>
          <t>Past performance of reference stocks does not guarantee future results.</t>
        </is>
      </c>
    </row>
    <row r="64" ht="16" customHeight="1">
      <c r="B64" s="106" t="inlineStr"/>
      <c r="C64" s="50" t="inlineStr">
        <is>
          <t>All investments carry risk of loss. Consult a licensed financial advisor.</t>
        </is>
      </c>
    </row>
    <row r="65" ht="8" customHeight="1"/>
    <row r="67">
      <c r="B67" s="16" t="inlineStr">
        <is>
          <t>VERSION HISTORY</t>
        </is>
      </c>
      <c r="C67" s="17" t="n"/>
    </row>
    <row r="68">
      <c r="B68" s="94" t="inlineStr">
        <is>
          <t>v2.0</t>
        </is>
      </c>
      <c r="C68" s="48" t="inlineStr">
        <is>
          <t>September 08, 2026 — Institutional rebuild: openpyxl, design system, charts, data validation</t>
        </is>
      </c>
    </row>
    <row r="69">
      <c r="B69" s="66" t="inlineStr">
        <is>
          <t>v1.0</t>
        </is>
      </c>
      <c r="C69" s="50" t="inlineStr">
        <is>
          <t>Initial release — xlsxwriter-based export with basic formatting</t>
        </is>
      </c>
    </row>
  </sheetData>
  <mergeCells count="2">
    <mergeCell ref="A1:C1"/>
    <mergeCell ref="A2:C2"/>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2026-09-08T17:00:10Z</dcterms:created>
  <dcterms:modified xsi:type="dcterms:W3CDTF">2026-09-08T17:00:10Z</dcterms:modified>
</cp:coreProperties>
</file>