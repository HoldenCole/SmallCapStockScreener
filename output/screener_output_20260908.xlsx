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'Descriptions'!$A$4:$F$44</definedName>
    <definedName name="_xlnm._FilterDatabase" localSheetId="6" hidden="1">'Competitive Moats'!$A$4:$G$44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4FC3F7"/>
      </patternFill>
    </fill>
    <fill>
      <patternFill patternType="solid">
        <fgColor rgb="001A6B3C"/>
      </patternFill>
    </fill>
    <fill>
      <patternFill patternType="solid">
        <fgColor rgb="00B5D8B0"/>
      </patternFill>
    </fill>
    <fill>
      <patternFill patternType="solid">
        <fgColor rgb="00E76F51"/>
      </patternFill>
    </fill>
    <fill>
      <patternFill patternType="solid">
        <fgColor rgb="00E0F0ED"/>
      </patternFill>
    </fill>
    <fill>
      <patternFill patternType="solid">
        <fgColor rgb="00EDE8F0"/>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10" fillId="9"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7"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11" borderId="13" applyAlignment="1" pivotButton="0" quotePrefix="0" xfId="0">
      <alignment horizontal="center" vertical="center" wrapText="1"/>
    </xf>
    <xf numFmtId="0" fontId="7" fillId="12"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'Vital Link'!$B$61:$B$70</f>
            </numRef>
          </xVal>
          <yVal>
            <numRef>
              <f>'Vital Link'!$C$61:$C$70</f>
            </numRef>
          </yVal>
          <bubbleSize>
            <numRef>
              <f>'Vital Link'!$D$61:$D$70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'Recommendations'!B49</f>
            </strRef>
          </tx>
          <spPr>
            <a:solidFill>
              <a:srgbClr val="2A9D8F"/>
            </a:solidFill>
            <a:ln>
              <a:prstDash val="solid"/>
            </a:ln>
          </spPr>
          <cat>
            <numRef>
              <f>'Recommendations'!$A$50:$A$52</f>
            </numRef>
          </cat>
          <val>
            <numRef>
              <f>'Recommendations'!$B$50:$B$52</f>
            </numRef>
          </val>
        </ser>
        <ser>
          <idx val="1"/>
          <order val="1"/>
          <tx>
            <strRef>
              <f>'Recommendations'!C49</f>
            </strRef>
          </tx>
          <spPr>
            <a:solidFill>
              <a:srgbClr val="4FC3F7"/>
            </a:solidFill>
            <a:ln>
              <a:prstDash val="solid"/>
            </a:ln>
          </spPr>
          <cat>
            <numRef>
              <f>'Recommendations'!$A$50:$A$52</f>
            </numRef>
          </cat>
          <val>
            <numRef>
              <f>'Recommendations'!$C$50:$C$52</f>
            </numRef>
          </val>
        </ser>
        <ser>
          <idx val="2"/>
          <order val="2"/>
          <tx>
            <strRef>
              <f>'Recommendations'!D49</f>
            </strRef>
          </tx>
          <spPr>
            <a:solidFill>
              <a:srgbClr val="C9A84C"/>
            </a:solidFill>
            <a:ln>
              <a:prstDash val="solid"/>
            </a:ln>
          </spPr>
          <cat>
            <numRef>
              <f>'Recommendations'!$A$50:$A$52</f>
            </numRef>
          </cat>
          <val>
            <numRef>
              <f>'Recommendations'!$D$50:$D$52</f>
            </numRef>
          </val>
        </ser>
        <ser>
          <idx val="3"/>
          <order val="3"/>
          <tx>
            <strRef>
              <f>'Recommendations'!E49</f>
            </strRef>
          </tx>
          <spPr>
            <a:solidFill>
              <a:srgbClr val="E76F51"/>
            </a:solidFill>
            <a:ln>
              <a:prstDash val="solid"/>
            </a:ln>
          </spPr>
          <cat>
            <numRef>
              <f>'Recommendations'!$A$50:$A$52</f>
            </numRef>
          </cat>
          <val>
            <numRef>
              <f>'Recommendations'!$E$50:$E$52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Construction'!M60</f>
            </strRef>
          </tx>
          <spPr>
            <a:ln>
              <a:prstDash val="solid"/>
            </a:ln>
          </spPr>
          <cat>
            <numRef>
              <f>'Portfolio Construction'!$L$61:$L$65</f>
            </numRef>
          </cat>
          <val>
            <numRef>
              <f>'Portfolio Construction'!$M$61:$M$65</f>
            </numRef>
          </val>
        </ser>
        <firstSliceAng val="0"/>
        <holeSize val="10"/>
      </doughnutChart>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Analysis'!$B$59:$B$63</f>
            </numRef>
          </cat>
          <val>
            <numRef>
              <f>'Sensitivity Analysis'!$C$59:$C$63</f>
            </numRef>
          </val>
        </ser>
        <ser>
          <idx val="1"/>
          <order val="1"/>
          <spPr>
            <a:solidFill>
              <a:srgbClr val="2A9D8F"/>
            </a:solidFill>
            <a:ln>
              <a:prstDash val="solid"/>
            </a:ln>
          </spPr>
          <cat>
            <numRef>
              <f>'Sensitivity Analysis'!$B$59:$B$63</f>
            </numRef>
          </cat>
          <val>
            <numRef>
              <f>'Sensitivity Analysis'!$D$59:$D$63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58</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9.xml.rels><Relationships xmlns="http://schemas.openxmlformats.org/package/2006/relationships"><Relationship Type="http://schemas.openxmlformats.org/officeDocument/2006/relationships/drawing" Target="/xl/drawings/drawing6.xml" Id="rId1" /></Relationships>
</file>

<file path=xl/worksheets/_rels/sheet10.xml.rels><Relationships xmlns="http://schemas.openxmlformats.org/package/2006/relationships"><Relationship Type="http://schemas.openxmlformats.org/officeDocument/2006/relationships/drawing" Target="/xl/drawings/drawing7.xml" Id="rId1" /></Relationships>
</file>

<file path=xl/worksheets/_rels/sheet11.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40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40</t>
        </is>
      </c>
      <c r="D7" s="15" t="inlineStr">
        <is>
          <t>40</t>
        </is>
      </c>
      <c r="F7" s="15" t="inlineStr">
        <is>
          <t>70.8</t>
        </is>
      </c>
      <c r="H7" s="12" t="n"/>
      <c r="I7" s="15" t="inlineStr">
        <is>
          <t>18.4%</t>
        </is>
      </c>
      <c r="K7" s="15" t="inlineStr">
        <is>
          <t>37.6%</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SODI</t>
        </is>
      </c>
      <c r="C12" s="20" t="inlineStr">
        <is>
          <t>Solitron Devices, Inc.</t>
        </is>
      </c>
      <c r="D12" s="21" t="n">
        <v>69.5</v>
      </c>
      <c r="E12" s="22" t="n">
        <v>70.90000000000001</v>
      </c>
      <c r="F12" s="23" t="inlineStr">
        <is>
          <t>Medium</t>
        </is>
      </c>
      <c r="G12" s="19" t="inlineStr">
        <is>
          <t>SWBI</t>
        </is>
      </c>
      <c r="H12" s="20" t="inlineStr">
        <is>
          <t>Smith &amp; Wesson Brands, Inc.</t>
        </is>
      </c>
      <c r="I12" s="21" t="n">
        <v>588.2</v>
      </c>
      <c r="J12" s="22" t="n">
        <v>79.2</v>
      </c>
      <c r="K12" s="24" t="inlineStr">
        <is>
          <t>Medium-High</t>
        </is>
      </c>
      <c r="L12" s="19" t="inlineStr">
        <is>
          <t>CALX</t>
        </is>
      </c>
      <c r="M12" s="20" t="inlineStr">
        <is>
          <t>Calix, Inc.</t>
        </is>
      </c>
      <c r="N12" s="21" t="n">
        <v>2219.5</v>
      </c>
      <c r="O12" s="22" t="n">
        <v>77.2</v>
      </c>
      <c r="P12" s="24" t="inlineStr">
        <is>
          <t>Medium-High</t>
        </is>
      </c>
      <c r="Q12" s="19" t="inlineStr">
        <is>
          <t>CW</t>
        </is>
      </c>
      <c r="R12" s="20" t="inlineStr">
        <is>
          <t>Curtiss-Wright Corporation</t>
        </is>
      </c>
      <c r="S12" s="21" t="n">
        <v>21288.3</v>
      </c>
      <c r="T12" s="22" t="n">
        <v>75.3</v>
      </c>
      <c r="U12" s="24" t="inlineStr">
        <is>
          <t>Medium-High</t>
        </is>
      </c>
    </row>
    <row r="13" ht="16" customHeight="1">
      <c r="B13" s="25" t="inlineStr">
        <is>
          <t>INTT</t>
        </is>
      </c>
      <c r="C13" s="26" t="inlineStr">
        <is>
          <t>inTEST Corporation</t>
        </is>
      </c>
      <c r="D13" s="27" t="n">
        <v>146.3</v>
      </c>
      <c r="E13" s="22" t="n">
        <v>70.2</v>
      </c>
      <c r="F13" s="23" t="inlineStr">
        <is>
          <t>Medium</t>
        </is>
      </c>
      <c r="G13" s="25" t="inlineStr">
        <is>
          <t>PKE</t>
        </is>
      </c>
      <c r="H13" s="26" t="inlineStr">
        <is>
          <t>Park Aerospace Corp.</t>
        </is>
      </c>
      <c r="I13" s="27" t="n">
        <v>685.2</v>
      </c>
      <c r="J13" s="22" t="n">
        <v>78.7</v>
      </c>
      <c r="K13" s="24" t="inlineStr">
        <is>
          <t>Medium-High</t>
        </is>
      </c>
      <c r="L13" s="25" t="inlineStr">
        <is>
          <t>ADEA</t>
        </is>
      </c>
      <c r="M13" s="26" t="inlineStr">
        <is>
          <t>Adeia Inc.</t>
        </is>
      </c>
      <c r="N13" s="27" t="n">
        <v>2998.6</v>
      </c>
      <c r="O13" s="22" t="n">
        <v>73.40000000000001</v>
      </c>
      <c r="P13" s="23" t="inlineStr">
        <is>
          <t>Medium</t>
        </is>
      </c>
      <c r="Q13" s="25" t="inlineStr">
        <is>
          <t>ON</t>
        </is>
      </c>
      <c r="R13" s="26" t="inlineStr">
        <is>
          <t>ON Semiconductor Corporation</t>
        </is>
      </c>
      <c r="S13" s="27" t="n">
        <v>28326.3</v>
      </c>
      <c r="T13" s="22" t="n">
        <v>74.5</v>
      </c>
      <c r="U13" s="23" t="inlineStr">
        <is>
          <t>Medium</t>
        </is>
      </c>
    </row>
    <row r="14" ht="16" customHeight="1">
      <c r="B14" s="19" t="inlineStr">
        <is>
          <t>RELL</t>
        </is>
      </c>
      <c r="C14" s="20" t="inlineStr">
        <is>
          <t>Richardson Electronics, Ltd.</t>
        </is>
      </c>
      <c r="D14" s="21" t="n">
        <v>257.5</v>
      </c>
      <c r="E14" s="22" t="n">
        <v>70</v>
      </c>
      <c r="F14" s="23" t="inlineStr">
        <is>
          <t>Medium</t>
        </is>
      </c>
      <c r="G14" s="19" t="inlineStr">
        <is>
          <t>NPKI</t>
        </is>
      </c>
      <c r="H14" s="20" t="inlineStr">
        <is>
          <t>NPK International Inc.</t>
        </is>
      </c>
      <c r="I14" s="21" t="n">
        <v>1153.1</v>
      </c>
      <c r="J14" s="22" t="n">
        <v>75.09999999999999</v>
      </c>
      <c r="K14" s="24" t="inlineStr">
        <is>
          <t>Medium-High</t>
        </is>
      </c>
      <c r="L14" s="19" t="inlineStr">
        <is>
          <t>DCI</t>
        </is>
      </c>
      <c r="M14" s="20" t="inlineStr">
        <is>
          <t>Donaldson Company, Inc.</t>
        </is>
      </c>
      <c r="N14" s="21" t="n">
        <v>10618.6</v>
      </c>
      <c r="O14" s="22" t="n">
        <v>73</v>
      </c>
      <c r="P14" s="23" t="inlineStr">
        <is>
          <t>Medium</t>
        </is>
      </c>
      <c r="Q14" s="19" t="inlineStr">
        <is>
          <t>TDY</t>
        </is>
      </c>
      <c r="R14" s="20" t="inlineStr">
        <is>
          <t>Teledyne Technologies Incorporated</t>
        </is>
      </c>
      <c r="S14" s="21" t="n">
        <v>28081.3</v>
      </c>
      <c r="T14" s="22" t="n">
        <v>73.7</v>
      </c>
      <c r="U14" s="23" t="inlineStr">
        <is>
          <t>Medium</t>
        </is>
      </c>
    </row>
    <row r="15" ht="16" customHeight="1">
      <c r="B15" s="25" t="inlineStr">
        <is>
          <t>RFIL</t>
        </is>
      </c>
      <c r="C15" s="26" t="inlineStr">
        <is>
          <t>RF Industries, Ltd.</t>
        </is>
      </c>
      <c r="D15" s="27" t="n">
        <v>117.2</v>
      </c>
      <c r="E15" s="22" t="n">
        <v>67.40000000000001</v>
      </c>
      <c r="F15" s="23" t="inlineStr">
        <is>
          <t>Medium</t>
        </is>
      </c>
      <c r="G15" s="25" t="inlineStr">
        <is>
          <t>LXFR</t>
        </is>
      </c>
      <c r="H15" s="26" t="inlineStr">
        <is>
          <t>Luxfer Holdings PLC</t>
        </is>
      </c>
      <c r="I15" s="27" t="n">
        <v>463.9</v>
      </c>
      <c r="J15" s="22" t="n">
        <v>74</v>
      </c>
      <c r="K15" s="23" t="inlineStr">
        <is>
          <t>Medium</t>
        </is>
      </c>
      <c r="L15" s="25" t="inlineStr">
        <is>
          <t>CACI</t>
        </is>
      </c>
      <c r="M15" s="26" t="inlineStr">
        <is>
          <t>CACI International Inc</t>
        </is>
      </c>
      <c r="N15" s="27" t="n">
        <v>13629.7</v>
      </c>
      <c r="O15" s="22" t="n">
        <v>71.5</v>
      </c>
      <c r="P15" s="23" t="inlineStr">
        <is>
          <t>Medium</t>
        </is>
      </c>
      <c r="Q15" s="25" t="inlineStr">
        <is>
          <t>PPG</t>
        </is>
      </c>
      <c r="R15" s="26" t="inlineStr">
        <is>
          <t>PPG Industries, Inc.</t>
        </is>
      </c>
      <c r="S15" s="27" t="n">
        <v>24524.1</v>
      </c>
      <c r="T15" s="22" t="n">
        <v>73.40000000000001</v>
      </c>
      <c r="U15" s="23" t="inlineStr">
        <is>
          <t>Medium</t>
        </is>
      </c>
    </row>
    <row r="16" ht="16" customHeight="1">
      <c r="B16" s="19" t="inlineStr">
        <is>
          <t>LTRX</t>
        </is>
      </c>
      <c r="C16" s="20" t="inlineStr">
        <is>
          <t>Lantronix, Inc.</t>
        </is>
      </c>
      <c r="D16" s="21" t="n">
        <v>237.1</v>
      </c>
      <c r="E16" s="22" t="n">
        <v>66</v>
      </c>
      <c r="F16" s="23" t="inlineStr">
        <is>
          <t>Medium</t>
        </is>
      </c>
      <c r="G16" s="19" t="inlineStr">
        <is>
          <t>CLFD</t>
        </is>
      </c>
      <c r="H16" s="20" t="inlineStr">
        <is>
          <t>Clearfield, Inc.</t>
        </is>
      </c>
      <c r="I16" s="21" t="n">
        <v>394.6</v>
      </c>
      <c r="J16" s="22" t="n">
        <v>73.90000000000001</v>
      </c>
      <c r="K16" s="23" t="inlineStr">
        <is>
          <t>Medium</t>
        </is>
      </c>
      <c r="L16" s="19" t="inlineStr">
        <is>
          <t>BRC</t>
        </is>
      </c>
      <c r="M16" s="20" t="inlineStr">
        <is>
          <t>Brady Corporation</t>
        </is>
      </c>
      <c r="N16" s="21" t="n">
        <v>4139.7</v>
      </c>
      <c r="O16" s="22" t="n">
        <v>69.90000000000001</v>
      </c>
      <c r="P16" s="23" t="inlineStr">
        <is>
          <t>Medium</t>
        </is>
      </c>
      <c r="Q16" s="19" t="inlineStr">
        <is>
          <t>HUBB</t>
        </is>
      </c>
      <c r="R16" s="20" t="inlineStr">
        <is>
          <t>Hubbell Incorporated</t>
        </is>
      </c>
      <c r="S16" s="21" t="n">
        <v>24552.9</v>
      </c>
      <c r="T16" s="22" t="n">
        <v>73.2</v>
      </c>
      <c r="U16" s="23" t="inlineStr">
        <is>
          <t>Medium</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8" t="inlineStr">
        <is>
          <t>Ticker</t>
        </is>
      </c>
      <c r="B40" s="28" t="inlineStr">
        <is>
          <t>Score</t>
        </is>
      </c>
      <c r="C40" s="28" t="inlineStr">
        <is>
          <t>Tier</t>
        </is>
      </c>
    </row>
    <row r="41">
      <c r="A41" t="inlineStr">
        <is>
          <t>SWBI</t>
        </is>
      </c>
      <c r="B41" t="n">
        <v>79.2</v>
      </c>
      <c r="C41" t="inlineStr">
        <is>
          <t>Small Cap</t>
        </is>
      </c>
    </row>
    <row r="42">
      <c r="A42" t="inlineStr">
        <is>
          <t>PKE</t>
        </is>
      </c>
      <c r="B42" t="n">
        <v>78.7</v>
      </c>
      <c r="C42" t="inlineStr">
        <is>
          <t>Small Cap</t>
        </is>
      </c>
    </row>
    <row r="43">
      <c r="A43" t="inlineStr">
        <is>
          <t>CALX</t>
        </is>
      </c>
      <c r="B43" t="n">
        <v>77.2</v>
      </c>
      <c r="C43" t="inlineStr">
        <is>
          <t>Breakout</t>
        </is>
      </c>
    </row>
    <row r="44">
      <c r="A44" t="inlineStr">
        <is>
          <t>CW</t>
        </is>
      </c>
      <c r="B44" t="n">
        <v>75.3</v>
      </c>
      <c r="C44" t="inlineStr">
        <is>
          <t>Vital Link</t>
        </is>
      </c>
    </row>
    <row r="45">
      <c r="A45" t="inlineStr">
        <is>
          <t>NPKI</t>
        </is>
      </c>
      <c r="B45" t="n">
        <v>75.09999999999999</v>
      </c>
      <c r="C45" t="inlineStr">
        <is>
          <t>Small Cap</t>
        </is>
      </c>
    </row>
    <row r="46">
      <c r="A46" t="inlineStr">
        <is>
          <t>ON</t>
        </is>
      </c>
      <c r="B46" t="n">
        <v>74.5</v>
      </c>
      <c r="C46" t="inlineStr">
        <is>
          <t>Vital Link</t>
        </is>
      </c>
    </row>
    <row r="47">
      <c r="A47" t="inlineStr">
        <is>
          <t>LXFR</t>
        </is>
      </c>
      <c r="B47" t="n">
        <v>74</v>
      </c>
      <c r="C47" t="inlineStr">
        <is>
          <t>Small Cap</t>
        </is>
      </c>
    </row>
    <row r="48">
      <c r="A48" t="inlineStr">
        <is>
          <t>CLFD</t>
        </is>
      </c>
      <c r="B48" t="n">
        <v>73.90000000000001</v>
      </c>
      <c r="C48" t="inlineStr">
        <is>
          <t>Small Cap</t>
        </is>
      </c>
    </row>
    <row r="49">
      <c r="A49" t="inlineStr">
        <is>
          <t>TDY</t>
        </is>
      </c>
      <c r="B49" t="n">
        <v>73.7</v>
      </c>
      <c r="C49" t="inlineStr">
        <is>
          <t>Vital Link</t>
        </is>
      </c>
    </row>
    <row r="50">
      <c r="A50" t="inlineStr">
        <is>
          <t>ADEA</t>
        </is>
      </c>
      <c r="B50" t="n">
        <v>73.40000000000001</v>
      </c>
      <c r="C50" t="inlineStr">
        <is>
          <t>Breakout</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SODI</t>
        </is>
      </c>
      <c r="C5" s="20" t="inlineStr">
        <is>
          <t>Solitron Devices, Inc.</t>
        </is>
      </c>
      <c r="D5" s="21" t="n">
        <v>69.5</v>
      </c>
      <c r="E5" s="32" t="n">
        <v>32.3</v>
      </c>
      <c r="F5" s="33" t="n">
        <v>1.013</v>
      </c>
      <c r="G5" s="33" t="n">
        <v>1.332</v>
      </c>
      <c r="H5" s="33" t="n">
        <v>0.453</v>
      </c>
      <c r="I5" s="33" t="n">
        <v>0.033</v>
      </c>
      <c r="J5" s="33" t="n">
        <v>0.23</v>
      </c>
      <c r="K5" s="34" t="n">
        <v>100</v>
      </c>
      <c r="L5" s="34" t="n">
        <v>72.90000000000001</v>
      </c>
      <c r="M5" s="35" t="n">
        <v>70.90000000000001</v>
      </c>
      <c r="N5" s="36" t="n">
        <v>84.7</v>
      </c>
      <c r="O5" s="37" t="inlineStr">
        <is>
          <t>—</t>
        </is>
      </c>
      <c r="P5" s="38" t="n">
        <v>53.3</v>
      </c>
      <c r="Q5" s="23" t="inlineStr">
        <is>
          <t>Medium</t>
        </is>
      </c>
      <c r="R5" s="33" t="n">
        <v>-0.0164434</v>
      </c>
      <c r="S5" s="33" t="n">
        <v>0.4043478</v>
      </c>
      <c r="T5" s="33" t="n">
        <v>0.2971888</v>
      </c>
      <c r="U5" s="33" t="n">
        <v>0.7089947</v>
      </c>
      <c r="V5" s="33" t="n">
        <v>0.8044692999999999</v>
      </c>
    </row>
    <row r="6" ht="16" customHeight="1">
      <c r="A6" s="31" t="n">
        <v>2</v>
      </c>
      <c r="B6" s="25" t="inlineStr">
        <is>
          <t>INTT</t>
        </is>
      </c>
      <c r="C6" s="26" t="inlineStr">
        <is>
          <t>inTEST Corporation</t>
        </is>
      </c>
      <c r="D6" s="27" t="n">
        <v>146.3</v>
      </c>
      <c r="E6" s="39" t="n">
        <v>11.59</v>
      </c>
      <c r="F6" s="40" t="n">
        <v>0.255</v>
      </c>
      <c r="G6" s="40" t="n">
        <v>0.427</v>
      </c>
      <c r="H6" s="40" t="n">
        <v>0.405</v>
      </c>
      <c r="I6" s="40" t="n">
        <v>0.036</v>
      </c>
      <c r="J6" s="40" t="n">
        <v>0.133</v>
      </c>
      <c r="K6" s="41" t="n">
        <v>85.3</v>
      </c>
      <c r="L6" s="41" t="n">
        <v>71.2</v>
      </c>
      <c r="M6" s="42" t="n">
        <v>70.2</v>
      </c>
      <c r="N6" s="22" t="n">
        <v>67.2</v>
      </c>
      <c r="O6" s="43" t="inlineStr">
        <is>
          <t>—</t>
        </is>
      </c>
      <c r="P6" s="44" t="n">
        <v>27.8</v>
      </c>
      <c r="Q6" s="23" t="inlineStr">
        <is>
          <t>Medium</t>
        </is>
      </c>
      <c r="R6" s="40" t="n">
        <v>-0.175089</v>
      </c>
      <c r="S6" s="40" t="n">
        <v>-0.2584773</v>
      </c>
      <c r="T6" s="40" t="n">
        <v>-0.1246224</v>
      </c>
      <c r="U6" s="40" t="n">
        <v>0.5515395000000001</v>
      </c>
      <c r="V6" s="40" t="n">
        <v>0.6097222</v>
      </c>
    </row>
    <row r="7" ht="16" customHeight="1">
      <c r="A7" s="31" t="n">
        <v>3</v>
      </c>
      <c r="B7" s="19" t="inlineStr">
        <is>
          <t>RELL</t>
        </is>
      </c>
      <c r="C7" s="20" t="inlineStr">
        <is>
          <t>Richardson Electronics, Ltd.</t>
        </is>
      </c>
      <c r="D7" s="21" t="n">
        <v>257.5</v>
      </c>
      <c r="E7" s="32" t="n">
        <v>17.57</v>
      </c>
      <c r="F7" s="33" t="n">
        <v>0.276</v>
      </c>
      <c r="G7" s="33" t="n">
        <v>0.181</v>
      </c>
      <c r="H7" s="33" t="n">
        <v>0.312</v>
      </c>
      <c r="I7" s="33" t="n">
        <v>-0.079</v>
      </c>
      <c r="J7" s="33" t="n">
        <v>0.176</v>
      </c>
      <c r="K7" s="34" t="n">
        <v>81.40000000000001</v>
      </c>
      <c r="L7" s="34" t="n">
        <v>68.7</v>
      </c>
      <c r="M7" s="35" t="n">
        <v>70</v>
      </c>
      <c r="N7" s="36" t="n">
        <v>77.40000000000001</v>
      </c>
      <c r="O7" s="37" t="inlineStr">
        <is>
          <t>—</t>
        </is>
      </c>
      <c r="P7" s="38" t="n">
        <v>42.4</v>
      </c>
      <c r="Q7" s="23" t="inlineStr">
        <is>
          <t>Medium</t>
        </is>
      </c>
      <c r="R7" s="33" t="n">
        <v>-0.1495644</v>
      </c>
      <c r="S7" s="33" t="n">
        <v>0.0565244</v>
      </c>
      <c r="T7" s="33" t="n">
        <v>0.5715564</v>
      </c>
      <c r="U7" s="33" t="n">
        <v>0.6148897</v>
      </c>
      <c r="V7" s="33" t="n">
        <v>0.8245067</v>
      </c>
    </row>
    <row r="8" ht="16" customHeight="1">
      <c r="A8" s="31" t="n">
        <v>4</v>
      </c>
      <c r="B8" s="25" t="inlineStr">
        <is>
          <t>RFIL</t>
        </is>
      </c>
      <c r="C8" s="26" t="inlineStr">
        <is>
          <t>RF Industries, Ltd.</t>
        </is>
      </c>
      <c r="D8" s="27" t="n">
        <v>117.2</v>
      </c>
      <c r="E8" s="39" t="n">
        <v>10.855</v>
      </c>
      <c r="F8" s="40" t="n">
        <v>0.094</v>
      </c>
      <c r="G8" s="40" t="n">
        <v>-0.08</v>
      </c>
      <c r="H8" s="40" t="n">
        <v>0.351</v>
      </c>
      <c r="I8" s="40" t="n">
        <v>0.048</v>
      </c>
      <c r="J8" s="40" t="n">
        <v>0.224</v>
      </c>
      <c r="K8" s="41" t="n">
        <v>62.7</v>
      </c>
      <c r="L8" s="41" t="n">
        <v>65.7</v>
      </c>
      <c r="M8" s="42" t="n">
        <v>67.40000000000001</v>
      </c>
      <c r="N8" s="36" t="n">
        <v>72.5</v>
      </c>
      <c r="O8" s="43" t="inlineStr">
        <is>
          <t>—</t>
        </is>
      </c>
      <c r="P8" s="44" t="n">
        <v>27.6</v>
      </c>
      <c r="Q8" s="23" t="inlineStr">
        <is>
          <t>Medium</t>
        </is>
      </c>
      <c r="R8" s="40" t="n">
        <v>-0.1526151</v>
      </c>
      <c r="S8" s="40" t="n">
        <v>-0.3488302</v>
      </c>
      <c r="T8" s="40" t="n">
        <v>0.039751</v>
      </c>
      <c r="U8" s="40" t="n">
        <v>0.8780277</v>
      </c>
      <c r="V8" s="40" t="n">
        <v>0.4829235</v>
      </c>
    </row>
    <row r="9" ht="16" customHeight="1">
      <c r="A9" s="31" t="n">
        <v>5</v>
      </c>
      <c r="B9" s="19" t="inlineStr">
        <is>
          <t>LTRX</t>
        </is>
      </c>
      <c r="C9" s="20" t="inlineStr">
        <is>
          <t>Lantronix, Inc.</t>
        </is>
      </c>
      <c r="D9" s="21" t="n">
        <v>237.1</v>
      </c>
      <c r="E9" s="32" t="n">
        <v>5.335</v>
      </c>
      <c r="F9" s="33" t="n">
        <v>0.08</v>
      </c>
      <c r="G9" s="33" t="n">
        <v>0.492</v>
      </c>
      <c r="H9" s="33" t="n">
        <v>0.4370000000000001</v>
      </c>
      <c r="I9" s="33" t="n">
        <v>0.141</v>
      </c>
      <c r="J9" s="33" t="n">
        <v>0.225</v>
      </c>
      <c r="K9" s="34" t="n">
        <v>67.5</v>
      </c>
      <c r="L9" s="34" t="n">
        <v>61.6</v>
      </c>
      <c r="M9" s="35" t="n">
        <v>66</v>
      </c>
      <c r="N9" s="36" t="n">
        <v>79</v>
      </c>
      <c r="O9" s="37" t="inlineStr">
        <is>
          <t>—</t>
        </is>
      </c>
      <c r="P9" s="44" t="n">
        <v>11.3</v>
      </c>
      <c r="Q9" s="23" t="inlineStr">
        <is>
          <t>Medium</t>
        </is>
      </c>
      <c r="R9" s="33" t="n">
        <v>-0.1063652</v>
      </c>
      <c r="S9" s="33" t="n">
        <v>-0.2061012</v>
      </c>
      <c r="T9" s="33" t="n">
        <v>-0.0557522</v>
      </c>
      <c r="U9" s="33" t="n">
        <v>-0.0895904</v>
      </c>
      <c r="V9" s="33" t="n">
        <v>0.1184486</v>
      </c>
    </row>
    <row r="10" ht="16" customHeight="1">
      <c r="A10" s="31" t="n">
        <v>6</v>
      </c>
      <c r="B10" s="25" t="inlineStr">
        <is>
          <t>GLTK</t>
        </is>
      </c>
      <c r="C10" s="26" t="inlineStr">
        <is>
          <t>GlobalTech Corporation</t>
        </is>
      </c>
      <c r="D10" s="27" t="n">
        <v>226.6</v>
      </c>
      <c r="E10" s="39" t="n">
        <v>4.5</v>
      </c>
      <c r="F10" s="40" t="n">
        <v>0.975</v>
      </c>
      <c r="G10" s="40" t="n">
        <v>0.742</v>
      </c>
      <c r="H10" s="40" t="n">
        <v>0.292</v>
      </c>
      <c r="I10" s="40" t="n">
        <v>0.08400000000000001</v>
      </c>
      <c r="J10" s="40" t="n">
        <v>0.7759999999999999</v>
      </c>
      <c r="K10" s="41" t="n">
        <v>91.90000000000001</v>
      </c>
      <c r="L10" s="41" t="n">
        <v>64.8</v>
      </c>
      <c r="M10" s="42" t="n">
        <v>64.90000000000001</v>
      </c>
      <c r="N10" s="22" t="n">
        <v>65.8</v>
      </c>
      <c r="O10" s="43" t="inlineStr">
        <is>
          <t>—</t>
        </is>
      </c>
      <c r="P10" s="38" t="n">
        <v>40.4</v>
      </c>
      <c r="Q10" s="45" t="inlineStr">
        <is>
          <t>Speculative</t>
        </is>
      </c>
      <c r="R10" s="40" t="n">
        <v>-0.1176471</v>
      </c>
      <c r="S10" s="40" t="n">
        <v>-0.1428571</v>
      </c>
      <c r="T10" s="40" t="n">
        <v>0.1450382</v>
      </c>
      <c r="U10" s="40" t="n">
        <v>-0.2462312</v>
      </c>
      <c r="V10" s="40" t="n">
        <v>-0.3181818</v>
      </c>
    </row>
    <row r="11" ht="16" customHeight="1">
      <c r="A11" s="31" t="n">
        <v>7</v>
      </c>
      <c r="B11" s="19" t="inlineStr">
        <is>
          <t>OPXS</t>
        </is>
      </c>
      <c r="C11" s="20" t="inlineStr">
        <is>
          <t>Optex Systems Holdings, Inc</t>
        </is>
      </c>
      <c r="D11" s="21" t="n">
        <v>71.59999999999999</v>
      </c>
      <c r="E11" s="32" t="n">
        <v>10.225</v>
      </c>
      <c r="F11" s="33" t="n">
        <v>-0.124</v>
      </c>
      <c r="G11" s="33" t="n">
        <v>-0.35</v>
      </c>
      <c r="H11" s="33" t="n">
        <v>0.342</v>
      </c>
      <c r="I11" s="33" t="n">
        <v>0.044</v>
      </c>
      <c r="J11" s="33" t="n">
        <v>0.209</v>
      </c>
      <c r="K11" s="34" t="n">
        <v>67.09999999999999</v>
      </c>
      <c r="L11" s="34" t="n">
        <v>62.6</v>
      </c>
      <c r="M11" s="35" t="n">
        <v>64.09999999999999</v>
      </c>
      <c r="N11" s="22" t="n">
        <v>68.59999999999999</v>
      </c>
      <c r="O11" s="37" t="inlineStr">
        <is>
          <t>—</t>
        </is>
      </c>
      <c r="P11" s="44" t="n">
        <v>5.7</v>
      </c>
      <c r="Q11" s="45" t="inlineStr">
        <is>
          <t>Speculative</t>
        </is>
      </c>
      <c r="R11" s="33" t="n">
        <v>-0.147206</v>
      </c>
      <c r="S11" s="33" t="n">
        <v>-0.1923381</v>
      </c>
      <c r="T11" s="33" t="n">
        <v>-0.2152724</v>
      </c>
      <c r="U11" s="33" t="n">
        <v>-0.278914</v>
      </c>
      <c r="V11" s="33" t="n">
        <v>-0.08868090000000001</v>
      </c>
    </row>
    <row r="12" ht="16" customHeight="1">
      <c r="A12" s="31" t="n">
        <v>8</v>
      </c>
      <c r="B12" s="25" t="inlineStr">
        <is>
          <t>BKTI</t>
        </is>
      </c>
      <c r="C12" s="26" t="inlineStr">
        <is>
          <t>BK Technologies Corporation</t>
        </is>
      </c>
      <c r="D12" s="27" t="n">
        <v>273.9</v>
      </c>
      <c r="E12" s="39" t="n">
        <v>73.15000000000001</v>
      </c>
      <c r="F12" s="40" t="n">
        <v>0.106</v>
      </c>
      <c r="G12" s="40" t="n">
        <v>0.061</v>
      </c>
      <c r="H12" s="40" t="n">
        <v>0.519</v>
      </c>
      <c r="I12" s="40" t="n">
        <v>0.099</v>
      </c>
      <c r="J12" s="40" t="n">
        <v>0.24</v>
      </c>
      <c r="K12" s="41" t="n">
        <v>67.2</v>
      </c>
      <c r="L12" s="41" t="n">
        <v>62.1</v>
      </c>
      <c r="M12" s="42" t="n">
        <v>62.4</v>
      </c>
      <c r="N12" s="22" t="n">
        <v>63.3</v>
      </c>
      <c r="O12" s="43" t="inlineStr">
        <is>
          <t>—</t>
        </is>
      </c>
      <c r="P12" s="44" t="n">
        <v>17.6</v>
      </c>
      <c r="Q12" s="45" t="inlineStr">
        <is>
          <t>Speculative</t>
        </is>
      </c>
      <c r="R12" s="40" t="n">
        <v>-0.05880080000000001</v>
      </c>
      <c r="S12" s="40" t="n">
        <v>-0.0897213</v>
      </c>
      <c r="T12" s="40" t="n">
        <v>-0.1400188</v>
      </c>
      <c r="U12" s="40" t="n">
        <v>-0.0193055</v>
      </c>
      <c r="V12" s="40" t="n">
        <v>0.0590705</v>
      </c>
    </row>
    <row r="13" ht="16" customHeight="1">
      <c r="A13" s="31" t="n">
        <v>9</v>
      </c>
      <c r="B13" s="19" t="inlineStr">
        <is>
          <t>ASYS</t>
        </is>
      </c>
      <c r="C13" s="20" t="inlineStr">
        <is>
          <t>Amtech Systems, Inc.</t>
        </is>
      </c>
      <c r="D13" s="21" t="n">
        <v>269.4</v>
      </c>
      <c r="E13" s="32" t="n">
        <v>15.4184</v>
      </c>
      <c r="F13" s="33" t="n">
        <v>0.145</v>
      </c>
      <c r="G13" s="33" t="n">
        <v>0.414</v>
      </c>
      <c r="H13" s="33" t="n">
        <v>0.5</v>
      </c>
      <c r="I13" s="33" t="n">
        <v>0.09</v>
      </c>
      <c r="J13" s="33" t="n">
        <v>0.263</v>
      </c>
      <c r="K13" s="34" t="n">
        <v>75.5</v>
      </c>
      <c r="L13" s="34" t="n">
        <v>63.5</v>
      </c>
      <c r="M13" s="35" t="n">
        <v>61.6</v>
      </c>
      <c r="N13" s="22" t="n">
        <v>60.3</v>
      </c>
      <c r="O13" s="37" t="inlineStr">
        <is>
          <t>—</t>
        </is>
      </c>
      <c r="P13" s="38" t="n">
        <v>43.6</v>
      </c>
      <c r="Q13" s="45" t="inlineStr">
        <is>
          <t>Speculative</t>
        </is>
      </c>
      <c r="R13" s="33" t="n">
        <v>-0.0071860914</v>
      </c>
      <c r="S13" s="33" t="n">
        <v>-0.2177372</v>
      </c>
      <c r="T13" s="33" t="n">
        <v>0.1933746</v>
      </c>
      <c r="U13" s="33" t="n">
        <v>0.2285578</v>
      </c>
      <c r="V13" s="33" t="n">
        <v>0.9443127</v>
      </c>
    </row>
    <row r="14" ht="16" customHeight="1">
      <c r="A14" s="31" t="n">
        <v>10</v>
      </c>
      <c r="B14" s="25" t="inlineStr">
        <is>
          <t>QUIK</t>
        </is>
      </c>
      <c r="C14" s="26" t="inlineStr">
        <is>
          <t>QuickLogic Corporation</t>
        </is>
      </c>
      <c r="D14" s="27" t="n">
        <v>197.1</v>
      </c>
      <c r="E14" s="39" t="n">
        <v>11.125</v>
      </c>
      <c r="F14" s="40" t="n">
        <v>0.487</v>
      </c>
      <c r="G14" s="40" t="n">
        <v>0.5870000000000001</v>
      </c>
      <c r="H14" s="40" t="n">
        <v>0.439</v>
      </c>
      <c r="I14" s="40" t="n">
        <v>0.283</v>
      </c>
      <c r="J14" s="40" t="n">
        <v>0.06</v>
      </c>
      <c r="K14" s="41" t="n">
        <v>74.59999999999999</v>
      </c>
      <c r="L14" s="41" t="n">
        <v>57.6</v>
      </c>
      <c r="M14" s="42" t="n">
        <v>61.6</v>
      </c>
      <c r="N14" s="36" t="n">
        <v>75.59999999999999</v>
      </c>
      <c r="O14" s="43" t="inlineStr">
        <is>
          <t>—</t>
        </is>
      </c>
      <c r="P14" s="38" t="n">
        <v>41.7</v>
      </c>
      <c r="Q14" s="45" t="inlineStr">
        <is>
          <t>Speculative</t>
        </is>
      </c>
      <c r="R14" s="40" t="n">
        <v>-0.2338154</v>
      </c>
      <c r="S14" s="40" t="n">
        <v>-0.4646295</v>
      </c>
      <c r="T14" s="40" t="n">
        <v>0.2772675</v>
      </c>
      <c r="U14" s="40" t="n">
        <v>0.8510814999999999</v>
      </c>
      <c r="V14" s="40" t="n">
        <v>1.1942801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SODI</t>
        </is>
      </c>
      <c r="B19" s="34" t="n">
        <v>100</v>
      </c>
      <c r="C19" s="34" t="n">
        <v>100</v>
      </c>
      <c r="D19" s="34" t="n">
        <v>100</v>
      </c>
      <c r="E19" s="34" t="n">
        <v>100</v>
      </c>
      <c r="F19" s="34" t="n">
        <v>100</v>
      </c>
    </row>
    <row r="20" ht="16" customHeight="1">
      <c r="A20" s="25" t="inlineStr">
        <is>
          <t>INTT</t>
        </is>
      </c>
      <c r="B20" s="41" t="n">
        <v>51</v>
      </c>
      <c r="C20" s="41" t="n">
        <v>100</v>
      </c>
      <c r="D20" s="41" t="n">
        <v>100</v>
      </c>
      <c r="E20" s="41" t="n">
        <v>100</v>
      </c>
      <c r="F20" s="41" t="n">
        <v>100</v>
      </c>
    </row>
    <row r="21" ht="16" customHeight="1">
      <c r="A21" s="19" t="inlineStr">
        <is>
          <t>RELL</t>
        </is>
      </c>
      <c r="B21" s="34" t="n">
        <v>55.2</v>
      </c>
      <c r="C21" s="34" t="n">
        <v>78</v>
      </c>
      <c r="D21" s="34" t="n">
        <v>100</v>
      </c>
      <c r="E21" s="34" t="n">
        <v>100</v>
      </c>
      <c r="F21" s="34" t="n">
        <v>95.2</v>
      </c>
    </row>
    <row r="22" ht="16" customHeight="1">
      <c r="A22" s="25" t="inlineStr">
        <is>
          <t>RFIL</t>
        </is>
      </c>
      <c r="B22" s="41" t="n">
        <v>18.8</v>
      </c>
      <c r="C22" s="41" t="n">
        <v>87.8</v>
      </c>
      <c r="D22" s="41" t="n">
        <v>100</v>
      </c>
      <c r="E22" s="41" t="n">
        <v>100</v>
      </c>
      <c r="F22" s="41" t="n">
        <v>30</v>
      </c>
    </row>
    <row r="23" ht="16" customHeight="1">
      <c r="A23" s="19" t="inlineStr">
        <is>
          <t>LTRX</t>
        </is>
      </c>
      <c r="B23" s="34" t="n">
        <v>16</v>
      </c>
      <c r="C23" s="34" t="n">
        <v>100</v>
      </c>
      <c r="D23" s="34" t="n">
        <v>63.6</v>
      </c>
      <c r="E23" s="34" t="n">
        <v>100</v>
      </c>
      <c r="F23" s="34" t="n">
        <v>100</v>
      </c>
    </row>
    <row r="24" ht="16" customHeight="1">
      <c r="A24" s="25" t="inlineStr">
        <is>
          <t>GLTK</t>
        </is>
      </c>
      <c r="B24" s="41" t="n">
        <v>100</v>
      </c>
      <c r="C24" s="41" t="n">
        <v>73</v>
      </c>
      <c r="D24" s="41" t="n">
        <v>86.40000000000001</v>
      </c>
      <c r="E24" s="41" t="n">
        <v>100</v>
      </c>
      <c r="F24" s="41" t="n">
        <v>100</v>
      </c>
    </row>
    <row r="25" ht="16" customHeight="1">
      <c r="A25" s="19" t="inlineStr">
        <is>
          <t>OPXS</t>
        </is>
      </c>
      <c r="B25" s="34" t="n">
        <v>0</v>
      </c>
      <c r="C25" s="34" t="n">
        <v>85.5</v>
      </c>
      <c r="D25" s="34" t="n">
        <v>100</v>
      </c>
      <c r="E25" s="34" t="n">
        <v>100</v>
      </c>
      <c r="F25" s="34" t="n">
        <v>0</v>
      </c>
    </row>
    <row r="26" ht="16" customHeight="1">
      <c r="A26" s="25" t="inlineStr">
        <is>
          <t>BKTI</t>
        </is>
      </c>
      <c r="B26" s="41" t="n">
        <v>21.2</v>
      </c>
      <c r="C26" s="41" t="n">
        <v>100</v>
      </c>
      <c r="D26" s="41" t="n">
        <v>80.40000000000001</v>
      </c>
      <c r="E26" s="41" t="n">
        <v>100</v>
      </c>
      <c r="F26" s="41" t="n">
        <v>65.3</v>
      </c>
    </row>
    <row r="27" ht="16" customHeight="1">
      <c r="A27" s="19" t="inlineStr">
        <is>
          <t>ASYS</t>
        </is>
      </c>
      <c r="B27" s="34" t="n">
        <v>29</v>
      </c>
      <c r="C27" s="34" t="n">
        <v>100</v>
      </c>
      <c r="D27" s="34" t="n">
        <v>84</v>
      </c>
      <c r="E27" s="34" t="n">
        <v>100</v>
      </c>
      <c r="F27" s="34" t="n">
        <v>100</v>
      </c>
    </row>
    <row r="28" ht="16" customHeight="1">
      <c r="A28" s="25" t="inlineStr">
        <is>
          <t>QUIK</t>
        </is>
      </c>
      <c r="B28" s="41" t="n">
        <v>97.40000000000001</v>
      </c>
      <c r="C28" s="41" t="n">
        <v>100</v>
      </c>
      <c r="D28" s="41" t="n">
        <v>6.8</v>
      </c>
      <c r="E28" s="41" t="n">
        <v>60</v>
      </c>
      <c r="F28" s="41" t="n">
        <v>100</v>
      </c>
    </row>
    <row r="60">
      <c r="A60" t="inlineStr">
        <is>
          <t>Ticker</t>
        </is>
      </c>
      <c r="B60" t="inlineStr">
        <is>
          <t>Gross Margin</t>
        </is>
      </c>
      <c r="C60" t="inlineStr">
        <is>
          <t>Rev Growth</t>
        </is>
      </c>
      <c r="D60" t="inlineStr">
        <is>
          <t>Mkt Cap</t>
        </is>
      </c>
    </row>
    <row r="61">
      <c r="A61" t="inlineStr">
        <is>
          <t>SODI</t>
        </is>
      </c>
      <c r="B61" t="n">
        <v>45.3</v>
      </c>
      <c r="C61" t="n">
        <v>101.3</v>
      </c>
      <c r="D61" t="n">
        <v>69.5</v>
      </c>
    </row>
    <row r="62">
      <c r="A62" t="inlineStr">
        <is>
          <t>INTT</t>
        </is>
      </c>
      <c r="B62" t="n">
        <v>40.5</v>
      </c>
      <c r="C62" t="n">
        <v>25.5</v>
      </c>
      <c r="D62" t="n">
        <v>146.3</v>
      </c>
    </row>
    <row r="63">
      <c r="A63" t="inlineStr">
        <is>
          <t>RELL</t>
        </is>
      </c>
      <c r="B63" t="n">
        <v>31.2</v>
      </c>
      <c r="C63" t="n">
        <v>27.6</v>
      </c>
      <c r="D63" t="n">
        <v>257.5</v>
      </c>
    </row>
    <row r="64">
      <c r="A64" t="inlineStr">
        <is>
          <t>RFIL</t>
        </is>
      </c>
      <c r="B64" t="n">
        <v>35.1</v>
      </c>
      <c r="C64" t="n">
        <v>9.4</v>
      </c>
      <c r="D64" t="n">
        <v>117.2</v>
      </c>
    </row>
    <row r="65">
      <c r="A65" t="inlineStr">
        <is>
          <t>LTRX</t>
        </is>
      </c>
      <c r="B65" t="n">
        <v>43.7</v>
      </c>
      <c r="C65" t="n">
        <v>8</v>
      </c>
      <c r="D65" t="n">
        <v>237.1</v>
      </c>
    </row>
    <row r="66">
      <c r="A66" t="inlineStr">
        <is>
          <t>GLTK</t>
        </is>
      </c>
      <c r="B66" t="n">
        <v>29.2</v>
      </c>
      <c r="C66" t="n">
        <v>97.5</v>
      </c>
      <c r="D66" t="n">
        <v>226.6</v>
      </c>
    </row>
    <row r="67">
      <c r="A67" t="inlineStr">
        <is>
          <t>OPXS</t>
        </is>
      </c>
      <c r="B67" t="n">
        <v>34.2</v>
      </c>
      <c r="C67" t="n">
        <v>-12.4</v>
      </c>
      <c r="D67" t="n">
        <v>71.59999999999999</v>
      </c>
    </row>
    <row r="68">
      <c r="A68" t="inlineStr">
        <is>
          <t>BKTI</t>
        </is>
      </c>
      <c r="B68" t="n">
        <v>51.9</v>
      </c>
      <c r="C68" t="n">
        <v>10.6</v>
      </c>
      <c r="D68" t="n">
        <v>273.9</v>
      </c>
    </row>
    <row r="69">
      <c r="A69" t="inlineStr">
        <is>
          <t>ASYS</t>
        </is>
      </c>
      <c r="B69" t="n">
        <v>50</v>
      </c>
      <c r="C69" t="n">
        <v>14.5</v>
      </c>
      <c r="D69" t="n">
        <v>269.4</v>
      </c>
    </row>
    <row r="70">
      <c r="A70" t="inlineStr">
        <is>
          <t>QUIK</t>
        </is>
      </c>
      <c r="B70" t="n">
        <v>43.9</v>
      </c>
      <c r="C70" t="n">
        <v>48.7</v>
      </c>
      <c r="D70" t="n">
        <v>197.1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SWBI</t>
        </is>
      </c>
      <c r="C5" s="20" t="inlineStr">
        <is>
          <t>Smith &amp; Wesson Brands, Inc.</t>
        </is>
      </c>
      <c r="D5" s="21" t="n">
        <v>588.2</v>
      </c>
      <c r="E5" s="32" t="n">
        <v>13.1613</v>
      </c>
      <c r="F5" s="33" t="n">
        <v>0.323</v>
      </c>
      <c r="G5" s="33" t="n">
        <v>0.36</v>
      </c>
      <c r="H5" s="33" t="n">
        <v>0.287</v>
      </c>
      <c r="I5" s="33" t="n">
        <v>-0.026</v>
      </c>
      <c r="J5" s="33" t="n">
        <v>0.033</v>
      </c>
      <c r="K5" s="34" t="n">
        <v>73.7</v>
      </c>
      <c r="L5" s="34" t="n">
        <v>85.40000000000001</v>
      </c>
      <c r="M5" s="35" t="n">
        <v>79.2</v>
      </c>
      <c r="N5" s="22" t="n">
        <v>60.7</v>
      </c>
      <c r="O5" s="37" t="inlineStr">
        <is>
          <t>—</t>
        </is>
      </c>
      <c r="P5" s="44" t="n">
        <v>31.8</v>
      </c>
      <c r="Q5" s="24" t="inlineStr">
        <is>
          <t>Medium-High</t>
        </is>
      </c>
      <c r="R5" s="33" t="n">
        <v>-0.0764</v>
      </c>
      <c r="S5" s="33" t="n">
        <v>-0.1028425</v>
      </c>
      <c r="T5" s="33" t="n">
        <v>-0.0592352</v>
      </c>
      <c r="U5" s="33" t="n">
        <v>0.333465</v>
      </c>
      <c r="V5" s="33" t="n">
        <v>0.4888348</v>
      </c>
    </row>
    <row r="6" ht="16" customHeight="1">
      <c r="A6" s="31" t="n">
        <v>2</v>
      </c>
      <c r="B6" s="25" t="inlineStr">
        <is>
          <t>PKE</t>
        </is>
      </c>
      <c r="C6" s="26" t="inlineStr">
        <is>
          <t>Park Aerospace Corp.</t>
        </is>
      </c>
      <c r="D6" s="27" t="n">
        <v>685.2</v>
      </c>
      <c r="E6" s="39" t="n">
        <v>31.42</v>
      </c>
      <c r="F6" s="40" t="n">
        <v>0.189</v>
      </c>
      <c r="G6" s="40" t="n">
        <v>0.08699999999999999</v>
      </c>
      <c r="H6" s="40" t="n">
        <v>0.348</v>
      </c>
      <c r="I6" s="40" t="n">
        <v>0.031</v>
      </c>
      <c r="J6" s="40" t="n">
        <v>0.081</v>
      </c>
      <c r="K6" s="41" t="n">
        <v>71.7</v>
      </c>
      <c r="L6" s="41" t="n">
        <v>85.40000000000001</v>
      </c>
      <c r="M6" s="42" t="n">
        <v>78.7</v>
      </c>
      <c r="N6" s="22" t="n">
        <v>58.7</v>
      </c>
      <c r="O6" s="43" t="inlineStr">
        <is>
          <t>—</t>
        </is>
      </c>
      <c r="P6" s="38" t="n">
        <v>40</v>
      </c>
      <c r="Q6" s="24" t="inlineStr">
        <is>
          <t>Medium-High</t>
        </is>
      </c>
      <c r="R6" s="40" t="n">
        <v>-0.1659145</v>
      </c>
      <c r="S6" s="40" t="n">
        <v>-0.015047</v>
      </c>
      <c r="T6" s="40" t="n">
        <v>0.1680297</v>
      </c>
      <c r="U6" s="40" t="n">
        <v>0.4723524</v>
      </c>
      <c r="V6" s="40" t="n">
        <v>0.6476141</v>
      </c>
    </row>
    <row r="7" ht="16" customHeight="1">
      <c r="A7" s="31" t="n">
        <v>3</v>
      </c>
      <c r="B7" s="19" t="inlineStr">
        <is>
          <t>NPKI</t>
        </is>
      </c>
      <c r="C7" s="20" t="inlineStr">
        <is>
          <t>NPK International Inc.</t>
        </is>
      </c>
      <c r="D7" s="21" t="n">
        <v>1153.1</v>
      </c>
      <c r="E7" s="32" t="n">
        <v>13.57</v>
      </c>
      <c r="F7" s="33" t="n">
        <v>0.196</v>
      </c>
      <c r="G7" s="33" t="n">
        <v>0.174</v>
      </c>
      <c r="H7" s="33" t="n">
        <v>0.37</v>
      </c>
      <c r="I7" s="33" t="n">
        <v>-0.021</v>
      </c>
      <c r="J7" s="33" t="n">
        <v>0.052</v>
      </c>
      <c r="K7" s="34" t="n">
        <v>72.09999999999999</v>
      </c>
      <c r="L7" s="34" t="n">
        <v>82.59999999999999</v>
      </c>
      <c r="M7" s="35" t="n">
        <v>75.09999999999999</v>
      </c>
      <c r="N7" s="22" t="n">
        <v>52.8</v>
      </c>
      <c r="O7" s="37" t="inlineStr">
        <is>
          <t>—</t>
        </is>
      </c>
      <c r="P7" s="44" t="n">
        <v>25.4</v>
      </c>
      <c r="Q7" s="24" t="inlineStr">
        <is>
          <t>Medium-High</t>
        </is>
      </c>
      <c r="R7" s="33" t="n">
        <v>0.0066765579</v>
      </c>
      <c r="S7" s="33" t="n">
        <v>-0.08803760000000001</v>
      </c>
      <c r="T7" s="33" t="n">
        <v>0.0007374631</v>
      </c>
      <c r="U7" s="33" t="n">
        <v>0.1384228</v>
      </c>
      <c r="V7" s="33" t="n">
        <v>0.2948473</v>
      </c>
    </row>
    <row r="8" ht="16" customHeight="1">
      <c r="A8" s="31" t="n">
        <v>4</v>
      </c>
      <c r="B8" s="25" t="inlineStr">
        <is>
          <t>LXFR</t>
        </is>
      </c>
      <c r="C8" s="26" t="inlineStr">
        <is>
          <t>Luxfer Holdings PLC</t>
        </is>
      </c>
      <c r="D8" s="27" t="n">
        <v>463.9</v>
      </c>
      <c r="E8" s="39" t="n">
        <v>17.33</v>
      </c>
      <c r="F8" s="40" t="n">
        <v>-0.08</v>
      </c>
      <c r="G8" s="40" t="n">
        <v>-0.123</v>
      </c>
      <c r="H8" s="40" t="n">
        <v>0.256</v>
      </c>
      <c r="I8" s="40" t="n">
        <v>-0.005</v>
      </c>
      <c r="J8" s="40" t="n">
        <v>0.021</v>
      </c>
      <c r="K8" s="41" t="n">
        <v>53.8</v>
      </c>
      <c r="L8" s="41" t="n">
        <v>79</v>
      </c>
      <c r="M8" s="42" t="n">
        <v>74</v>
      </c>
      <c r="N8" s="22" t="n">
        <v>59</v>
      </c>
      <c r="O8" s="43" t="inlineStr">
        <is>
          <t>—</t>
        </is>
      </c>
      <c r="P8" s="44" t="n">
        <v>34.7</v>
      </c>
      <c r="Q8" s="23" t="inlineStr">
        <is>
          <t>Medium</t>
        </is>
      </c>
      <c r="R8" s="40" t="n">
        <v>0.0134503</v>
      </c>
      <c r="S8" s="40" t="n">
        <v>-0.007445589900000001</v>
      </c>
      <c r="T8" s="40" t="n">
        <v>0.4465776</v>
      </c>
      <c r="U8" s="40" t="n">
        <v>0.2808574</v>
      </c>
      <c r="V8" s="40" t="n">
        <v>0.2733284</v>
      </c>
    </row>
    <row r="9" ht="16" customHeight="1">
      <c r="A9" s="31" t="n">
        <v>5</v>
      </c>
      <c r="B9" s="19" t="inlineStr">
        <is>
          <t>CLFD</t>
        </is>
      </c>
      <c r="C9" s="20" t="inlineStr">
        <is>
          <t>Clearfield, Inc.</t>
        </is>
      </c>
      <c r="D9" s="21" t="n">
        <v>394.6</v>
      </c>
      <c r="E9" s="32" t="n">
        <v>29.0914</v>
      </c>
      <c r="F9" s="33" t="n">
        <v>-0.121</v>
      </c>
      <c r="G9" s="33" t="n">
        <v>-0.144</v>
      </c>
      <c r="H9" s="33" t="n">
        <v>0.318</v>
      </c>
      <c r="I9" s="33" t="n">
        <v>-0.109</v>
      </c>
      <c r="J9" s="33" t="n">
        <v>0.18</v>
      </c>
      <c r="K9" s="34" t="n">
        <v>68</v>
      </c>
      <c r="L9" s="34" t="n">
        <v>68.8</v>
      </c>
      <c r="M9" s="35" t="n">
        <v>73.90000000000001</v>
      </c>
      <c r="N9" s="36" t="n">
        <v>89.2</v>
      </c>
      <c r="O9" s="37" t="inlineStr">
        <is>
          <t>—</t>
        </is>
      </c>
      <c r="P9" s="44" t="n">
        <v>8.800000000000001</v>
      </c>
      <c r="Q9" s="23" t="inlineStr">
        <is>
          <t>Medium</t>
        </is>
      </c>
      <c r="R9" s="33" t="n">
        <v>0.058639</v>
      </c>
      <c r="S9" s="33" t="n">
        <v>-0.29218</v>
      </c>
      <c r="T9" s="33" t="n">
        <v>-0.0306098</v>
      </c>
      <c r="U9" s="33" t="n">
        <v>-0.0020102916</v>
      </c>
      <c r="V9" s="33" t="n">
        <v>-0.135214</v>
      </c>
    </row>
    <row r="10" ht="16" customHeight="1">
      <c r="A10" s="31" t="n">
        <v>6</v>
      </c>
      <c r="B10" s="25" t="inlineStr">
        <is>
          <t>ARRY</t>
        </is>
      </c>
      <c r="C10" s="26" t="inlineStr">
        <is>
          <t>Array Technologies, Inc.</t>
        </is>
      </c>
      <c r="D10" s="27" t="n">
        <v>742.2</v>
      </c>
      <c r="E10" s="39" t="n">
        <v>4.825</v>
      </c>
      <c r="F10" s="40" t="n">
        <v>-0.05599999999999999</v>
      </c>
      <c r="G10" s="40" t="n">
        <v>-0.472</v>
      </c>
      <c r="H10" s="40" t="n">
        <v>0.291</v>
      </c>
      <c r="I10" s="40" t="n">
        <v>0.019</v>
      </c>
      <c r="J10" s="40" t="n">
        <v>0.091</v>
      </c>
      <c r="K10" s="41" t="n">
        <v>63.2</v>
      </c>
      <c r="L10" s="41" t="n">
        <v>78.09999999999999</v>
      </c>
      <c r="M10" s="42" t="n">
        <v>72.59999999999999</v>
      </c>
      <c r="N10" s="22" t="n">
        <v>56.2</v>
      </c>
      <c r="O10" s="43" t="inlineStr">
        <is>
          <t>—</t>
        </is>
      </c>
      <c r="P10" s="44" t="n">
        <v>3.2</v>
      </c>
      <c r="Q10" s="23" t="inlineStr">
        <is>
          <t>Medium</t>
        </is>
      </c>
      <c r="R10" s="40" t="n">
        <v>-0.1306306</v>
      </c>
      <c r="S10" s="40" t="n">
        <v>-0.3845663</v>
      </c>
      <c r="T10" s="40" t="n">
        <v>-0.2914831</v>
      </c>
      <c r="U10" s="40" t="n">
        <v>-0.4766811</v>
      </c>
      <c r="V10" s="40" t="n">
        <v>-0.4485714</v>
      </c>
    </row>
    <row r="11" ht="16" customHeight="1">
      <c r="A11" s="31" t="n">
        <v>7</v>
      </c>
      <c r="B11" s="19" t="inlineStr">
        <is>
          <t>EVLV</t>
        </is>
      </c>
      <c r="C11" s="20" t="inlineStr">
        <is>
          <t>Evolv Technologies Holdings, Inc.</t>
        </is>
      </c>
      <c r="D11" s="21" t="n">
        <v>912.8</v>
      </c>
      <c r="E11" s="32" t="n">
        <v>5.089</v>
      </c>
      <c r="F11" s="33" t="n">
        <v>0.344</v>
      </c>
      <c r="G11" s="33" t="n">
        <v>0.07000000000000001</v>
      </c>
      <c r="H11" s="33" t="n">
        <v>0.502</v>
      </c>
      <c r="I11" s="33" t="n">
        <v>0.199</v>
      </c>
      <c r="J11" s="33" t="n">
        <v>0.052</v>
      </c>
      <c r="K11" s="34" t="n">
        <v>66.59999999999999</v>
      </c>
      <c r="L11" s="34" t="n">
        <v>74</v>
      </c>
      <c r="M11" s="35" t="n">
        <v>72.09999999999999</v>
      </c>
      <c r="N11" s="22" t="n">
        <v>66.40000000000001</v>
      </c>
      <c r="O11" s="37" t="inlineStr">
        <is>
          <t>—</t>
        </is>
      </c>
      <c r="P11" s="44" t="n">
        <v>2.3</v>
      </c>
      <c r="Q11" s="23" t="inlineStr">
        <is>
          <t>Medium</t>
        </is>
      </c>
      <c r="R11" s="33" t="n">
        <v>-0.1703263</v>
      </c>
      <c r="S11" s="33" t="n">
        <v>-0.126134</v>
      </c>
      <c r="T11" s="33" t="n">
        <v>0.0011614173</v>
      </c>
      <c r="U11" s="33" t="n">
        <v>-0.2896788</v>
      </c>
      <c r="V11" s="33" t="n">
        <v>-0.3850181</v>
      </c>
    </row>
    <row r="12" ht="16" customHeight="1">
      <c r="A12" s="31" t="n">
        <v>8</v>
      </c>
      <c r="B12" s="25" t="inlineStr">
        <is>
          <t>GHM</t>
        </is>
      </c>
      <c r="C12" s="26" t="inlineStr">
        <is>
          <t>Graham Corporation</t>
        </is>
      </c>
      <c r="D12" s="27" t="n">
        <v>1046.6</v>
      </c>
      <c r="E12" s="39" t="n">
        <v>89.42</v>
      </c>
      <c r="F12" s="40" t="n">
        <v>0.286</v>
      </c>
      <c r="G12" s="40" t="n">
        <v>0.175</v>
      </c>
      <c r="H12" s="40" t="n">
        <v>0.25</v>
      </c>
      <c r="I12" s="40" t="n">
        <v>0.08400000000000001</v>
      </c>
      <c r="J12" s="40" t="n">
        <v>0.051</v>
      </c>
      <c r="K12" s="41" t="n">
        <v>68.7</v>
      </c>
      <c r="L12" s="41" t="n">
        <v>88.40000000000001</v>
      </c>
      <c r="M12" s="42" t="n">
        <v>70.7</v>
      </c>
      <c r="N12" s="22" t="n">
        <v>59.7</v>
      </c>
      <c r="O12" s="43" t="inlineStr">
        <is>
          <t>—</t>
        </is>
      </c>
      <c r="P12" s="38" t="n">
        <v>65.90000000000001</v>
      </c>
      <c r="Q12" s="23" t="inlineStr">
        <is>
          <t>Medium</t>
        </is>
      </c>
      <c r="R12" s="40" t="n">
        <v>-0.1993195</v>
      </c>
      <c r="S12" s="40" t="n">
        <v>-0.0620936</v>
      </c>
      <c r="T12" s="40" t="n">
        <v>0.09556480000000001</v>
      </c>
      <c r="U12" s="40" t="n">
        <v>0.3921843</v>
      </c>
      <c r="V12" s="40" t="n">
        <v>0.8711027</v>
      </c>
    </row>
    <row r="13" ht="16" customHeight="1">
      <c r="A13" s="31" t="n">
        <v>9</v>
      </c>
      <c r="B13" s="19" t="inlineStr">
        <is>
          <t>NNDM</t>
        </is>
      </c>
      <c r="C13" s="20" t="inlineStr">
        <is>
          <t>Nano Dimension Ltd.</t>
        </is>
      </c>
      <c r="D13" s="21" t="n">
        <v>327.3</v>
      </c>
      <c r="E13" s="32" t="n">
        <v>1.55</v>
      </c>
      <c r="F13" s="33" t="n">
        <v>0.121</v>
      </c>
      <c r="G13" s="33" t="n">
        <v>-0.603</v>
      </c>
      <c r="H13" s="33" t="n">
        <v>0.459</v>
      </c>
      <c r="I13" s="33" t="n">
        <v>-0.183</v>
      </c>
      <c r="J13" s="33" t="n">
        <v>0.036</v>
      </c>
      <c r="K13" s="34" t="n">
        <v>52.7</v>
      </c>
      <c r="L13" s="34" t="n">
        <v>71</v>
      </c>
      <c r="M13" s="35" t="n">
        <v>70.5</v>
      </c>
      <c r="N13" s="22" t="n">
        <v>69.2</v>
      </c>
      <c r="O13" s="37" t="inlineStr">
        <is>
          <t>—</t>
        </is>
      </c>
      <c r="P13" s="44" t="n">
        <v>14.5</v>
      </c>
      <c r="Q13" s="23" t="inlineStr">
        <is>
          <t>Medium</t>
        </is>
      </c>
      <c r="R13" s="33" t="n">
        <v>-0.0490798</v>
      </c>
      <c r="S13" s="33" t="n">
        <v>0.0264901</v>
      </c>
      <c r="T13" s="33" t="n">
        <v>-0.1483516</v>
      </c>
      <c r="U13" s="33" t="n">
        <v>0.0064935065</v>
      </c>
      <c r="V13" s="33" t="n">
        <v>0.0763889</v>
      </c>
    </row>
    <row r="14" ht="16" customHeight="1">
      <c r="A14" s="31" t="n">
        <v>10</v>
      </c>
      <c r="B14" s="25" t="inlineStr">
        <is>
          <t>ADTN</t>
        </is>
      </c>
      <c r="C14" s="26" t="inlineStr">
        <is>
          <t>ADTRAN Holdings Inc.</t>
        </is>
      </c>
      <c r="D14" s="27" t="n">
        <v>608.1</v>
      </c>
      <c r="E14" s="39" t="n">
        <v>7.53</v>
      </c>
      <c r="F14" s="40" t="n">
        <v>0.061</v>
      </c>
      <c r="G14" s="40" t="n">
        <v>-0.112</v>
      </c>
      <c r="H14" s="40" t="n">
        <v>0.37</v>
      </c>
      <c r="I14" s="40" t="n">
        <v>0.029</v>
      </c>
      <c r="J14" s="40" t="n">
        <v>0.019</v>
      </c>
      <c r="K14" s="41" t="n">
        <v>48.3</v>
      </c>
      <c r="L14" s="41" t="n">
        <v>76.7</v>
      </c>
      <c r="M14" s="42" t="n">
        <v>70.40000000000001</v>
      </c>
      <c r="N14" s="22" t="n">
        <v>51.5</v>
      </c>
      <c r="O14" s="43" t="inlineStr">
        <is>
          <t>—</t>
        </is>
      </c>
      <c r="P14" s="44" t="n">
        <v>1.9</v>
      </c>
      <c r="Q14" s="23" t="inlineStr">
        <is>
          <t>Medium</t>
        </is>
      </c>
      <c r="R14" s="40" t="n">
        <v>-0.003968254</v>
      </c>
      <c r="S14" s="40" t="n">
        <v>-0.5299625</v>
      </c>
      <c r="T14" s="40" t="n">
        <v>-0.2148071</v>
      </c>
      <c r="U14" s="40" t="n">
        <v>-0.1334868</v>
      </c>
      <c r="V14" s="40" t="n">
        <v>-0.2617647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4" t="n">
        <v>64.59999999999999</v>
      </c>
      <c r="C19" s="34" t="n">
        <v>71.8</v>
      </c>
      <c r="D19" s="34" t="n">
        <v>100</v>
      </c>
      <c r="E19" s="34" t="n">
        <v>33</v>
      </c>
      <c r="F19" s="34" t="n">
        <v>100</v>
      </c>
    </row>
    <row r="20" ht="16" customHeight="1">
      <c r="A20" s="25" t="inlineStr">
        <is>
          <t>PKE</t>
        </is>
      </c>
      <c r="B20" s="41" t="n">
        <v>37.8</v>
      </c>
      <c r="C20" s="41" t="n">
        <v>87</v>
      </c>
      <c r="D20" s="41" t="n">
        <v>100</v>
      </c>
      <c r="E20" s="41" t="n">
        <v>81</v>
      </c>
      <c r="F20" s="41" t="n">
        <v>71.8</v>
      </c>
    </row>
    <row r="21" ht="16" customHeight="1">
      <c r="A21" s="19" t="inlineStr">
        <is>
          <t>NPKI</t>
        </is>
      </c>
      <c r="B21" s="34" t="n">
        <v>39.2</v>
      </c>
      <c r="C21" s="34" t="n">
        <v>92.5</v>
      </c>
      <c r="D21" s="34" t="n">
        <v>100</v>
      </c>
      <c r="E21" s="34" t="n">
        <v>52</v>
      </c>
      <c r="F21" s="34" t="n">
        <v>93.5</v>
      </c>
    </row>
    <row r="22" ht="16" customHeight="1">
      <c r="A22" s="25" t="inlineStr">
        <is>
          <t>LXFR</t>
        </is>
      </c>
      <c r="B22" s="41" t="n">
        <v>0</v>
      </c>
      <c r="C22" s="41" t="n">
        <v>64</v>
      </c>
      <c r="D22" s="41" t="n">
        <v>100</v>
      </c>
      <c r="E22" s="41" t="n">
        <v>21</v>
      </c>
      <c r="F22" s="41" t="n">
        <v>19.2</v>
      </c>
    </row>
    <row r="23" ht="16" customHeight="1">
      <c r="A23" s="19" t="inlineStr">
        <is>
          <t>CLFD</t>
        </is>
      </c>
      <c r="B23" s="34" t="n">
        <v>0</v>
      </c>
      <c r="C23" s="34" t="n">
        <v>79.5</v>
      </c>
      <c r="D23" s="34" t="n">
        <v>100</v>
      </c>
      <c r="E23" s="34" t="n">
        <v>100</v>
      </c>
      <c r="F23" s="34" t="n">
        <v>14</v>
      </c>
    </row>
    <row r="24" ht="16" customHeight="1">
      <c r="A24" s="25" t="inlineStr">
        <is>
          <t>ARRY</t>
        </is>
      </c>
      <c r="B24" s="41" t="n">
        <v>0</v>
      </c>
      <c r="C24" s="41" t="n">
        <v>72.8</v>
      </c>
      <c r="D24" s="41" t="n">
        <v>100</v>
      </c>
      <c r="E24" s="41" t="n">
        <v>91</v>
      </c>
      <c r="F24" s="41" t="n">
        <v>0</v>
      </c>
    </row>
    <row r="25" ht="16" customHeight="1">
      <c r="A25" s="19" t="inlineStr">
        <is>
          <t>EVLV</t>
        </is>
      </c>
      <c r="B25" s="34" t="n">
        <v>68.8</v>
      </c>
      <c r="C25" s="34" t="n">
        <v>100</v>
      </c>
      <c r="D25" s="34" t="n">
        <v>40.4</v>
      </c>
      <c r="E25" s="34" t="n">
        <v>52</v>
      </c>
      <c r="F25" s="34" t="n">
        <v>67.5</v>
      </c>
    </row>
    <row r="26" ht="16" customHeight="1">
      <c r="A26" s="25" t="inlineStr">
        <is>
          <t>GHM</t>
        </is>
      </c>
      <c r="B26" s="41" t="n">
        <v>57.2</v>
      </c>
      <c r="C26" s="41" t="n">
        <v>62.5</v>
      </c>
      <c r="D26" s="41" t="n">
        <v>86.40000000000001</v>
      </c>
      <c r="E26" s="41" t="n">
        <v>51</v>
      </c>
      <c r="F26" s="41" t="n">
        <v>93.8</v>
      </c>
    </row>
    <row r="27" ht="16" customHeight="1">
      <c r="A27" s="19" t="inlineStr">
        <is>
          <t>NNDM</t>
        </is>
      </c>
      <c r="B27" s="34" t="n">
        <v>24.2</v>
      </c>
      <c r="C27" s="34" t="n">
        <v>100</v>
      </c>
      <c r="D27" s="34" t="n">
        <v>100</v>
      </c>
      <c r="E27" s="34" t="n">
        <v>36</v>
      </c>
      <c r="F27" s="34" t="n">
        <v>0</v>
      </c>
    </row>
    <row r="28" ht="16" customHeight="1">
      <c r="A28" s="25" t="inlineStr">
        <is>
          <t>ADTN</t>
        </is>
      </c>
      <c r="B28" s="41" t="n">
        <v>12.2</v>
      </c>
      <c r="C28" s="41" t="n">
        <v>92.5</v>
      </c>
      <c r="D28" s="41" t="n">
        <v>100</v>
      </c>
      <c r="E28" s="41" t="n">
        <v>19</v>
      </c>
      <c r="F28" s="41" t="n">
        <v>22</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PKE</t>
        </is>
      </c>
      <c r="B62" t="n">
        <v>34.8</v>
      </c>
      <c r="C62" t="n">
        <v>18.9</v>
      </c>
      <c r="D62" t="n">
        <v>685.2</v>
      </c>
    </row>
    <row r="63">
      <c r="A63" t="inlineStr">
        <is>
          <t>NPKI</t>
        </is>
      </c>
      <c r="B63" t="n">
        <v>37</v>
      </c>
      <c r="C63" t="n">
        <v>19.6</v>
      </c>
      <c r="D63" t="n">
        <v>1153.1</v>
      </c>
    </row>
    <row r="64">
      <c r="A64" t="inlineStr">
        <is>
          <t>LXFR</t>
        </is>
      </c>
      <c r="B64" t="n">
        <v>25.6</v>
      </c>
      <c r="C64" t="n">
        <v>-8</v>
      </c>
      <c r="D64" t="n">
        <v>463.9</v>
      </c>
    </row>
    <row r="65">
      <c r="A65" t="inlineStr">
        <is>
          <t>CLFD</t>
        </is>
      </c>
      <c r="B65" t="n">
        <v>31.8</v>
      </c>
      <c r="C65" t="n">
        <v>-12.1</v>
      </c>
      <c r="D65" t="n">
        <v>394.6</v>
      </c>
    </row>
    <row r="66">
      <c r="A66" t="inlineStr">
        <is>
          <t>ARRY</t>
        </is>
      </c>
      <c r="B66" t="n">
        <v>29.1</v>
      </c>
      <c r="C66" t="n">
        <v>-5.6</v>
      </c>
      <c r="D66" t="n">
        <v>742.2</v>
      </c>
    </row>
    <row r="67">
      <c r="A67" t="inlineStr">
        <is>
          <t>EVLV</t>
        </is>
      </c>
      <c r="B67" t="n">
        <v>50.2</v>
      </c>
      <c r="C67" t="n">
        <v>34.4</v>
      </c>
      <c r="D67" t="n">
        <v>912.8</v>
      </c>
    </row>
    <row r="68">
      <c r="A68" t="inlineStr">
        <is>
          <t>GHM</t>
        </is>
      </c>
      <c r="B68" t="n">
        <v>25</v>
      </c>
      <c r="C68" t="n">
        <v>28.6</v>
      </c>
      <c r="D68" t="n">
        <v>1046.6</v>
      </c>
    </row>
    <row r="69">
      <c r="A69" t="inlineStr">
        <is>
          <t>NNDM</t>
        </is>
      </c>
      <c r="B69" t="n">
        <v>45.9</v>
      </c>
      <c r="C69" t="n">
        <v>12.1</v>
      </c>
      <c r="D69" t="n">
        <v>327.3</v>
      </c>
    </row>
    <row r="70">
      <c r="A70" t="inlineStr">
        <is>
          <t>ADTN</t>
        </is>
      </c>
      <c r="B70" t="n">
        <v>37</v>
      </c>
      <c r="C70" t="n">
        <v>6.1</v>
      </c>
      <c r="D70" t="n">
        <v>608.1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CALX</t>
        </is>
      </c>
      <c r="C5" s="20" t="inlineStr">
        <is>
          <t>Calix, Inc.</t>
        </is>
      </c>
      <c r="D5" s="21" t="n">
        <v>2219.5</v>
      </c>
      <c r="E5" s="32" t="n">
        <v>35.285</v>
      </c>
      <c r="F5" s="33" t="n">
        <v>0.213</v>
      </c>
      <c r="G5" s="33" t="n">
        <v>-0.008</v>
      </c>
      <c r="H5" s="33" t="n">
        <v>0.546</v>
      </c>
      <c r="I5" s="33" t="n">
        <v>-0.042</v>
      </c>
      <c r="J5" s="33" t="n">
        <v>0.095</v>
      </c>
      <c r="K5" s="34" t="n">
        <v>74.2</v>
      </c>
      <c r="L5" s="34" t="n">
        <v>83.90000000000001</v>
      </c>
      <c r="M5" s="35" t="n">
        <v>77.2</v>
      </c>
      <c r="N5" s="22" t="n">
        <v>57.1</v>
      </c>
      <c r="O5" s="37" t="inlineStr">
        <is>
          <t>—</t>
        </is>
      </c>
      <c r="P5" s="44" t="n">
        <v>1.3</v>
      </c>
      <c r="Q5" s="24" t="inlineStr">
        <is>
          <t>Medium-High</t>
        </is>
      </c>
      <c r="R5" s="33" t="n">
        <v>-0.0709584</v>
      </c>
      <c r="S5" s="33" t="n">
        <v>-0.0535139</v>
      </c>
      <c r="T5" s="33" t="n">
        <v>-0.3008718</v>
      </c>
      <c r="U5" s="33" t="n">
        <v>-0.3333648</v>
      </c>
      <c r="V5" s="33" t="n">
        <v>-0.4225041</v>
      </c>
    </row>
    <row r="6" ht="16" customHeight="1">
      <c r="A6" s="31" t="n">
        <v>2</v>
      </c>
      <c r="B6" s="25" t="inlineStr">
        <is>
          <t>ADEA</t>
        </is>
      </c>
      <c r="C6" s="26" t="inlineStr">
        <is>
          <t>Adeia Inc.</t>
        </is>
      </c>
      <c r="D6" s="27" t="n">
        <v>2998.6</v>
      </c>
      <c r="E6" s="39" t="n">
        <v>27.1999</v>
      </c>
      <c r="F6" s="40" t="n">
        <v>0.121</v>
      </c>
      <c r="G6" s="40" t="n">
        <v>0.139</v>
      </c>
      <c r="H6" s="40" t="n">
        <v>0.264</v>
      </c>
      <c r="I6" s="40" t="n">
        <v>0.031</v>
      </c>
      <c r="J6" s="40" t="n">
        <v>0.024</v>
      </c>
      <c r="K6" s="41" t="n">
        <v>56.8</v>
      </c>
      <c r="L6" s="41" t="n">
        <v>79.5</v>
      </c>
      <c r="M6" s="42" t="n">
        <v>73.40000000000001</v>
      </c>
      <c r="N6" s="36" t="n">
        <v>72.3</v>
      </c>
      <c r="O6" s="43" t="inlineStr">
        <is>
          <t>—</t>
        </is>
      </c>
      <c r="P6" s="38" t="n">
        <v>51.1</v>
      </c>
      <c r="Q6" s="23" t="inlineStr">
        <is>
          <t>Medium</t>
        </is>
      </c>
      <c r="R6" s="40" t="n">
        <v>-0.0364896</v>
      </c>
      <c r="S6" s="40" t="n">
        <v>-0.1378796</v>
      </c>
      <c r="T6" s="40" t="n">
        <v>0.3688928</v>
      </c>
      <c r="U6" s="40" t="n">
        <v>0.5768058</v>
      </c>
      <c r="V6" s="40" t="n">
        <v>0.7696747</v>
      </c>
    </row>
    <row r="7" ht="16" customHeight="1">
      <c r="A7" s="31" t="n">
        <v>3</v>
      </c>
      <c r="B7" s="19" t="inlineStr">
        <is>
          <t>DCI</t>
        </is>
      </c>
      <c r="C7" s="20" t="inlineStr">
        <is>
          <t>Donaldson Company, Inc.</t>
        </is>
      </c>
      <c r="D7" s="21" t="n">
        <v>10618.6</v>
      </c>
      <c r="E7" s="32" t="n">
        <v>91.61</v>
      </c>
      <c r="F7" s="33" t="n">
        <v>0.08</v>
      </c>
      <c r="G7" s="33" t="n">
        <v>0.032</v>
      </c>
      <c r="H7" s="33" t="n">
        <v>0.363</v>
      </c>
      <c r="I7" s="33" t="n">
        <v>-0.042</v>
      </c>
      <c r="J7" s="33" t="n">
        <v>0.006999999999999999</v>
      </c>
      <c r="K7" s="34" t="n">
        <v>52.7</v>
      </c>
      <c r="L7" s="34" t="n">
        <v>79.40000000000001</v>
      </c>
      <c r="M7" s="35" t="n">
        <v>73</v>
      </c>
      <c r="N7" s="22" t="n">
        <v>53.9</v>
      </c>
      <c r="O7" s="37" t="inlineStr">
        <is>
          <t>—</t>
        </is>
      </c>
      <c r="P7" s="44" t="n">
        <v>20.7</v>
      </c>
      <c r="Q7" s="23" t="inlineStr">
        <is>
          <t>Medium</t>
        </is>
      </c>
      <c r="R7" s="33" t="n">
        <v>-0.0709867</v>
      </c>
      <c r="S7" s="33" t="n">
        <v>0.09085499999999999</v>
      </c>
      <c r="T7" s="33" t="n">
        <v>0.032458</v>
      </c>
      <c r="U7" s="33" t="n">
        <v>0.0332732</v>
      </c>
      <c r="V7" s="33" t="n">
        <v>0.1276465</v>
      </c>
    </row>
    <row r="8" ht="16" customHeight="1">
      <c r="A8" s="31" t="n">
        <v>4</v>
      </c>
      <c r="B8" s="25" t="inlineStr">
        <is>
          <t>CACI</t>
        </is>
      </c>
      <c r="C8" s="26" t="inlineStr">
        <is>
          <t>CACI International Inc</t>
        </is>
      </c>
      <c r="D8" s="27" t="n">
        <v>13629.7</v>
      </c>
      <c r="E8" s="39" t="n">
        <v>616.9</v>
      </c>
      <c r="F8" s="40" t="n">
        <v>0.176</v>
      </c>
      <c r="G8" s="40" t="n">
        <v>0.046</v>
      </c>
      <c r="H8" s="40" t="n">
        <v>0.337</v>
      </c>
      <c r="I8" s="40" t="n">
        <v>-0.024</v>
      </c>
      <c r="J8" s="40" t="n">
        <v>0.011</v>
      </c>
      <c r="K8" s="41" t="n">
        <v>58.3</v>
      </c>
      <c r="L8" s="41" t="n">
        <v>79.59999999999999</v>
      </c>
      <c r="M8" s="42" t="n">
        <v>71.5</v>
      </c>
      <c r="N8" s="22" t="n">
        <v>57.8</v>
      </c>
      <c r="O8" s="43" t="inlineStr">
        <is>
          <t>—</t>
        </is>
      </c>
      <c r="P8" s="38" t="n">
        <v>46.9</v>
      </c>
      <c r="Q8" s="23" t="inlineStr">
        <is>
          <t>Medium</t>
        </is>
      </c>
      <c r="R8" s="40" t="n">
        <v>-0.0427199</v>
      </c>
      <c r="S8" s="40" t="n">
        <v>0.1883114</v>
      </c>
      <c r="T8" s="40" t="n">
        <v>0.001461039</v>
      </c>
      <c r="U8" s="40" t="n">
        <v>0.1578236</v>
      </c>
      <c r="V8" s="40" t="n">
        <v>0.301367</v>
      </c>
    </row>
    <row r="9" ht="16" customHeight="1">
      <c r="A9" s="31" t="n">
        <v>5</v>
      </c>
      <c r="B9" s="19" t="inlineStr">
        <is>
          <t>BRC</t>
        </is>
      </c>
      <c r="C9" s="20" t="inlineStr">
        <is>
          <t>Brady Corporation</t>
        </is>
      </c>
      <c r="D9" s="21" t="n">
        <v>4139.7</v>
      </c>
      <c r="E9" s="32" t="n">
        <v>87.88</v>
      </c>
      <c r="F9" s="33" t="n">
        <v>0.1</v>
      </c>
      <c r="G9" s="33" t="n">
        <v>-0.057</v>
      </c>
      <c r="H9" s="33" t="n">
        <v>0.529</v>
      </c>
      <c r="I9" s="33" t="n">
        <v>-0.025</v>
      </c>
      <c r="J9" s="33" t="n">
        <v>0.1</v>
      </c>
      <c r="K9" s="34" t="n">
        <v>66.40000000000001</v>
      </c>
      <c r="L9" s="34" t="n">
        <v>75.2</v>
      </c>
      <c r="M9" s="35" t="n">
        <v>69.90000000000001</v>
      </c>
      <c r="N9" s="22" t="n">
        <v>54</v>
      </c>
      <c r="O9" s="37" t="inlineStr">
        <is>
          <t>—</t>
        </is>
      </c>
      <c r="P9" s="44" t="n">
        <v>31.9</v>
      </c>
      <c r="Q9" s="23" t="inlineStr">
        <is>
          <t>Medium</t>
        </is>
      </c>
      <c r="R9" s="33" t="n">
        <v>-0.0942074</v>
      </c>
      <c r="S9" s="33" t="n">
        <v>0.1673751</v>
      </c>
      <c r="T9" s="33" t="n">
        <v>-0.0183199</v>
      </c>
      <c r="U9" s="33" t="n">
        <v>0.1213475</v>
      </c>
      <c r="V9" s="33" t="n">
        <v>0.0930348</v>
      </c>
    </row>
    <row r="10" ht="16" customHeight="1">
      <c r="A10" s="31" t="n">
        <v>6</v>
      </c>
      <c r="B10" s="25" t="inlineStr">
        <is>
          <t>MRCY</t>
        </is>
      </c>
      <c r="C10" s="26" t="inlineStr">
        <is>
          <t>Mercury Systems, Inc.</t>
        </is>
      </c>
      <c r="D10" s="27" t="n">
        <v>5093.4</v>
      </c>
      <c r="E10" s="39" t="n">
        <v>84.825</v>
      </c>
      <c r="F10" s="40" t="n">
        <v>0.061</v>
      </c>
      <c r="G10" s="40" t="n">
        <v>-0.038</v>
      </c>
      <c r="H10" s="40" t="n">
        <v>0.273</v>
      </c>
      <c r="I10" s="40" t="n">
        <v>0.043</v>
      </c>
      <c r="J10" s="40" t="n">
        <v>0.075</v>
      </c>
      <c r="K10" s="41" t="n">
        <v>54.6</v>
      </c>
      <c r="L10" s="41" t="n">
        <v>71.2</v>
      </c>
      <c r="M10" s="42" t="n">
        <v>69.8</v>
      </c>
      <c r="N10" s="22" t="n">
        <v>65.59999999999999</v>
      </c>
      <c r="O10" s="43" t="inlineStr">
        <is>
          <t>—</t>
        </is>
      </c>
      <c r="P10" s="44" t="n">
        <v>27</v>
      </c>
      <c r="Q10" s="23" t="inlineStr">
        <is>
          <t>Medium</t>
        </is>
      </c>
      <c r="R10" s="40" t="n">
        <v>-0.2192102</v>
      </c>
      <c r="S10" s="40" t="n">
        <v>-0.2353975</v>
      </c>
      <c r="T10" s="40" t="n">
        <v>-0.0184564</v>
      </c>
      <c r="U10" s="40" t="n">
        <v>0.1618271</v>
      </c>
      <c r="V10" s="40" t="n">
        <v>0.2350757</v>
      </c>
    </row>
    <row r="11" ht="16" customHeight="1">
      <c r="A11" s="31" t="n">
        <v>7</v>
      </c>
      <c r="B11" s="19" t="inlineStr">
        <is>
          <t>CE</t>
        </is>
      </c>
      <c r="C11" s="20" t="inlineStr">
        <is>
          <t>Celanese Corporation</t>
        </is>
      </c>
      <c r="D11" s="21" t="n">
        <v>4874</v>
      </c>
      <c r="E11" s="32" t="n">
        <v>44.51</v>
      </c>
      <c r="F11" s="33" t="n">
        <v>0.08699999999999999</v>
      </c>
      <c r="G11" s="33" t="n">
        <v>0.132</v>
      </c>
      <c r="H11" s="33" t="n">
        <v>0.225</v>
      </c>
      <c r="I11" s="33" t="n">
        <v>0.008</v>
      </c>
      <c r="J11" s="33" t="n">
        <v>0.06900000000000001</v>
      </c>
      <c r="K11" s="34" t="n">
        <v>59.3</v>
      </c>
      <c r="L11" s="34" t="n">
        <v>73.5</v>
      </c>
      <c r="M11" s="35" t="n">
        <v>69.5</v>
      </c>
      <c r="N11" s="22" t="n">
        <v>57.7</v>
      </c>
      <c r="O11" s="37" t="inlineStr">
        <is>
          <t>—</t>
        </is>
      </c>
      <c r="P11" s="44" t="n">
        <v>12.8</v>
      </c>
      <c r="Q11" s="23" t="inlineStr">
        <is>
          <t>Medium</t>
        </is>
      </c>
      <c r="R11" s="33" t="n">
        <v>0.0141262</v>
      </c>
      <c r="S11" s="33" t="n">
        <v>-0.0931133</v>
      </c>
      <c r="T11" s="33" t="n">
        <v>-0.0975264</v>
      </c>
      <c r="U11" s="33" t="n">
        <v>0.05274359999999999</v>
      </c>
      <c r="V11" s="33" t="n">
        <v>-0.04320719999999999</v>
      </c>
    </row>
    <row r="12" ht="16" customHeight="1">
      <c r="A12" s="31" t="n">
        <v>8</v>
      </c>
      <c r="B12" s="25" t="inlineStr">
        <is>
          <t>RUN</t>
        </is>
      </c>
      <c r="C12" s="26" t="inlineStr">
        <is>
          <t>Sunrun Inc.</t>
        </is>
      </c>
      <c r="D12" s="27" t="n">
        <v>2188.7</v>
      </c>
      <c r="E12" s="39" t="n">
        <v>9.167999999999999</v>
      </c>
      <c r="F12" s="40" t="n">
        <v>0.528</v>
      </c>
      <c r="G12" s="40" t="n">
        <v>0.441</v>
      </c>
      <c r="H12" s="40" t="n">
        <v>0.377</v>
      </c>
      <c r="I12" s="40" t="n">
        <v>0.1</v>
      </c>
      <c r="J12" s="40" t="n">
        <v>0.035</v>
      </c>
      <c r="K12" s="41" t="n">
        <v>85.09999999999999</v>
      </c>
      <c r="L12" s="41" t="n">
        <v>71.09999999999999</v>
      </c>
      <c r="M12" s="42" t="n">
        <v>69.09999999999999</v>
      </c>
      <c r="N12" s="22" t="n">
        <v>63.2</v>
      </c>
      <c r="O12" s="43" t="inlineStr">
        <is>
          <t>—</t>
        </is>
      </c>
      <c r="P12" s="44" t="n">
        <v>3.3</v>
      </c>
      <c r="Q12" s="23" t="inlineStr">
        <is>
          <t>Medium</t>
        </is>
      </c>
      <c r="R12" s="40" t="n">
        <v>-0.1011765</v>
      </c>
      <c r="S12" s="40" t="n">
        <v>-0.3188707</v>
      </c>
      <c r="T12" s="40" t="n">
        <v>-0.1915344</v>
      </c>
      <c r="U12" s="40" t="n">
        <v>-0.5017391</v>
      </c>
      <c r="V12" s="40" t="n">
        <v>-0.458156</v>
      </c>
    </row>
    <row r="13" ht="16" customHeight="1">
      <c r="A13" s="31" t="n">
        <v>9</v>
      </c>
      <c r="B13" s="19" t="inlineStr">
        <is>
          <t>LYFT</t>
        </is>
      </c>
      <c r="C13" s="20" t="inlineStr">
        <is>
          <t>Lyft, Inc.</t>
        </is>
      </c>
      <c r="D13" s="21" t="n">
        <v>6122.4</v>
      </c>
      <c r="E13" s="32" t="n">
        <v>16.14</v>
      </c>
      <c r="F13" s="33" t="n">
        <v>0.161</v>
      </c>
      <c r="G13" s="33" t="n">
        <v>0.055</v>
      </c>
      <c r="H13" s="33" t="n">
        <v>0.4970000000000001</v>
      </c>
      <c r="I13" s="33" t="n">
        <v>-0.023</v>
      </c>
      <c r="J13" s="33" t="n">
        <v>0.101</v>
      </c>
      <c r="K13" s="34" t="n">
        <v>74.2</v>
      </c>
      <c r="L13" s="34" t="n">
        <v>77.59999999999999</v>
      </c>
      <c r="M13" s="35" t="n">
        <v>69.09999999999999</v>
      </c>
      <c r="N13" s="34" t="n">
        <v>43.7</v>
      </c>
      <c r="O13" s="37" t="inlineStr">
        <is>
          <t>—</t>
        </is>
      </c>
      <c r="P13" s="44" t="n">
        <v>12.3</v>
      </c>
      <c r="Q13" s="23" t="inlineStr">
        <is>
          <t>Medium</t>
        </is>
      </c>
      <c r="R13" s="33" t="n">
        <v>-0.0756014</v>
      </c>
      <c r="S13" s="33" t="n">
        <v>0.1512126</v>
      </c>
      <c r="T13" s="33" t="n">
        <v>0.2181132</v>
      </c>
      <c r="U13" s="33" t="n">
        <v>-0.1667527</v>
      </c>
      <c r="V13" s="33" t="n">
        <v>-0.08865050000000001</v>
      </c>
    </row>
    <row r="14" ht="16" customHeight="1">
      <c r="A14" s="31" t="n">
        <v>10</v>
      </c>
      <c r="B14" s="25" t="inlineStr">
        <is>
          <t>KN</t>
        </is>
      </c>
      <c r="C14" s="26" t="inlineStr">
        <is>
          <t>Knowles Corporation</t>
        </is>
      </c>
      <c r="D14" s="27" t="n">
        <v>3043.2</v>
      </c>
      <c r="E14" s="39" t="n">
        <v>35.75</v>
      </c>
      <c r="F14" s="40" t="n">
        <v>0.143</v>
      </c>
      <c r="G14" s="40" t="n">
        <v>0.064</v>
      </c>
      <c r="H14" s="40" t="n">
        <v>0.424</v>
      </c>
      <c r="I14" s="40" t="n">
        <v>-0.05599999999999999</v>
      </c>
      <c r="J14" s="40" t="n">
        <v>0.018</v>
      </c>
      <c r="K14" s="41" t="n">
        <v>61.2</v>
      </c>
      <c r="L14" s="41" t="n">
        <v>70.2</v>
      </c>
      <c r="M14" s="42" t="n">
        <v>68.2</v>
      </c>
      <c r="N14" s="22" t="n">
        <v>67</v>
      </c>
      <c r="O14" s="43" t="inlineStr">
        <is>
          <t>—</t>
        </is>
      </c>
      <c r="P14" s="38" t="n">
        <v>43.4</v>
      </c>
      <c r="Q14" s="23" t="inlineStr">
        <is>
          <t>Medium</t>
        </is>
      </c>
      <c r="R14" s="40" t="n">
        <v>-0.0852098</v>
      </c>
      <c r="S14" s="40" t="n">
        <v>-0.0646259</v>
      </c>
      <c r="T14" s="40" t="n">
        <v>0.4397906</v>
      </c>
      <c r="U14" s="40" t="n">
        <v>0.6682220999999999</v>
      </c>
      <c r="V14" s="40" t="n">
        <v>0.6705607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CALX</t>
        </is>
      </c>
      <c r="B19" s="34" t="n">
        <v>42.6</v>
      </c>
      <c r="C19" s="34" t="n">
        <v>100</v>
      </c>
      <c r="D19" s="34" t="n">
        <v>100</v>
      </c>
      <c r="E19" s="34" t="n">
        <v>95</v>
      </c>
      <c r="F19" s="34" t="n">
        <v>48</v>
      </c>
    </row>
    <row r="20" ht="16" customHeight="1">
      <c r="A20" s="25" t="inlineStr">
        <is>
          <t>ADEA</t>
        </is>
      </c>
      <c r="B20" s="41" t="n">
        <v>24.2</v>
      </c>
      <c r="C20" s="41" t="n">
        <v>66</v>
      </c>
      <c r="D20" s="41" t="n">
        <v>100</v>
      </c>
      <c r="E20" s="41" t="n">
        <v>24</v>
      </c>
      <c r="F20" s="41" t="n">
        <v>84.7</v>
      </c>
    </row>
    <row r="21" ht="16" customHeight="1">
      <c r="A21" s="19" t="inlineStr">
        <is>
          <t>DCI</t>
        </is>
      </c>
      <c r="B21" s="34" t="n">
        <v>16</v>
      </c>
      <c r="C21" s="34" t="n">
        <v>90.8</v>
      </c>
      <c r="D21" s="34" t="n">
        <v>100</v>
      </c>
      <c r="E21" s="34" t="n">
        <v>7</v>
      </c>
      <c r="F21" s="34" t="n">
        <v>58</v>
      </c>
    </row>
    <row r="22" ht="16" customHeight="1">
      <c r="A22" s="25" t="inlineStr">
        <is>
          <t>CACI</t>
        </is>
      </c>
      <c r="B22" s="41" t="n">
        <v>35.2</v>
      </c>
      <c r="C22" s="41" t="n">
        <v>84.2</v>
      </c>
      <c r="D22" s="41" t="n">
        <v>100</v>
      </c>
      <c r="E22" s="41" t="n">
        <v>11</v>
      </c>
      <c r="F22" s="41" t="n">
        <v>61.5</v>
      </c>
    </row>
    <row r="23" ht="16" customHeight="1">
      <c r="A23" s="19" t="inlineStr">
        <is>
          <t>BRC</t>
        </is>
      </c>
      <c r="B23" s="34" t="n">
        <v>20</v>
      </c>
      <c r="C23" s="34" t="n">
        <v>100</v>
      </c>
      <c r="D23" s="34" t="n">
        <v>100</v>
      </c>
      <c r="E23" s="34" t="n">
        <v>100</v>
      </c>
      <c r="F23" s="34" t="n">
        <v>35.8</v>
      </c>
    </row>
    <row r="24" ht="16" customHeight="1">
      <c r="A24" s="25" t="inlineStr">
        <is>
          <t>MRCY</t>
        </is>
      </c>
      <c r="B24" s="41" t="n">
        <v>12.2</v>
      </c>
      <c r="C24" s="41" t="n">
        <v>68.2</v>
      </c>
      <c r="D24" s="41" t="n">
        <v>100</v>
      </c>
      <c r="E24" s="41" t="n">
        <v>75</v>
      </c>
      <c r="F24" s="41" t="n">
        <v>40.5</v>
      </c>
    </row>
    <row r="25" ht="16" customHeight="1">
      <c r="A25" s="19" t="inlineStr">
        <is>
          <t>CE</t>
        </is>
      </c>
      <c r="B25" s="34" t="n">
        <v>17.4</v>
      </c>
      <c r="C25" s="34" t="n">
        <v>56.2</v>
      </c>
      <c r="D25" s="34" t="n">
        <v>100</v>
      </c>
      <c r="E25" s="34" t="n">
        <v>69</v>
      </c>
      <c r="F25" s="34" t="n">
        <v>83</v>
      </c>
    </row>
    <row r="26" ht="16" customHeight="1">
      <c r="A26" s="25" t="inlineStr">
        <is>
          <t>RUN</t>
        </is>
      </c>
      <c r="B26" s="41" t="n">
        <v>100</v>
      </c>
      <c r="C26" s="41" t="n">
        <v>94.3</v>
      </c>
      <c r="D26" s="41" t="n">
        <v>80</v>
      </c>
      <c r="E26" s="41" t="n">
        <v>35</v>
      </c>
      <c r="F26" s="41" t="n">
        <v>100</v>
      </c>
    </row>
    <row r="27" ht="16" customHeight="1">
      <c r="A27" s="19" t="inlineStr">
        <is>
          <t>LYFT</t>
        </is>
      </c>
      <c r="B27" s="34" t="n">
        <v>32.2</v>
      </c>
      <c r="C27" s="34" t="n">
        <v>100</v>
      </c>
      <c r="D27" s="34" t="n">
        <v>100</v>
      </c>
      <c r="E27" s="34" t="n">
        <v>100</v>
      </c>
      <c r="F27" s="34" t="n">
        <v>63.7</v>
      </c>
    </row>
    <row r="28" ht="16" customHeight="1">
      <c r="A28" s="25" t="inlineStr">
        <is>
          <t>KN</t>
        </is>
      </c>
      <c r="B28" s="41" t="n">
        <v>28.6</v>
      </c>
      <c r="C28" s="41" t="n">
        <v>100</v>
      </c>
      <c r="D28" s="41" t="n">
        <v>100</v>
      </c>
      <c r="E28" s="41" t="n">
        <v>18</v>
      </c>
      <c r="F28" s="41" t="n">
        <v>66</v>
      </c>
    </row>
    <row r="60">
      <c r="A60" t="inlineStr">
        <is>
          <t>Ticker</t>
        </is>
      </c>
      <c r="B60" t="inlineStr">
        <is>
          <t>Gross Margin</t>
        </is>
      </c>
      <c r="C60" t="inlineStr">
        <is>
          <t>Rev Growth</t>
        </is>
      </c>
      <c r="D60" t="inlineStr">
        <is>
          <t>Mkt Cap</t>
        </is>
      </c>
    </row>
    <row r="61">
      <c r="A61" t="inlineStr">
        <is>
          <t>CALX</t>
        </is>
      </c>
      <c r="B61" t="n">
        <v>54.6</v>
      </c>
      <c r="C61" t="n">
        <v>21.3</v>
      </c>
      <c r="D61" t="n">
        <v>2219.5</v>
      </c>
    </row>
    <row r="62">
      <c r="A62" t="inlineStr">
        <is>
          <t>ADEA</t>
        </is>
      </c>
      <c r="B62" t="n">
        <v>26.4</v>
      </c>
      <c r="C62" t="n">
        <v>12.1</v>
      </c>
      <c r="D62" t="n">
        <v>2998.6</v>
      </c>
    </row>
    <row r="63">
      <c r="A63" t="inlineStr">
        <is>
          <t>DCI</t>
        </is>
      </c>
      <c r="B63" t="n">
        <v>36.3</v>
      </c>
      <c r="C63" t="n">
        <v>8</v>
      </c>
      <c r="D63" t="n">
        <v>10618.6</v>
      </c>
    </row>
    <row r="64">
      <c r="A64" t="inlineStr">
        <is>
          <t>CACI</t>
        </is>
      </c>
      <c r="B64" t="n">
        <v>33.7</v>
      </c>
      <c r="C64" t="n">
        <v>17.6</v>
      </c>
      <c r="D64" t="n">
        <v>13629.7</v>
      </c>
    </row>
    <row r="65">
      <c r="A65" t="inlineStr">
        <is>
          <t>BRC</t>
        </is>
      </c>
      <c r="B65" t="n">
        <v>52.9</v>
      </c>
      <c r="C65" t="n">
        <v>10</v>
      </c>
      <c r="D65" t="n">
        <v>4139.7</v>
      </c>
    </row>
    <row r="66">
      <c r="A66" t="inlineStr">
        <is>
          <t>MRCY</t>
        </is>
      </c>
      <c r="B66" t="n">
        <v>27.3</v>
      </c>
      <c r="C66" t="n">
        <v>6.1</v>
      </c>
      <c r="D66" t="n">
        <v>5093.4</v>
      </c>
    </row>
    <row r="67">
      <c r="A67" t="inlineStr">
        <is>
          <t>CE</t>
        </is>
      </c>
      <c r="B67" t="n">
        <v>22.5</v>
      </c>
      <c r="C67" t="n">
        <v>8.699999999999999</v>
      </c>
      <c r="D67" t="n">
        <v>4874</v>
      </c>
    </row>
    <row r="68">
      <c r="A68" t="inlineStr">
        <is>
          <t>RUN</t>
        </is>
      </c>
      <c r="B68" t="n">
        <v>37.7</v>
      </c>
      <c r="C68" t="n">
        <v>52.8</v>
      </c>
      <c r="D68" t="n">
        <v>2188.7</v>
      </c>
    </row>
    <row r="69">
      <c r="A69" t="inlineStr">
        <is>
          <t>LYFT</t>
        </is>
      </c>
      <c r="B69" t="n">
        <v>49.7</v>
      </c>
      <c r="C69" t="n">
        <v>16.1</v>
      </c>
      <c r="D69" t="n">
        <v>6122.4</v>
      </c>
    </row>
    <row r="70">
      <c r="A70" t="inlineStr">
        <is>
          <t>KN</t>
        </is>
      </c>
      <c r="B70" t="n">
        <v>42.4</v>
      </c>
      <c r="C70" t="n">
        <v>14.3</v>
      </c>
      <c r="D70" t="n">
        <v>3043.2</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Vital Link ($15B–$100B)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CW</t>
        </is>
      </c>
      <c r="C5" s="20" t="inlineStr">
        <is>
          <t>Curtiss-Wright Corporation</t>
        </is>
      </c>
      <c r="D5" s="21" t="n">
        <v>21288.3</v>
      </c>
      <c r="E5" s="32" t="n">
        <v>577.02</v>
      </c>
      <c r="F5" s="33" t="n">
        <v>0.05400000000000001</v>
      </c>
      <c r="G5" s="33" t="n">
        <v>-0.063</v>
      </c>
      <c r="H5" s="33" t="n">
        <v>0.394</v>
      </c>
      <c r="I5" s="33" t="n">
        <v>-0.035</v>
      </c>
      <c r="J5" s="33" t="n">
        <v>0.005</v>
      </c>
      <c r="K5" s="34" t="n">
        <v>48.8</v>
      </c>
      <c r="L5" s="34" t="n">
        <v>83.3</v>
      </c>
      <c r="M5" s="35" t="n">
        <v>75.3</v>
      </c>
      <c r="N5" s="22" t="n">
        <v>51.2</v>
      </c>
      <c r="O5" s="37" t="inlineStr">
        <is>
          <t>—</t>
        </is>
      </c>
      <c r="P5" s="44" t="n">
        <v>22.4</v>
      </c>
      <c r="Q5" s="24" t="inlineStr">
        <is>
          <t>Medium-High</t>
        </is>
      </c>
      <c r="R5" s="33" t="n">
        <v>-0.1655773</v>
      </c>
      <c r="S5" s="33" t="n">
        <v>-0.200061</v>
      </c>
      <c r="T5" s="33" t="n">
        <v>-0.1535449</v>
      </c>
      <c r="U5" s="33" t="n">
        <v>0.0467103</v>
      </c>
      <c r="V5" s="33" t="n">
        <v>0.1916238</v>
      </c>
    </row>
    <row r="6" ht="16" customHeight="1">
      <c r="A6" s="31" t="n">
        <v>2</v>
      </c>
      <c r="B6" s="25" t="inlineStr">
        <is>
          <t>ON</t>
        </is>
      </c>
      <c r="C6" s="26" t="inlineStr">
        <is>
          <t>ON Semiconductor Corporation</t>
        </is>
      </c>
      <c r="D6" s="27" t="n">
        <v>28326.3</v>
      </c>
      <c r="E6" s="39" t="n">
        <v>72.72</v>
      </c>
      <c r="F6" s="40" t="n">
        <v>0.092</v>
      </c>
      <c r="G6" s="40" t="n">
        <v>0.246</v>
      </c>
      <c r="H6" s="40" t="n">
        <v>0.384</v>
      </c>
      <c r="I6" s="40" t="n">
        <v>-0.095</v>
      </c>
      <c r="J6" s="40" t="n">
        <v>0.004</v>
      </c>
      <c r="K6" s="41" t="n">
        <v>60.3</v>
      </c>
      <c r="L6" s="41" t="n">
        <v>83.3</v>
      </c>
      <c r="M6" s="42" t="n">
        <v>74.5</v>
      </c>
      <c r="N6" s="41" t="n">
        <v>48.2</v>
      </c>
      <c r="O6" s="43" t="inlineStr">
        <is>
          <t>—</t>
        </is>
      </c>
      <c r="P6" s="44" t="n">
        <v>37.8</v>
      </c>
      <c r="Q6" s="23" t="inlineStr">
        <is>
          <t>Medium</t>
        </is>
      </c>
      <c r="R6" s="40" t="n">
        <v>-0.1041025</v>
      </c>
      <c r="S6" s="40" t="n">
        <v>-0.3985112</v>
      </c>
      <c r="T6" s="40" t="n">
        <v>0.2787058</v>
      </c>
      <c r="U6" s="40" t="n">
        <v>0.3429363</v>
      </c>
      <c r="V6" s="40" t="n">
        <v>0.487725</v>
      </c>
    </row>
    <row r="7" ht="16" customHeight="1">
      <c r="A7" s="31" t="n">
        <v>3</v>
      </c>
      <c r="B7" s="19" t="inlineStr">
        <is>
          <t>TDY</t>
        </is>
      </c>
      <c r="C7" s="20" t="inlineStr">
        <is>
          <t>Teledyne Technologies Incorporated</t>
        </is>
      </c>
      <c r="D7" s="21" t="n">
        <v>28081.3</v>
      </c>
      <c r="E7" s="32" t="n">
        <v>605.9</v>
      </c>
      <c r="F7" s="33" t="n">
        <v>0.098</v>
      </c>
      <c r="G7" s="33" t="n">
        <v>-0.004</v>
      </c>
      <c r="H7" s="33" t="n">
        <v>0.444</v>
      </c>
      <c r="I7" s="33" t="n">
        <v>-0.004</v>
      </c>
      <c r="J7" s="33" t="n">
        <v>0.009000000000000001</v>
      </c>
      <c r="K7" s="34" t="n">
        <v>54.6</v>
      </c>
      <c r="L7" s="34" t="n">
        <v>77.7</v>
      </c>
      <c r="M7" s="35" t="n">
        <v>73.7</v>
      </c>
      <c r="N7" s="22" t="n">
        <v>61.6</v>
      </c>
      <c r="O7" s="37" t="inlineStr">
        <is>
          <t>—</t>
        </is>
      </c>
      <c r="P7" s="44" t="n">
        <v>31.5</v>
      </c>
      <c r="Q7" s="23" t="inlineStr">
        <is>
          <t>Medium</t>
        </is>
      </c>
      <c r="R7" s="33" t="n">
        <v>-0.1235354</v>
      </c>
      <c r="S7" s="33" t="n">
        <v>-0.0105817</v>
      </c>
      <c r="T7" s="33" t="n">
        <v>-0.0644494</v>
      </c>
      <c r="U7" s="33" t="n">
        <v>0.1863411</v>
      </c>
      <c r="V7" s="33" t="n">
        <v>0.1090976</v>
      </c>
    </row>
    <row r="8" ht="16" customHeight="1">
      <c r="A8" s="31" t="n">
        <v>4</v>
      </c>
      <c r="B8" s="25" t="inlineStr">
        <is>
          <t>PPG</t>
        </is>
      </c>
      <c r="C8" s="26" t="inlineStr">
        <is>
          <t>PPG Industries, Inc.</t>
        </is>
      </c>
      <c r="D8" s="27" t="n">
        <v>24524.1</v>
      </c>
      <c r="E8" s="39" t="n">
        <v>110.23</v>
      </c>
      <c r="F8" s="40" t="n">
        <v>0.07200000000000001</v>
      </c>
      <c r="G8" s="40" t="n">
        <v>0.081</v>
      </c>
      <c r="H8" s="40" t="n">
        <v>0.402</v>
      </c>
      <c r="I8" s="40" t="n">
        <v>-0.05599999999999999</v>
      </c>
      <c r="J8" s="40" t="n">
        <v>0.001</v>
      </c>
      <c r="K8" s="41" t="n">
        <v>55</v>
      </c>
      <c r="L8" s="41" t="n">
        <v>82.3</v>
      </c>
      <c r="M8" s="42" t="n">
        <v>73.40000000000001</v>
      </c>
      <c r="N8" s="41" t="n">
        <v>46.8</v>
      </c>
      <c r="O8" s="43" t="inlineStr">
        <is>
          <t>—</t>
        </is>
      </c>
      <c r="P8" s="44" t="n">
        <v>21.5</v>
      </c>
      <c r="Q8" s="23" t="inlineStr">
        <is>
          <t>Medium</t>
        </is>
      </c>
      <c r="R8" s="40" t="n">
        <v>-0.0792683</v>
      </c>
      <c r="S8" s="40" t="n">
        <v>-0.0234763</v>
      </c>
      <c r="T8" s="40" t="n">
        <v>0.0330834</v>
      </c>
      <c r="U8" s="40" t="n">
        <v>0.0758345</v>
      </c>
      <c r="V8" s="40" t="n">
        <v>-0.0116561</v>
      </c>
    </row>
    <row r="9" ht="16" customHeight="1">
      <c r="A9" s="31" t="n">
        <v>5</v>
      </c>
      <c r="B9" s="19" t="inlineStr">
        <is>
          <t>HUBB</t>
        </is>
      </c>
      <c r="C9" s="20" t="inlineStr">
        <is>
          <t>Hubbell Incorporated</t>
        </is>
      </c>
      <c r="D9" s="21" t="n">
        <v>24552.9</v>
      </c>
      <c r="E9" s="32" t="n">
        <v>464.73001</v>
      </c>
      <c r="F9" s="33" t="n">
        <v>0.153</v>
      </c>
      <c r="G9" s="33" t="n">
        <v>0.131</v>
      </c>
      <c r="H9" s="33" t="n">
        <v>0.358</v>
      </c>
      <c r="I9" s="33" t="n">
        <v>-0.008</v>
      </c>
      <c r="J9" s="33" t="n">
        <v>0.004</v>
      </c>
      <c r="K9" s="34" t="n">
        <v>60.1</v>
      </c>
      <c r="L9" s="34" t="n">
        <v>83.09999999999999</v>
      </c>
      <c r="M9" s="35" t="n">
        <v>73.2</v>
      </c>
      <c r="N9" s="34" t="n">
        <v>43.5</v>
      </c>
      <c r="O9" s="37" t="inlineStr">
        <is>
          <t>—</t>
        </is>
      </c>
      <c r="P9" s="44" t="n">
        <v>19.9</v>
      </c>
      <c r="Q9" s="23" t="inlineStr">
        <is>
          <t>Medium</t>
        </is>
      </c>
      <c r="R9" s="33" t="n">
        <v>-0.0958384</v>
      </c>
      <c r="S9" s="33" t="n">
        <v>-0.0418531</v>
      </c>
      <c r="T9" s="33" t="n">
        <v>-0.014442</v>
      </c>
      <c r="U9" s="33" t="n">
        <v>0.04643</v>
      </c>
      <c r="V9" s="33" t="n">
        <v>0.0643809</v>
      </c>
    </row>
    <row r="10" ht="16" customHeight="1">
      <c r="A10" s="31" t="n">
        <v>6</v>
      </c>
      <c r="B10" s="25" t="inlineStr">
        <is>
          <t>HON</t>
        </is>
      </c>
      <c r="C10" s="26" t="inlineStr">
        <is>
          <t>Honeywell International Inc.</t>
        </is>
      </c>
      <c r="D10" s="27" t="n">
        <v>66113.7</v>
      </c>
      <c r="E10" s="39" t="n">
        <v>208.6019</v>
      </c>
      <c r="F10" s="40" t="n">
        <v>-0.061</v>
      </c>
      <c r="G10" s="40" t="n">
        <v>-0.142</v>
      </c>
      <c r="H10" s="40" t="n">
        <v>0.376</v>
      </c>
      <c r="I10" s="40" t="n">
        <v>-0.042</v>
      </c>
      <c r="J10" s="40" t="n">
        <v>0.052</v>
      </c>
      <c r="K10" s="41" t="n">
        <v>57.4</v>
      </c>
      <c r="L10" s="41" t="n">
        <v>79.59999999999999</v>
      </c>
      <c r="M10" s="42" t="n">
        <v>72.40000000000001</v>
      </c>
      <c r="N10" s="22" t="n">
        <v>50.9</v>
      </c>
      <c r="O10" s="43" t="inlineStr">
        <is>
          <t>—</t>
        </is>
      </c>
      <c r="P10" s="44" t="n">
        <v>9.300000000000001</v>
      </c>
      <c r="Q10" s="23" t="inlineStr">
        <is>
          <t>Medium</t>
        </is>
      </c>
      <c r="R10" s="40" t="n">
        <v>-0.1527481</v>
      </c>
      <c r="S10" s="40" t="n">
        <v>-0.0150996</v>
      </c>
      <c r="T10" s="40" t="n">
        <v>-0.1134264</v>
      </c>
      <c r="U10" s="40" t="n">
        <v>0.0692598</v>
      </c>
      <c r="V10" s="40" t="n">
        <v>-0.0286291</v>
      </c>
    </row>
    <row r="11" ht="16" customHeight="1">
      <c r="A11" s="31" t="n">
        <v>7</v>
      </c>
      <c r="B11" s="19" t="inlineStr">
        <is>
          <t>LHX</t>
        </is>
      </c>
      <c r="C11" s="20" t="inlineStr">
        <is>
          <t>L3Harris Technologies, Inc.</t>
        </is>
      </c>
      <c r="D11" s="21" t="n">
        <v>47419</v>
      </c>
      <c r="E11" s="32" t="n">
        <v>254.8699</v>
      </c>
      <c r="F11" s="33" t="n">
        <v>0.08400000000000001</v>
      </c>
      <c r="G11" s="33" t="n">
        <v>0.06</v>
      </c>
      <c r="H11" s="33" t="n">
        <v>0.255</v>
      </c>
      <c r="I11" s="33" t="n">
        <v>-0.013</v>
      </c>
      <c r="J11" s="33" t="n">
        <v>0.004</v>
      </c>
      <c r="K11" s="34" t="n">
        <v>48.1</v>
      </c>
      <c r="L11" s="34" t="n">
        <v>76.09999999999999</v>
      </c>
      <c r="M11" s="35" t="n">
        <v>71.2</v>
      </c>
      <c r="N11" s="22" t="n">
        <v>56.4</v>
      </c>
      <c r="O11" s="37" t="inlineStr">
        <is>
          <t>—</t>
        </is>
      </c>
      <c r="P11" s="44" t="n">
        <v>0.7</v>
      </c>
      <c r="Q11" s="23" t="inlineStr">
        <is>
          <t>Medium</t>
        </is>
      </c>
      <c r="R11" s="33" t="n">
        <v>-0.1109293</v>
      </c>
      <c r="S11" s="33" t="n">
        <v>-0.1563393</v>
      </c>
      <c r="T11" s="33" t="n">
        <v>-0.3047928</v>
      </c>
      <c r="U11" s="33" t="n">
        <v>-0.1318258</v>
      </c>
      <c r="V11" s="33" t="n">
        <v>-0.0694443</v>
      </c>
    </row>
    <row r="12" ht="16" customHeight="1">
      <c r="A12" s="31" t="n">
        <v>8</v>
      </c>
      <c r="B12" s="25" t="inlineStr">
        <is>
          <t>FTAI</t>
        </is>
      </c>
      <c r="C12" s="26" t="inlineStr">
        <is>
          <t>FTAI Aviation Ltd.</t>
        </is>
      </c>
      <c r="D12" s="27" t="n">
        <v>20414</v>
      </c>
      <c r="E12" s="39" t="n">
        <v>198.9917</v>
      </c>
      <c r="F12" s="40" t="n">
        <v>0.409</v>
      </c>
      <c r="G12" s="40" t="n">
        <v>-0.103</v>
      </c>
      <c r="H12" s="40" t="n">
        <v>0.333</v>
      </c>
      <c r="I12" s="40" t="n">
        <v>0.027</v>
      </c>
      <c r="J12" s="40" t="n">
        <v>0.011</v>
      </c>
      <c r="K12" s="41" t="n">
        <v>66.5</v>
      </c>
      <c r="L12" s="41" t="n">
        <v>77.59999999999999</v>
      </c>
      <c r="M12" s="42" t="n">
        <v>71.2</v>
      </c>
      <c r="N12" s="22" t="n">
        <v>52.2</v>
      </c>
      <c r="O12" s="43" t="inlineStr">
        <is>
          <t>—</t>
        </is>
      </c>
      <c r="P12" s="44" t="n">
        <v>26.6</v>
      </c>
      <c r="Q12" s="23" t="inlineStr">
        <is>
          <t>Medium</t>
        </is>
      </c>
      <c r="R12" s="40" t="n">
        <v>-0.0788476</v>
      </c>
      <c r="S12" s="40" t="n">
        <v>-0.1356852</v>
      </c>
      <c r="T12" s="40" t="n">
        <v>-0.2349145</v>
      </c>
      <c r="U12" s="40" t="n">
        <v>0.0118872</v>
      </c>
      <c r="V12" s="40" t="n">
        <v>0.1969114</v>
      </c>
    </row>
    <row r="13" ht="16" customHeight="1">
      <c r="A13" s="31" t="n">
        <v>9</v>
      </c>
      <c r="B13" s="19" t="inlineStr">
        <is>
          <t>GEHC</t>
        </is>
      </c>
      <c r="C13" s="20" t="inlineStr">
        <is>
          <t>GE HealthCare Technologies Inc.</t>
        </is>
      </c>
      <c r="D13" s="21" t="n">
        <v>30486.6</v>
      </c>
      <c r="E13" s="32" t="n">
        <v>67.425</v>
      </c>
      <c r="F13" s="33" t="n">
        <v>0.058</v>
      </c>
      <c r="G13" s="33" t="n">
        <v>0.023</v>
      </c>
      <c r="H13" s="33" t="n">
        <v>0.412</v>
      </c>
      <c r="I13" s="33" t="n">
        <v>-0.004</v>
      </c>
      <c r="J13" s="33" t="n">
        <v>0.003</v>
      </c>
      <c r="K13" s="34" t="n">
        <v>52.3</v>
      </c>
      <c r="L13" s="34" t="n">
        <v>81.40000000000001</v>
      </c>
      <c r="M13" s="35" t="n">
        <v>71.2</v>
      </c>
      <c r="N13" s="34" t="n">
        <v>40.7</v>
      </c>
      <c r="O13" s="37" t="inlineStr">
        <is>
          <t>—</t>
        </is>
      </c>
      <c r="P13" s="44" t="n">
        <v>13.1</v>
      </c>
      <c r="Q13" s="23" t="inlineStr">
        <is>
          <t>Medium</t>
        </is>
      </c>
      <c r="R13" s="33" t="n">
        <v>-0.0605406</v>
      </c>
      <c r="S13" s="33" t="n">
        <v>0.0426009</v>
      </c>
      <c r="T13" s="33" t="n">
        <v>-0.0921637</v>
      </c>
      <c r="U13" s="33" t="n">
        <v>-0.1779444</v>
      </c>
      <c r="V13" s="33" t="n">
        <v>-0.1373465</v>
      </c>
    </row>
    <row r="14" ht="16" customHeight="1">
      <c r="A14" s="31" t="n">
        <v>10</v>
      </c>
      <c r="B14" s="25" t="inlineStr">
        <is>
          <t>AME</t>
        </is>
      </c>
      <c r="C14" s="26" t="inlineStr">
        <is>
          <t>AMETEK, Inc.</t>
        </is>
      </c>
      <c r="D14" s="27" t="n">
        <v>54888.4</v>
      </c>
      <c r="E14" s="39" t="n">
        <v>239.58501</v>
      </c>
      <c r="F14" s="40" t="n">
        <v>0.15</v>
      </c>
      <c r="G14" s="40" t="n">
        <v>0.125</v>
      </c>
      <c r="H14" s="40" t="n">
        <v>0.36</v>
      </c>
      <c r="I14" s="40" t="n">
        <v>-0.006999999999999999</v>
      </c>
      <c r="J14" s="40" t="n">
        <v>0.004</v>
      </c>
      <c r="K14" s="41" t="n">
        <v>59.8</v>
      </c>
      <c r="L14" s="41" t="n">
        <v>77.09999999999999</v>
      </c>
      <c r="M14" s="42" t="n">
        <v>70.40000000000001</v>
      </c>
      <c r="N14" s="22" t="n">
        <v>54.7</v>
      </c>
      <c r="O14" s="43" t="inlineStr">
        <is>
          <t>—</t>
        </is>
      </c>
      <c r="P14" s="38" t="n">
        <v>43.1</v>
      </c>
      <c r="Q14" s="23" t="inlineStr">
        <is>
          <t>Medium</t>
        </is>
      </c>
      <c r="R14" s="40" t="n">
        <v>-0.0554876</v>
      </c>
      <c r="S14" s="40" t="n">
        <v>0.0603453</v>
      </c>
      <c r="T14" s="40" t="n">
        <v>0.079309</v>
      </c>
      <c r="U14" s="40" t="n">
        <v>0.1669427</v>
      </c>
      <c r="V14" s="40" t="n">
        <v>0.2698628</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CW</t>
        </is>
      </c>
      <c r="B19" s="34" t="n">
        <v>10.8</v>
      </c>
      <c r="C19" s="34" t="n">
        <v>98.5</v>
      </c>
      <c r="D19" s="34" t="n">
        <v>100</v>
      </c>
      <c r="E19" s="34" t="n">
        <v>5</v>
      </c>
      <c r="F19" s="34" t="n">
        <v>34.2</v>
      </c>
    </row>
    <row r="20" ht="16" customHeight="1">
      <c r="A20" s="25" t="inlineStr">
        <is>
          <t>ON</t>
        </is>
      </c>
      <c r="B20" s="41" t="n">
        <v>18.4</v>
      </c>
      <c r="C20" s="41" t="n">
        <v>96</v>
      </c>
      <c r="D20" s="41" t="n">
        <v>100</v>
      </c>
      <c r="E20" s="41" t="n">
        <v>4</v>
      </c>
      <c r="F20" s="41" t="n">
        <v>100</v>
      </c>
    </row>
    <row r="21" ht="16" customHeight="1">
      <c r="A21" s="19" t="inlineStr">
        <is>
          <t>TDY</t>
        </is>
      </c>
      <c r="B21" s="34" t="n">
        <v>19.6</v>
      </c>
      <c r="C21" s="34" t="n">
        <v>100</v>
      </c>
      <c r="D21" s="34" t="n">
        <v>100</v>
      </c>
      <c r="E21" s="34" t="n">
        <v>9</v>
      </c>
      <c r="F21" s="34" t="n">
        <v>49</v>
      </c>
    </row>
    <row r="22" ht="16" customHeight="1">
      <c r="A22" s="25" t="inlineStr">
        <is>
          <t>PPG</t>
        </is>
      </c>
      <c r="B22" s="41" t="n">
        <v>14.4</v>
      </c>
      <c r="C22" s="41" t="n">
        <v>100</v>
      </c>
      <c r="D22" s="41" t="n">
        <v>100</v>
      </c>
      <c r="E22" s="41" t="n">
        <v>1</v>
      </c>
      <c r="F22" s="41" t="n">
        <v>70.2</v>
      </c>
    </row>
    <row r="23" ht="16" customHeight="1">
      <c r="A23" s="19" t="inlineStr">
        <is>
          <t>HUBB</t>
        </is>
      </c>
      <c r="B23" s="34" t="n">
        <v>30.6</v>
      </c>
      <c r="C23" s="34" t="n">
        <v>89.5</v>
      </c>
      <c r="D23" s="34" t="n">
        <v>100</v>
      </c>
      <c r="E23" s="34" t="n">
        <v>4</v>
      </c>
      <c r="F23" s="34" t="n">
        <v>82.8</v>
      </c>
    </row>
    <row r="24" ht="16" customHeight="1">
      <c r="A24" s="25" t="inlineStr">
        <is>
          <t>HON</t>
        </is>
      </c>
      <c r="B24" s="41" t="n">
        <v>0</v>
      </c>
      <c r="C24" s="41" t="n">
        <v>94</v>
      </c>
      <c r="D24" s="41" t="n">
        <v>100</v>
      </c>
      <c r="E24" s="41" t="n">
        <v>52</v>
      </c>
      <c r="F24" s="41" t="n">
        <v>14.5</v>
      </c>
    </row>
    <row r="25" ht="16" customHeight="1">
      <c r="A25" s="19" t="inlineStr">
        <is>
          <t>LHX</t>
        </is>
      </c>
      <c r="B25" s="34" t="n">
        <v>16.8</v>
      </c>
      <c r="C25" s="34" t="n">
        <v>63.7</v>
      </c>
      <c r="D25" s="34" t="n">
        <v>100</v>
      </c>
      <c r="E25" s="34" t="n">
        <v>4</v>
      </c>
      <c r="F25" s="34" t="n">
        <v>65</v>
      </c>
    </row>
    <row r="26" ht="16" customHeight="1">
      <c r="A26" s="25" t="inlineStr">
        <is>
          <t>FTAI</t>
        </is>
      </c>
      <c r="B26" s="41" t="n">
        <v>81.8</v>
      </c>
      <c r="C26" s="41" t="n">
        <v>83.2</v>
      </c>
      <c r="D26" s="41" t="n">
        <v>100</v>
      </c>
      <c r="E26" s="41" t="n">
        <v>11</v>
      </c>
      <c r="F26" s="41" t="n">
        <v>24.2</v>
      </c>
    </row>
    <row r="27" ht="16" customHeight="1">
      <c r="A27" s="19" t="inlineStr">
        <is>
          <t>GEHC</t>
        </is>
      </c>
      <c r="B27" s="34" t="n">
        <v>11.6</v>
      </c>
      <c r="C27" s="34" t="n">
        <v>100</v>
      </c>
      <c r="D27" s="34" t="n">
        <v>100</v>
      </c>
      <c r="E27" s="34" t="n">
        <v>3</v>
      </c>
      <c r="F27" s="34" t="n">
        <v>55.8</v>
      </c>
    </row>
    <row r="28" ht="16" customHeight="1">
      <c r="A28" s="25" t="inlineStr">
        <is>
          <t>AME</t>
        </is>
      </c>
      <c r="B28" s="41" t="n">
        <v>30</v>
      </c>
      <c r="C28" s="41" t="n">
        <v>90</v>
      </c>
      <c r="D28" s="41" t="n">
        <v>100</v>
      </c>
      <c r="E28" s="41" t="n">
        <v>4</v>
      </c>
      <c r="F28" s="41" t="n">
        <v>81.2</v>
      </c>
    </row>
    <row r="60">
      <c r="A60" t="inlineStr">
        <is>
          <t>Ticker</t>
        </is>
      </c>
      <c r="B60" t="inlineStr">
        <is>
          <t>Gross Margin</t>
        </is>
      </c>
      <c r="C60" t="inlineStr">
        <is>
          <t>Rev Growth</t>
        </is>
      </c>
      <c r="D60" t="inlineStr">
        <is>
          <t>Mkt Cap</t>
        </is>
      </c>
    </row>
    <row r="61">
      <c r="A61" t="inlineStr">
        <is>
          <t>CW</t>
        </is>
      </c>
      <c r="B61" t="n">
        <v>39.4</v>
      </c>
      <c r="C61" t="n">
        <v>5.4</v>
      </c>
      <c r="D61" t="n">
        <v>21288.3</v>
      </c>
    </row>
    <row r="62">
      <c r="A62" t="inlineStr">
        <is>
          <t>ON</t>
        </is>
      </c>
      <c r="B62" t="n">
        <v>38.4</v>
      </c>
      <c r="C62" t="n">
        <v>9.199999999999999</v>
      </c>
      <c r="D62" t="n">
        <v>28326.3</v>
      </c>
    </row>
    <row r="63">
      <c r="A63" t="inlineStr">
        <is>
          <t>TDY</t>
        </is>
      </c>
      <c r="B63" t="n">
        <v>44.4</v>
      </c>
      <c r="C63" t="n">
        <v>9.800000000000001</v>
      </c>
      <c r="D63" t="n">
        <v>28081.3</v>
      </c>
    </row>
    <row r="64">
      <c r="A64" t="inlineStr">
        <is>
          <t>PPG</t>
        </is>
      </c>
      <c r="B64" t="n">
        <v>40.2</v>
      </c>
      <c r="C64" t="n">
        <v>7.2</v>
      </c>
      <c r="D64" t="n">
        <v>24524.1</v>
      </c>
    </row>
    <row r="65">
      <c r="A65" t="inlineStr">
        <is>
          <t>HUBB</t>
        </is>
      </c>
      <c r="B65" t="n">
        <v>35.8</v>
      </c>
      <c r="C65" t="n">
        <v>15.3</v>
      </c>
      <c r="D65" t="n">
        <v>24552.9</v>
      </c>
    </row>
    <row r="66">
      <c r="A66" t="inlineStr">
        <is>
          <t>HON</t>
        </is>
      </c>
      <c r="B66" t="n">
        <v>37.6</v>
      </c>
      <c r="C66" t="n">
        <v>-6.1</v>
      </c>
      <c r="D66" t="n">
        <v>66113.7</v>
      </c>
    </row>
    <row r="67">
      <c r="A67" t="inlineStr">
        <is>
          <t>LHX</t>
        </is>
      </c>
      <c r="B67" t="n">
        <v>25.5</v>
      </c>
      <c r="C67" t="n">
        <v>8.4</v>
      </c>
      <c r="D67" t="n">
        <v>47419</v>
      </c>
    </row>
    <row r="68">
      <c r="A68" t="inlineStr">
        <is>
          <t>FTAI</t>
        </is>
      </c>
      <c r="B68" t="n">
        <v>33.3</v>
      </c>
      <c r="C68" t="n">
        <v>40.9</v>
      </c>
      <c r="D68" t="n">
        <v>20414</v>
      </c>
    </row>
    <row r="69">
      <c r="A69" t="inlineStr">
        <is>
          <t>GEHC</t>
        </is>
      </c>
      <c r="B69" t="n">
        <v>41.2</v>
      </c>
      <c r="C69" t="n">
        <v>5.8</v>
      </c>
      <c r="D69" t="n">
        <v>30486.6</v>
      </c>
    </row>
    <row r="70">
      <c r="A70" t="inlineStr">
        <is>
          <t>AME</t>
        </is>
      </c>
      <c r="B70" t="n">
        <v>36</v>
      </c>
      <c r="C70" t="n">
        <v>15</v>
      </c>
      <c r="D70" t="n">
        <v>54888.4</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2E3B4E"/>
    <outlinePr summaryBelow="1" summaryRight="1"/>
    <pageSetUpPr fitToPage="1"/>
  </sheetPr>
  <dimension ref="A1:F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29" t="inlineStr">
        <is>
          <t>Company Descriptions &amp; Profiles</t>
        </is>
      </c>
      <c r="B1" s="11" t="n"/>
      <c r="C1" s="11" t="n"/>
      <c r="D1" s="11" t="n"/>
      <c r="E1" s="11" t="n"/>
      <c r="F1" s="11" t="n"/>
    </row>
    <row r="2" ht="22" customHeight="1">
      <c r="A2" s="30"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SODI</t>
        </is>
      </c>
      <c r="B5" s="20" t="inlineStr">
        <is>
          <t>Solitron Devices, Inc.</t>
        </is>
      </c>
      <c r="C5" s="20" t="inlineStr">
        <is>
          <t>Technology</t>
        </is>
      </c>
      <c r="D5" s="46" t="inlineStr">
        <is>
          <t>Semiconductors</t>
        </is>
      </c>
      <c r="E5" s="47" t="inlineStr">
        <is>
          <t>Nano Cap</t>
        </is>
      </c>
      <c r="F5" s="48" t="inlineStr">
        <is>
          <t>Solitron Devices, Inc. creates, produces, and sells semiconductor components primarily for the defense and aerospace sectors. Their product range includes various transistors (bipolar, MOS, and field effect), power and control hybrids, diodes, and voltage regulators that meet military specifications. These electronic parts are vital components for military, commercial, and aerospace systems, including ground and airborne radar, power distribution networks, missiles, missile control systems, satellites, and other space applications. Furthermore, their offerings extend to non-military scientific and industrial uses. Established in 1959 and headquartered in West Palm Beach, Florida, the company maintains a global presence, serving customers across North America, Latin America, Asia, and the Middle East.</t>
        </is>
      </c>
    </row>
    <row r="6" ht="60" customHeight="1">
      <c r="A6" s="25" t="inlineStr">
        <is>
          <t>INTT</t>
        </is>
      </c>
      <c r="B6" s="26" t="inlineStr">
        <is>
          <t>inTEST Corporation</t>
        </is>
      </c>
      <c r="C6" s="26" t="inlineStr">
        <is>
          <t>Technology</t>
        </is>
      </c>
      <c r="D6" s="46" t="inlineStr">
        <is>
          <t>Semiconductors</t>
        </is>
      </c>
      <c r="E6" s="49" t="inlineStr">
        <is>
          <t>Nano Cap</t>
        </is>
      </c>
      <c r="F6" s="50"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7" ht="60" customHeight="1">
      <c r="A7" s="19" t="inlineStr">
        <is>
          <t>RELL</t>
        </is>
      </c>
      <c r="B7" s="20" t="inlineStr">
        <is>
          <t>Richardson Electronics, Ltd.</t>
        </is>
      </c>
      <c r="C7" s="20" t="inlineStr">
        <is>
          <t>Technology</t>
        </is>
      </c>
      <c r="D7" s="20" t="inlineStr">
        <is>
          <t>Hardware, Equipment &amp; Parts</t>
        </is>
      </c>
      <c r="E7" s="47" t="inlineStr">
        <is>
          <t>Nano Cap</t>
        </is>
      </c>
      <c r="F7" s="48" t="inlineStr">
        <is>
          <t>Richardson Electronics, Ltd. provides engineered solutions, power grid and microwave tube, and related consumables in North America, the Asia Pacific, Europe, and Latin America. The company’s Power and Microwave Technologies segment manufactures electron tubes and radio frequency (RF), microwave and power components used in semiconductor manufacturing equipment, RF, and wireless and industrial power applications, as well as various applications, including broadcast transmission, CO2 laser cutting, diagnostic imaging, dielectric and induction heating, energy transfer, high voltage switching, plasma, power conversion, radar, and radiation oncology. This segment also provides thyratrons and rectifiers, power tubes, ignitrons, magnetrons, phototubes, microwave generators, ultracapacitor modules, and liquid crystal display monitors under the Amperex, Cetron, and National brands. Its Green Energy Solutions segment operates as a designer, manufacturer, technology partner, and distributor of p</t>
        </is>
      </c>
    </row>
    <row r="8" ht="60" customHeight="1">
      <c r="A8" s="25" t="inlineStr">
        <is>
          <t>RFIL</t>
        </is>
      </c>
      <c r="B8" s="26" t="inlineStr">
        <is>
          <t>RF Industries, Ltd.</t>
        </is>
      </c>
      <c r="C8" s="26" t="inlineStr">
        <is>
          <t>Industrials</t>
        </is>
      </c>
      <c r="D8" s="26" t="inlineStr">
        <is>
          <t>Electrical Equipment &amp; Parts</t>
        </is>
      </c>
      <c r="E8" s="49" t="inlineStr">
        <is>
          <t>Nano Cap</t>
        </is>
      </c>
      <c r="F8" s="50"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LTRX</t>
        </is>
      </c>
      <c r="B9" s="20" t="inlineStr">
        <is>
          <t>Lantronix, Inc.</t>
        </is>
      </c>
      <c r="C9" s="20" t="inlineStr">
        <is>
          <t>Technology</t>
        </is>
      </c>
      <c r="D9" s="51" t="inlineStr">
        <is>
          <t>Communication Equipment</t>
        </is>
      </c>
      <c r="E9" s="47" t="inlineStr">
        <is>
          <t>Nano Cap</t>
        </is>
      </c>
      <c r="F9" s="48"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0" ht="60" customHeight="1">
      <c r="A10" s="25" t="inlineStr">
        <is>
          <t>GLTK</t>
        </is>
      </c>
      <c r="B10" s="26" t="inlineStr">
        <is>
          <t>GlobalTech Corporation</t>
        </is>
      </c>
      <c r="C10" s="26" t="inlineStr">
        <is>
          <t>Communication Services</t>
        </is>
      </c>
      <c r="D10" s="26" t="inlineStr">
        <is>
          <t>Telecommunications Services</t>
        </is>
      </c>
      <c r="E10" s="49" t="inlineStr">
        <is>
          <t>Nano Cap</t>
        </is>
      </c>
      <c r="F10" s="50" t="inlineStr">
        <is>
          <t>GlobalTech Corporation focuses its operations on the communications and broadband sector within Pakistan. The company furnishes wireless local loop (WLL) services, alongside managing a vast infrastructure of long-distance and international networks that enable both domestic and global interconnectivity for its own subscribers and other telecommunications companies. Furthermore, GlobalTech is involved in the re-transmission of various broadcast signals, encompassing international and national satellite, terrestrial wireless, cable television, and radio content. It also offers interactive communication platforms, provides licensed telephony services, and delivers digital television, conventional analog cable TV, and high-speed broadband internet access. Serving both residential and corporate customers, the firm supplies a wide array of solutions, including fiber optic-based communications and full-service managed IT support tailored for major businesses. Originally incorporated in 2017 u</t>
        </is>
      </c>
    </row>
    <row r="11" ht="60" customHeight="1">
      <c r="A11" s="19" t="inlineStr">
        <is>
          <t>OPXS</t>
        </is>
      </c>
      <c r="B11" s="20" t="inlineStr">
        <is>
          <t>Optex Systems Holdings, Inc</t>
        </is>
      </c>
      <c r="C11" s="20" t="inlineStr">
        <is>
          <t>Industrials</t>
        </is>
      </c>
      <c r="D11" s="52" t="inlineStr">
        <is>
          <t>Aerospace &amp; Defense</t>
        </is>
      </c>
      <c r="E11" s="47" t="inlineStr">
        <is>
          <t>Nano Cap</t>
        </is>
      </c>
      <c r="F11" s="48" t="inlineStr">
        <is>
          <t>Optex Systems Holdings, Inc. specializes in the production and supply of advanced optical sighting equipment and related assemblies. The company's primary clients include the U.S. Department of Defense, international military organizations, and commercial entities within the United States. Its comprehensive product lineup features various periscope models, including robust laser-protected and standard plastic/glass versions, M17 day/thermal periscopes, and vision blocks. Optex also develops sophisticated sighting solutions such as digital day and night systems, M36 thermal periscopes, backup sights, unity mirrors, and specialized commander weapon station sights, alongside providing maintenance for optical weapon systems. Furthermore, the company manufactures critical components for howitzers, such as the M137 telescope, M187 mount, M119 aiming device, and aiming circles. Its Applied Optics Center produces an array of precision optical items, including laser filter units, optical assemb</t>
        </is>
      </c>
    </row>
    <row r="12" ht="60" customHeight="1">
      <c r="A12" s="25" t="inlineStr">
        <is>
          <t>BKTI</t>
        </is>
      </c>
      <c r="B12" s="26" t="inlineStr">
        <is>
          <t>BK Technologies Corporation</t>
        </is>
      </c>
      <c r="C12" s="26" t="inlineStr">
        <is>
          <t>Technology</t>
        </is>
      </c>
      <c r="D12" s="51" t="inlineStr">
        <is>
          <t>Communication Equipment</t>
        </is>
      </c>
      <c r="E12" s="49" t="inlineStr">
        <is>
          <t>Nano Cap</t>
        </is>
      </c>
      <c r="F12" s="50"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3" ht="60" customHeight="1">
      <c r="A13" s="19" t="inlineStr">
        <is>
          <t>ASYS</t>
        </is>
      </c>
      <c r="B13" s="20" t="inlineStr">
        <is>
          <t>Amtech Systems, Inc.</t>
        </is>
      </c>
      <c r="C13" s="20" t="inlineStr">
        <is>
          <t>Technology</t>
        </is>
      </c>
      <c r="D13" s="46" t="inlineStr">
        <is>
          <t>Semiconductors</t>
        </is>
      </c>
      <c r="E13" s="47" t="inlineStr">
        <is>
          <t>Nano Cap</t>
        </is>
      </c>
      <c r="F13" s="48"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4" ht="60" customHeight="1">
      <c r="A14" s="25" t="inlineStr">
        <is>
          <t>QUIK</t>
        </is>
      </c>
      <c r="B14" s="26" t="inlineStr">
        <is>
          <t>QuickLogic Corporation</t>
        </is>
      </c>
      <c r="C14" s="26" t="inlineStr">
        <is>
          <t>Technology</t>
        </is>
      </c>
      <c r="D14" s="46" t="inlineStr">
        <is>
          <t>Semiconductors</t>
        </is>
      </c>
      <c r="E14" s="49" t="inlineStr">
        <is>
          <t>Nano Cap</t>
        </is>
      </c>
      <c r="F14" s="50" t="inlineStr">
        <is>
          <t>QuickLogic Corporation operates as a fabless semiconductor company. The company offers embedded FPGA intellectual property, low power, multicore semiconductor system-on-chips, discrete FPGAs, and AI software; and end-to-end artificial intelligence/machine learning solution with accurate sensor algorithms using AI technology. It also provides various products, such as software tools, and eFPGA IP enables the practical and efficient field programmability for aerospace and defense, consumer/industrial IoT, and consumer electronics markets. In addition, the company engages in the eFPGA IP Licensing business and associated professional services, consisting of development and integration of eFPGA technology into custom semiconductor solutions. Further, the company offers silicon products, such as EOS, QuickAI, ArcticLink III, PolarPro 3, PolarPro II, PolarPro, and Eclipse II products; Software as a Service (SaaS) subscriptions; and PASIC 3 and QuickRAM, as well as programming hardware and de</t>
        </is>
      </c>
    </row>
    <row r="15" ht="60" customHeight="1">
      <c r="A15" s="19" t="inlineStr">
        <is>
          <t>SWBI</t>
        </is>
      </c>
      <c r="B15" s="20" t="inlineStr">
        <is>
          <t>Smith &amp; Wesson Brands, Inc.</t>
        </is>
      </c>
      <c r="C15" s="20" t="inlineStr">
        <is>
          <t>Industrials</t>
        </is>
      </c>
      <c r="D15" s="52" t="inlineStr">
        <is>
          <t>Aerospace &amp; Defense</t>
        </is>
      </c>
      <c r="E15" s="47" t="inlineStr">
        <is>
          <t>Small Cap</t>
        </is>
      </c>
      <c r="F15" s="48"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5" t="inlineStr">
        <is>
          <t>PKE</t>
        </is>
      </c>
      <c r="B16" s="26" t="inlineStr">
        <is>
          <t>Park Aerospace Corp.</t>
        </is>
      </c>
      <c r="C16" s="26" t="inlineStr">
        <is>
          <t>Industrials</t>
        </is>
      </c>
      <c r="D16" s="52" t="inlineStr">
        <is>
          <t>Aerospace &amp; Defense</t>
        </is>
      </c>
      <c r="E16" s="49" t="inlineStr">
        <is>
          <t>Small Cap</t>
        </is>
      </c>
      <c r="F16" s="50" t="inlineStr">
        <is>
          <t>Park Aerospace Corp. (PKE) is a manufacturer and innovator of advanced composite materials. Utilizing both solution and hot-melt processes, the company crafts these materials into composite structures primarily for the aerospace market, serving clients across North America, Asia, and Europe. Its portfolio of advanced composites features critical products such as film adhesives and lightning strike protection materials. These are essential for fabricating both primary and secondary structural components found in diverse aircraft types, including jet engines, large and regional airliners, military aircraft, unmanned aerial vehicles (UAVs), business jets, general aviation planes, and rotary-wing aircraft. Additionally, PKE provides specialized ablative materials for rocket motors and nozzles, alongside custom-engineered solutions for radome applications. The company also offers design and fabrication services for composite parts, assemblies, and structures, as well as low-volume tooling s</t>
        </is>
      </c>
    </row>
    <row r="17" ht="60" customHeight="1">
      <c r="A17" s="19" t="inlineStr">
        <is>
          <t>NPKI</t>
        </is>
      </c>
      <c r="B17" s="20" t="inlineStr">
        <is>
          <t>NPK International Inc.</t>
        </is>
      </c>
      <c r="C17" s="20" t="inlineStr">
        <is>
          <t>Basic Materials</t>
        </is>
      </c>
      <c r="D17" s="20" t="inlineStr">
        <is>
          <t>Construction Materials</t>
        </is>
      </c>
      <c r="E17" s="47" t="inlineStr">
        <is>
          <t>Small Cap</t>
        </is>
      </c>
      <c r="F17" s="48" t="inlineStr">
        <is>
          <t>NPK International Inc. specializes in supplying products, rental equipment, and diverse services, primarily catering to the exploration and production (E&amp;P) sector of the oil and natural gas industry. The company operates through two distinct divisions: Fluids Systems and Industrial Solutions. The Fluids Systems segment delivers a range of drilling, completion, and stimulation fluid products, alongside associated technical support. Its client base spans significant regions including North America, Europe, the Middle East, and Africa, with additional reach into the Asia Pacific and Latin America. Meanwhile, the Industrial Solutions segment focuses on renting composite matting systems for temporary worksite access and provides accompanying site construction and related support. This division serves diverse sectors such as power transmission, E&amp;P, pipeline operations, renewable energy, petrochemicals, and general construction, predominantly across the United States and Europe. It also sup</t>
        </is>
      </c>
    </row>
    <row r="18" ht="60" customHeight="1">
      <c r="A18" s="25" t="inlineStr">
        <is>
          <t>LXFR</t>
        </is>
      </c>
      <c r="B18" s="26" t="inlineStr">
        <is>
          <t>Luxfer Holdings PLC</t>
        </is>
      </c>
      <c r="C18" s="26" t="inlineStr">
        <is>
          <t>Industrials</t>
        </is>
      </c>
      <c r="D18" s="26" t="inlineStr">
        <is>
          <t>Industrial - Machinery</t>
        </is>
      </c>
      <c r="E18" s="49" t="inlineStr">
        <is>
          <t>Small Cap</t>
        </is>
      </c>
      <c r="F18" s="50" t="inlineStr">
        <is>
          <t>Luxfer Holdings PLC is a company that develops, produces, and distributes advanced materials, specialized components, and high-pressure gas containment solutions. These offerings cater to critical sectors such as defense and emergency services, healthcare, transportation, and a wide array of general industrial applications. The company's operations are divided into two primary divisions: Elektron and Gas Cylinders. The Elektron segment focuses on crafting specialty materials from magnesium and zirconium. This includes providing magnesium alloys for various industrial applications, magnesium powders utilized in products like countermeasure flares and self-heating food packages, and photoengraving plates for graphic arts. Furthermore, it supplies zirconium-based materials and oxides, which are crucial for catalysts, advanced ceramic production, fiber-optic fuel cells, and other high-performance items. The Gas Cylinders segment specializes in manufacturing and marketing robust pressurized</t>
        </is>
      </c>
    </row>
    <row r="19" ht="60" customHeight="1">
      <c r="A19" s="19" t="inlineStr">
        <is>
          <t>CLFD</t>
        </is>
      </c>
      <c r="B19" s="20" t="inlineStr">
        <is>
          <t>Clearfield, Inc.</t>
        </is>
      </c>
      <c r="C19" s="20" t="inlineStr">
        <is>
          <t>Technology</t>
        </is>
      </c>
      <c r="D19" s="51" t="inlineStr">
        <is>
          <t>Communication Equipment</t>
        </is>
      </c>
      <c r="E19" s="47" t="inlineStr">
        <is>
          <t>Small Cap</t>
        </is>
      </c>
      <c r="F19" s="48" t="inlineStr">
        <is>
          <t>Clearfield, Inc. specializes in the development, manufacturing, and global distribution of both standard and customized passive fiber optic connectivity solutions. These products cater to a diverse clientele, including entities engaged in fiber-to-the-premises (FTTP) deployments, enterprise networks, and original equipment manufacturers (OEMs) across the United States and internationally. The company's extensive product portfolio encompasses several key lines: FieldSmart: A range of physical infrastructure components such as panels, cabinets, and wall boxes, specifically designed for housing and protecting fiber optic connections. WaveSmart: Optical components critical for managing light signals, enabling functions like coupling, splitting, termination, multiplexing, demultiplexing, and attenuation when integrated into their fiber management systems. Solutions for outdoor network installations, including outdoor and fiber active cabinet products. StreetSmart: Various fiber management p</t>
        </is>
      </c>
    </row>
    <row r="20" ht="60" customHeight="1">
      <c r="A20" s="25" t="inlineStr">
        <is>
          <t>ARRY</t>
        </is>
      </c>
      <c r="B20" s="26" t="inlineStr">
        <is>
          <t>Array Technologies, Inc.</t>
        </is>
      </c>
      <c r="C20" s="26" t="inlineStr">
        <is>
          <t>Energy</t>
        </is>
      </c>
      <c r="D20" s="53" t="inlineStr">
        <is>
          <t>Solar</t>
        </is>
      </c>
      <c r="E20" s="49" t="inlineStr">
        <is>
          <t>Small Cap</t>
        </is>
      </c>
      <c r="F20" s="50" t="inlineStr">
        <is>
          <t>Array Technologies, Inc. (ARRY) develops, manufactures, and provides solar tracking solutions and complementary products for customers both within the United States and internationally. A key offering is the DuraTrack HZ v3, a system designed for single-axis solar panel tracking. Additionally, the company offers SmarTrack, an intelligent software powered by machine learning that continuously determines the optimal alignment for solar arrays in real time to maximize energy output. This enterprise was established in 1989 and its corporate headquarters are situated in Albuquerque, New Mexico.</t>
        </is>
      </c>
    </row>
    <row r="21" ht="60" customHeight="1">
      <c r="A21" s="19" t="inlineStr">
        <is>
          <t>EVLV</t>
        </is>
      </c>
      <c r="B21" s="20" t="inlineStr">
        <is>
          <t>Evolv Technologies Holdings, Inc.</t>
        </is>
      </c>
      <c r="C21" s="20" t="inlineStr">
        <is>
          <t>Industrials</t>
        </is>
      </c>
      <c r="D21" s="20" t="inlineStr">
        <is>
          <t>Security &amp; Protection Services</t>
        </is>
      </c>
      <c r="E21" s="47" t="inlineStr">
        <is>
          <t>Small Cap</t>
        </is>
      </c>
      <c r="F21" s="48"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2" ht="60" customHeight="1">
      <c r="A22" s="25" t="inlineStr">
        <is>
          <t>GHM</t>
        </is>
      </c>
      <c r="B22" s="26" t="inlineStr">
        <is>
          <t>Graham Corporation</t>
        </is>
      </c>
      <c r="C22" s="26" t="inlineStr">
        <is>
          <t>Industrials</t>
        </is>
      </c>
      <c r="D22" s="26" t="inlineStr">
        <is>
          <t>Industrial - Machinery</t>
        </is>
      </c>
      <c r="E22" s="49" t="inlineStr">
        <is>
          <t>Small Cap</t>
        </is>
      </c>
      <c r="F22" s="50"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23" ht="60" customHeight="1">
      <c r="A23" s="19" t="inlineStr">
        <is>
          <t>NNDM</t>
        </is>
      </c>
      <c r="B23" s="20" t="inlineStr">
        <is>
          <t>Nano Dimension Ltd.</t>
        </is>
      </c>
      <c r="C23" s="20" t="inlineStr">
        <is>
          <t>Technology</t>
        </is>
      </c>
      <c r="D23" s="20" t="inlineStr">
        <is>
          <t>Computer Hardware</t>
        </is>
      </c>
      <c r="E23" s="47" t="inlineStr">
        <is>
          <t>Small Cap</t>
        </is>
      </c>
      <c r="F23" s="48" t="inlineStr">
        <is>
          <t>Nano Dimension Ltd., an Israeli enterprise operating globally through its subsidiaries, focuses on delivering additive electronics solutions. The cornerstone of its offerings is the DragonFly IV system, an advanced platform engineered to address the manufacturing requirements of high-performance electronic devices across numerous sectors. This innovative system functions by precisely laying down specialized conductive and dielectric materials, and it possesses the capability to embed components such as capacitors, antennas, coils, transformers, and electromechanical parts directly. Beyond its primary system, Nano Dimension also supplies nanotechnology-derived conductive and dielectric inks, alongside the FLIGHT software platform, which empowers users with the 3D design of intricate electrical and mechanical functionalities. The company's diverse clientele includes organizations involved in creating products with electronic components, spanning critical industries like defense, automoti</t>
        </is>
      </c>
    </row>
    <row r="24" ht="60" customHeight="1">
      <c r="A24" s="25" t="inlineStr">
        <is>
          <t>ADTN</t>
        </is>
      </c>
      <c r="B24" s="26" t="inlineStr">
        <is>
          <t>ADTRAN Holdings Inc.</t>
        </is>
      </c>
      <c r="C24" s="26" t="inlineStr">
        <is>
          <t>Technology</t>
        </is>
      </c>
      <c r="D24" s="51" t="inlineStr">
        <is>
          <t>Communication Equipment</t>
        </is>
      </c>
      <c r="E24" s="49" t="inlineStr">
        <is>
          <t>Small Cap</t>
        </is>
      </c>
      <c r="F24" s="50"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5" ht="60" customHeight="1">
      <c r="A25" s="19" t="inlineStr">
        <is>
          <t>CALX</t>
        </is>
      </c>
      <c r="B25" s="20" t="inlineStr">
        <is>
          <t>Calix, Inc.</t>
        </is>
      </c>
      <c r="C25" s="20" t="inlineStr">
        <is>
          <t>Technology</t>
        </is>
      </c>
      <c r="D25" s="51" t="inlineStr">
        <is>
          <t>Communication Equipment</t>
        </is>
      </c>
      <c r="E25" s="47" t="inlineStr">
        <is>
          <t>Breakout</t>
        </is>
      </c>
      <c r="F25" s="48"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6" ht="60" customHeight="1">
      <c r="A26" s="25" t="inlineStr">
        <is>
          <t>ADEA</t>
        </is>
      </c>
      <c r="B26" s="26" t="inlineStr">
        <is>
          <t>Adeia Inc.</t>
        </is>
      </c>
      <c r="C26" s="26" t="inlineStr">
        <is>
          <t>Technology</t>
        </is>
      </c>
      <c r="D26" s="26" t="inlineStr">
        <is>
          <t>Software - Application</t>
        </is>
      </c>
      <c r="E26" s="49" t="inlineStr">
        <is>
          <t>Breakout</t>
        </is>
      </c>
      <c r="F26" s="50"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7" ht="60" customHeight="1">
      <c r="A27" s="19" t="inlineStr">
        <is>
          <t>DCI</t>
        </is>
      </c>
      <c r="B27" s="20" t="inlineStr">
        <is>
          <t>Donaldson Company, Inc.</t>
        </is>
      </c>
      <c r="C27" s="20" t="inlineStr">
        <is>
          <t>Industrials</t>
        </is>
      </c>
      <c r="D27" s="20" t="inlineStr">
        <is>
          <t>Industrial - Machinery</t>
        </is>
      </c>
      <c r="E27" s="47" t="inlineStr">
        <is>
          <t>Breakout</t>
        </is>
      </c>
      <c r="F27" s="48"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8" ht="60" customHeight="1">
      <c r="A28" s="25" t="inlineStr">
        <is>
          <t>CACI</t>
        </is>
      </c>
      <c r="B28" s="26" t="inlineStr">
        <is>
          <t>CACI International Inc</t>
        </is>
      </c>
      <c r="C28" s="26" t="inlineStr">
        <is>
          <t>Technology</t>
        </is>
      </c>
      <c r="D28" s="26" t="inlineStr">
        <is>
          <t>Information Technology Services</t>
        </is>
      </c>
      <c r="E28" s="49" t="inlineStr">
        <is>
          <t>Breakout</t>
        </is>
      </c>
      <c r="F28" s="50"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29" ht="60" customHeight="1">
      <c r="A29" s="19" t="inlineStr">
        <is>
          <t>BRC</t>
        </is>
      </c>
      <c r="B29" s="20" t="inlineStr">
        <is>
          <t>Brady Corporation</t>
        </is>
      </c>
      <c r="C29" s="20" t="inlineStr">
        <is>
          <t>Industrials</t>
        </is>
      </c>
      <c r="D29" s="20" t="inlineStr">
        <is>
          <t>Security &amp; Protection Services</t>
        </is>
      </c>
      <c r="E29" s="47" t="inlineStr">
        <is>
          <t>Breakout</t>
        </is>
      </c>
      <c r="F29" s="48" t="inlineStr">
        <is>
          <t>Brady Corporation, established in 1914 and based in Milwaukee, Wisconsin, operates as a global supplier of specialized identification and workplace safety products. The company’s core focus is on delivering solutions that facilitate the identification and protection of facilities, goods, and individuals across numerous industries worldwide. Its Identification Solutions (IDS) division provides a wide range of products for safeguarding and marking premises, including safety signs, floor-marking tapes, pipe markers, advanced labeling systems, spill control items, and lockout/tagout devices. For product management, IDS offers crucial materials, printing technologies, and RFID/barcode scanners used for initial product identification, brand integrity, tracking items through production, and final product labeling. Wire identification needs are met with handheld printers, wire markers, sleeves, and tags. Human identification offerings include name tags, badges, lanyards, rigid card printing sy</t>
        </is>
      </c>
    </row>
    <row r="30" ht="60" customHeight="1">
      <c r="A30" s="25" t="inlineStr">
        <is>
          <t>MRCY</t>
        </is>
      </c>
      <c r="B30" s="26" t="inlineStr">
        <is>
          <t>Mercury Systems, Inc.</t>
        </is>
      </c>
      <c r="C30" s="26" t="inlineStr">
        <is>
          <t>Industrials</t>
        </is>
      </c>
      <c r="D30" s="52" t="inlineStr">
        <is>
          <t>Aerospace &amp; Defense</t>
        </is>
      </c>
      <c r="E30" s="49" t="inlineStr">
        <is>
          <t>Breakout</t>
        </is>
      </c>
      <c r="F30" s="50" t="inlineStr">
        <is>
          <t>Mercury Systems, Inc. is a technology firm dedicated to the creation and delivery of a wide range of advanced components, modules, and integrated subsystems, primarily catering to the aerospace and defense industries. The company's operations span globally, with a presence in the United States, Europe, and the Asia Pacific regions. Its sophisticated solutions are vital to approximately 300 programs, supporting 25 defense contractors and numerous commercial aviation customers. The company's extensive product line includes intricate components such as power amplifiers, limiters, switches, oscillators, filters, equalizers, digital and analog converters, various chips, monolithic microwave integrated circuits (MMICs), and advanced memory and storage devices. Furthermore, it offers sophisticated modules and sub-assemblies, including embedded processing boards, switched fabric boards, digital receiver boards, multi-chip modules, integrated radio frequency (RF) and microwave multi-function as</t>
        </is>
      </c>
    </row>
    <row r="31" ht="60" customHeight="1">
      <c r="A31" s="19" t="inlineStr">
        <is>
          <t>CE</t>
        </is>
      </c>
      <c r="B31" s="20" t="inlineStr">
        <is>
          <t>Celanese Corporation</t>
        </is>
      </c>
      <c r="C31" s="20" t="inlineStr">
        <is>
          <t>Basic Materials</t>
        </is>
      </c>
      <c r="D31" s="20" t="inlineStr">
        <is>
          <t>Chemicals</t>
        </is>
      </c>
      <c r="E31" s="47" t="inlineStr">
        <is>
          <t>Breakout</t>
        </is>
      </c>
      <c r="F31" s="48"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32" ht="60" customHeight="1">
      <c r="A32" s="25" t="inlineStr">
        <is>
          <t>RUN</t>
        </is>
      </c>
      <c r="B32" s="26" t="inlineStr">
        <is>
          <t>Sunrun Inc.</t>
        </is>
      </c>
      <c r="C32" s="26" t="inlineStr">
        <is>
          <t>Energy</t>
        </is>
      </c>
      <c r="D32" s="53" t="inlineStr">
        <is>
          <t>Solar</t>
        </is>
      </c>
      <c r="E32" s="49" t="inlineStr">
        <is>
          <t>Breakout</t>
        </is>
      </c>
      <c r="F32" s="50" t="inlineStr">
        <is>
          <t>Sunrun Inc. is a company operating in the United States that specializes in providing comprehensive residential solar energy solutions. Their services encompass the entire lifecycle of a solar system, from initial design and development through installation, sales, ongoing ownership, and maintenance. In addition to complete solar energy systems, Sunrun also offers individual components like solar panels and racking equipment. They further enhance their offerings by integrating battery storage capabilities with their solar installations. Residential homeowners are the primary clientele for Sunrun. The company utilizes a direct-to-consumer sales approach, employing a broad spectrum of marketing and sales channels, including online platforms, retail partnerships, mass and digital media advertising, door-to-door canvassing, field marketing, and referral programs. Sunrun Inc. was founded in 2007 and is headquartered in San Francisco, California.</t>
        </is>
      </c>
    </row>
    <row r="33" ht="60" customHeight="1">
      <c r="A33" s="19" t="inlineStr">
        <is>
          <t>LYFT</t>
        </is>
      </c>
      <c r="B33" s="20" t="inlineStr">
        <is>
          <t>Lyft, Inc.</t>
        </is>
      </c>
      <c r="C33" s="20" t="inlineStr">
        <is>
          <t>Technology</t>
        </is>
      </c>
      <c r="D33" s="20" t="inlineStr">
        <is>
          <t>Software - Application</t>
        </is>
      </c>
      <c r="E33" s="47" t="inlineStr">
        <is>
          <t>Breakout</t>
        </is>
      </c>
      <c r="F33" s="48" t="inlineStr">
        <is>
          <t>Lyft, Inc. facilitates a comprehensive, on-demand transportation platform spanning the United States and Canada. Its core mission involves offering users personalized and immediate access to diverse mobility solutions through its multimodal network. Among its primary services is the Ridesharing Marketplace, which seamlessly connects drivers with passengers. For drivers, the company provides Express Drive, a flexible program for vehicle rentals. Consumers can also utilize Lyft Rentals for longer-distance travel needs. Furthermore, in numerous urban centers, Lyft operates a fleet of shared bikes and scooters, ideal for shorter journeys. The Lyft app enhances its utility by incorporating public transit data, thereby expanding the array of available transport options for users. Beyond these offerings, the company also provides access to autonomous vehicles, specialized enterprise transportation solutions (including concierge services for organizations), and subscription benefits through it</t>
        </is>
      </c>
    </row>
    <row r="34" ht="60" customHeight="1">
      <c r="A34" s="25" t="inlineStr">
        <is>
          <t>KN</t>
        </is>
      </c>
      <c r="B34" s="26" t="inlineStr">
        <is>
          <t>Knowles Corporation</t>
        </is>
      </c>
      <c r="C34" s="26" t="inlineStr">
        <is>
          <t>Technology</t>
        </is>
      </c>
      <c r="D34" s="26" t="inlineStr">
        <is>
          <t>Hardware, Equipment &amp; Parts</t>
        </is>
      </c>
      <c r="E34" s="49" t="inlineStr">
        <is>
          <t>Breakout</t>
        </is>
      </c>
      <c r="F34" s="50" t="inlineStr">
        <is>
          <t xml:space="preserve">Knowles Corporation is a leading provider of specialized electronic components, offering an array of micro-acoustic microphones, sophisticated balanced armature speakers, comprehensive audio solutions, high-performance capacitors, and advanced radio frequency products. These precision technologies serve diverse industries, including consumer electronics, medical technology (medtech), defense, electric vehicles, industrial applications, and communications. The company operates through two distinct segments. Its Audio segment is dedicated to engineering and manufacturing innovative audio components, such as microphones, balanced armature speakers, and audio processors. These are integral to applications across mobile devices, hearing health solutions, True Wireless Stereo (TWS) products, the Internet of Things (IoT), and computing platforms. Concurrently, the Precision Devices (PD) segment focuses on the development and delivery of high-specification capacitor products and RF solutions. </t>
        </is>
      </c>
    </row>
    <row r="35" ht="60" customHeight="1">
      <c r="A35" s="19" t="inlineStr">
        <is>
          <t>CW</t>
        </is>
      </c>
      <c r="B35" s="20" t="inlineStr">
        <is>
          <t>Curtiss-Wright Corporation</t>
        </is>
      </c>
      <c r="C35" s="20" t="inlineStr">
        <is>
          <t>Industrials</t>
        </is>
      </c>
      <c r="D35" s="52" t="inlineStr">
        <is>
          <t>Aerospace &amp; Defense</t>
        </is>
      </c>
      <c r="E35" s="47" t="inlineStr">
        <is>
          <t>Vital Link</t>
        </is>
      </c>
      <c r="F35" s="48" t="inlineStr">
        <is>
          <t xml:space="preserve">Curtiss-Wright Corporation (CW), along with its affiliated entities, delivers highly engineered products, comprehensive solutions, and a variety of services to a global client base across the aerospace, defense, general industrial, and power generation sectors. The company strategically organizes its operations into three primary divisions: Aerospace &amp; Industrial, Defense Electronics, and Naval &amp; Power. The Aerospace &amp; Industrial segment specializes in manufacturing components for industrial vehicles, such as electronic throttle control systems, joysticks, and transmission shifters. It also supplies advanced sensors, control mechanisms, and electromechanical actuation parts for both commercial and military aircraft. Furthermore, this division offers sophisticated surface treatment services, including shot peening, laser peening, and specialized coatings. In the Defense Electronics segment, Curtiss-Wright provides a wide array of offerings. These include commercial off-the-shelf (COTS) </t>
        </is>
      </c>
    </row>
    <row r="36" ht="60" customHeight="1">
      <c r="A36" s="25" t="inlineStr">
        <is>
          <t>ON</t>
        </is>
      </c>
      <c r="B36" s="26" t="inlineStr">
        <is>
          <t>ON Semiconductor Corporation</t>
        </is>
      </c>
      <c r="C36" s="26" t="inlineStr">
        <is>
          <t>Technology</t>
        </is>
      </c>
      <c r="D36" s="46" t="inlineStr">
        <is>
          <t>Semiconductors</t>
        </is>
      </c>
      <c r="E36" s="49" t="inlineStr">
        <is>
          <t>Vital Link</t>
        </is>
      </c>
      <c r="F36" s="50" t="inlineStr">
        <is>
          <t>ON Semiconductor Corporation operates as a global provider of sophisticated power and sensing solutions. Their cutting-edge power innovations are pivotal in modernizing various sectors: they contribute to the development of lighter, extended-range electric vehicles, underpin rapid-charging infrastructure, and bolster sustainable energy initiatives for applications such as solar arrays, industrial power systems, and energy storage. The company's operations are structured into three main divisions: the Power Solutions Group, the Advanced Solutions Group, and the Intelligent Sensing Group. ON Semiconductor offers a broad array of semiconductor products, including analog components, discrete devices, modules, and integrated circuits. These products are designed to perform numerous critical functions, such as power switching, energy conversion, signal conditioning, circuit protection, signal amplification, and voltage regulation. Beyond these standard offerings, the firm also designs and de</t>
        </is>
      </c>
    </row>
    <row r="37" ht="60" customHeight="1">
      <c r="A37" s="19" t="inlineStr">
        <is>
          <t>TDY</t>
        </is>
      </c>
      <c r="B37" s="20" t="inlineStr">
        <is>
          <t>Teledyne Technologies Incorporated</t>
        </is>
      </c>
      <c r="C37" s="20" t="inlineStr">
        <is>
          <t>Technology</t>
        </is>
      </c>
      <c r="D37" s="20" t="inlineStr">
        <is>
          <t>Hardware, Equipment &amp; Parts</t>
        </is>
      </c>
      <c r="E37" s="47" t="inlineStr">
        <is>
          <t>Vital Link</t>
        </is>
      </c>
      <c r="F37" s="48" t="inlineStr">
        <is>
          <t>Teledyne Technologies Incorporated develops and supplies advanced technologies primarily for industrial sectors experiencing growth, serving customers across the United States, Canada, the United Kingdom, Belgium, the Netherlands, and other international markets. The company's Instrumentation division provides sophisticated monitoring and control equipment for use in marine environments, environmental management, various industrial processes, and other specialized applications. It also offers electronic tools for testing and measurement, alongside connectivity devices for power and communication within distributed instrumentation setups and sensor networks. Its Digital Imaging segment specializes in a broad range of imaging solutions. This includes visible spectrum sensors and digital cameras vital for industrial machine vision, automated quality control, as well as medical, research, and scientific purposes. Additionally, it offers infrared and X-ray imaging technologies for industria</t>
        </is>
      </c>
    </row>
    <row r="38" ht="60" customHeight="1">
      <c r="A38" s="25" t="inlineStr">
        <is>
          <t>PPG</t>
        </is>
      </c>
      <c r="B38" s="26" t="inlineStr">
        <is>
          <t>PPG Industries, Inc.</t>
        </is>
      </c>
      <c r="C38" s="26" t="inlineStr">
        <is>
          <t>Basic Materials</t>
        </is>
      </c>
      <c r="D38" s="26" t="inlineStr">
        <is>
          <t>Chemicals - Specialty</t>
        </is>
      </c>
      <c r="E38" s="49" t="inlineStr">
        <is>
          <t>Vital Link</t>
        </is>
      </c>
      <c r="F38" s="50" t="inlineStr">
        <is>
          <t>PPG Industries, Inc. operates globally as a manufacturer and distributor of paints, protective coatings, and various specialty materials. Its Performance Coatings division offers an extensive range of products, including paints, solvents, adhesives, sealants, and software, designed for the repair and refurbishment of automotive and commercial vehicles, light industrial applications, and signage. This segment also supplies advanced coatings, sealants, transparent components (such as transparent armor), engineered materials, and chemical management services to the commercial, military, and general aviation aerospace sectors. Furthermore, it develops protective coatings and finishes for metals and large-scale structures, serving metal fabricators, heavy-duty maintenance contractors, and manufacturers of ships, bridges, and rail cars. Architectural offerings include paints, wood stains, adhesives, and sundry items for both professional contractors and individual consumers for the decoratio</t>
        </is>
      </c>
    </row>
    <row r="39" ht="60" customHeight="1">
      <c r="A39" s="19" t="inlineStr">
        <is>
          <t>HUBB</t>
        </is>
      </c>
      <c r="B39" s="20" t="inlineStr">
        <is>
          <t>Hubbell Incorporated</t>
        </is>
      </c>
      <c r="C39" s="20" t="inlineStr">
        <is>
          <t>Industrials</t>
        </is>
      </c>
      <c r="D39" s="20" t="inlineStr">
        <is>
          <t>Electrical Equipment &amp; Parts</t>
        </is>
      </c>
      <c r="E39" s="47" t="inlineStr">
        <is>
          <t>Vital Link</t>
        </is>
      </c>
      <c r="F39" s="48" t="inlineStr">
        <is>
          <t>Hubbell, Inc. engages in the designing, manufacturing, and sale of electrical and electronic products for non-residential and residential construction, industrial, and utility applications. It operates through the Electrical Solutions and Utility Solutions segments. The Electrical Solutions segment manufactures and sells wiring and electrical, lighting fixtures, and controls for indoor and outdoor applications as well as specialty lighting and communications products. The Utility Solutions segment is involved in the design, manufacture, and sale of electrical distribution, transmission, substation, and telecommunications products. The company was founded by Harvey Hubbell II in 1888 and is headquartered in Shelton, CT.</t>
        </is>
      </c>
    </row>
    <row r="40" ht="60" customHeight="1">
      <c r="A40" s="25" t="inlineStr">
        <is>
          <t>HON</t>
        </is>
      </c>
      <c r="B40" s="26" t="inlineStr">
        <is>
          <t>Honeywell International Inc.</t>
        </is>
      </c>
      <c r="C40" s="26" t="inlineStr">
        <is>
          <t>Industrials</t>
        </is>
      </c>
      <c r="D40" s="26" t="inlineStr">
        <is>
          <t>Conglomerates</t>
        </is>
      </c>
      <c r="E40" s="49" t="inlineStr">
        <is>
          <t>Vital Link</t>
        </is>
      </c>
      <c r="F40" s="50" t="inlineStr">
        <is>
          <t>Honeywell International Inc. functions as a global leader in diversified technology and manufacturing. Its Aerospace division furnishes a comprehensive array of products and services for the aviation and space industries. This includes crucial components like auxiliary power units, propulsion systems, integrated avionics, environmental control mechanisms, and electrical power solutions. The segment also supplies engine controls, flight safety systems, communication and navigation hardware, and advanced data and software applications. Additionally, it provides radar, surveillance systems, aircraft lighting, sophisticated instruments, satellite and space components, and aircraft wheels and brakes. Essential support services cover spare parts, repairs, overhauls, maintenance, thermal systems, and wireless connectivity management. The Honeywell Building Technologies unit focuses on creating smarter, safer, and more efficient structures. It develops software for optimizing and controlling b</t>
        </is>
      </c>
    </row>
    <row r="41" ht="60" customHeight="1">
      <c r="A41" s="19" t="inlineStr">
        <is>
          <t>LHX</t>
        </is>
      </c>
      <c r="B41" s="20" t="inlineStr">
        <is>
          <t>L3Harris Technologies, Inc.</t>
        </is>
      </c>
      <c r="C41" s="20" t="inlineStr">
        <is>
          <t>Industrials</t>
        </is>
      </c>
      <c r="D41" s="52" t="inlineStr">
        <is>
          <t>Aerospace &amp; Defense</t>
        </is>
      </c>
      <c r="E41" s="47" t="inlineStr">
        <is>
          <t>Vital Link</t>
        </is>
      </c>
      <c r="F41" s="48" t="inlineStr">
        <is>
          <t>L3Harris Technologies, Inc. is a prominent technology firm specializing in aerospace and defense, delivering vital, high-stakes solutions to governmental and commercial clients across the globe. Its diverse operations are organized into several key segments: The Integrated Mission Systems division is responsible for providing versatile intelligence, surveillance, and reconnaissance (ISR) platforms, alongside various communication technologies. This unit also offers comprehensive support for fleet management, as well as the development, modification, and routine maintenance of sensors for ISR and airborne operations. Furthermore, it develops and integrates specialized mission systems tailored for naval vessels and maritime operations, including sophisticated signals and multi-intelligence platforms, autonomous surface and undersea vehicles, and advanced power and ship control electronics. Cutting-edge electro-optical and infrared technologies are also part of its offerings. The Space an</t>
        </is>
      </c>
    </row>
    <row r="42" ht="60" customHeight="1">
      <c r="A42" s="25" t="inlineStr">
        <is>
          <t>FTAI</t>
        </is>
      </c>
      <c r="B42" s="26" t="inlineStr">
        <is>
          <t>FTAI Aviation Ltd.</t>
        </is>
      </c>
      <c r="C42" s="26" t="inlineStr">
        <is>
          <t>Industrials</t>
        </is>
      </c>
      <c r="D42" s="52" t="inlineStr">
        <is>
          <t>Aerospace &amp; Defense</t>
        </is>
      </c>
      <c r="E42" s="49" t="inlineStr">
        <is>
          <t>Vital Link</t>
        </is>
      </c>
      <c r="F42" s="50" t="inlineStr">
        <is>
          <t>FTAI Aviation Ltd. is a company dedicated to the ownership and acquisition of critical equipment for the aviation and offshore energy industries, thereby supporting the worldwide movement of goods and people. The company operates through two primary divisions. The Aviation Leasing segment is responsible for managing, leasing, and selling aviation assets, which include commercial aircraft and their engines, to customers. By the end of 2023, specifically December 31st, this division's managed portfolio encompassed 363 aviation assets in total, consisting of 96 commercial aircraft and 267 engines. Notably, this count included 8 aircraft and 17 engines located in Russia. The Aerospace Products segment focuses on the entire lifecycle of aircraft engines and their aftermarket components, covering their development, production, maintenance, and sales. FTAI Aviation Ltd. was established in 2011 and maintains its corporate headquarters in New York, New York.</t>
        </is>
      </c>
    </row>
    <row r="43" ht="60" customHeight="1">
      <c r="A43" s="19" t="inlineStr">
        <is>
          <t>GEHC</t>
        </is>
      </c>
      <c r="B43" s="20" t="inlineStr">
        <is>
          <t>GE HealthCare Technologies Inc.</t>
        </is>
      </c>
      <c r="C43" s="20" t="inlineStr">
        <is>
          <t>Healthcare</t>
        </is>
      </c>
      <c r="D43" s="20" t="inlineStr">
        <is>
          <t>Medical - Devices</t>
        </is>
      </c>
      <c r="E43" s="47" t="inlineStr">
        <is>
          <t>Vital Link</t>
        </is>
      </c>
      <c r="F43" s="48" t="inlineStr">
        <is>
          <t>GE HealthCare Technologies Inc. is a global medical technology company that creates, manufactures, and markets a diverse range of medical devices, services, and integrated digital solutions. These offerings are designed to assist in the diagnosis, treatment, and ongoing monitoring of patients. The company boasts an extensive international presence, serving markets across the United States, Canada, Europe, the Middle East, Africa, China, Taiwan, Mongolia, and Hong Kong, among other regions. Its operations are structured across four primary business divisions: Imaging, Ultrasound, Patient Care Solutions, and Pharmaceutical Diagnostics. The Imaging division specializes in advanced diagnostic imaging technologies, including systems for molecular imaging, Computed Tomography (CT) scans, Magnetic Resonance (MR) imaging, image-guided therapy, and X-ray, alongside specialized women's health products. The Ultrasound segment delivers a comprehensive suite of ultrasound solutions utilized for the</t>
        </is>
      </c>
    </row>
    <row r="44" ht="60" customHeight="1">
      <c r="A44" s="25" t="inlineStr">
        <is>
          <t>AME</t>
        </is>
      </c>
      <c r="B44" s="26" t="inlineStr">
        <is>
          <t>AMETEK, Inc.</t>
        </is>
      </c>
      <c r="C44" s="26" t="inlineStr">
        <is>
          <t>Industrials</t>
        </is>
      </c>
      <c r="D44" s="26" t="inlineStr">
        <is>
          <t>Electrical Equipment &amp; Parts</t>
        </is>
      </c>
      <c r="E44" s="49" t="inlineStr">
        <is>
          <t>Vital Link</t>
        </is>
      </c>
      <c r="F44" s="50" t="inlineStr">
        <is>
          <t>AMETEK, Inc. is a global enterprise that develops and markets a diverse portfolio of electronic instruments and electromechanical devices. The company's operations are structured into two principal divisions: the Electronic Instruments Group (EIG) and the Electromechanical Group (EMG). The EIG segment provides sophisticated instrumentation solutions catering to various sectors, including process control, aerospace, power generation, and general industrial applications. It also delivers specialized process and analytical tools essential for industries such as oil and gas, petrochemicals, pharmaceuticals, semiconductors, automation, and food and beverage production. Furthermore, EIG supplies equipment for laboratory settings, ultra-precision manufacturing, medical diagnostics, and critical test and measurement tasks. Its offerings encompass power quality monitoring and metering devices, uninterruptible power supplies, programmable power equipment, electromagnetic compatibility testing ap</t>
        </is>
      </c>
    </row>
  </sheetData>
  <autoFilter ref="A4:F4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29" t="inlineStr">
        <is>
          <t>Competitive Moats &amp; Structural Advantages</t>
        </is>
      </c>
      <c r="B1" s="11" t="n"/>
      <c r="C1" s="11" t="n"/>
      <c r="D1" s="11" t="n"/>
      <c r="E1" s="11" t="n"/>
      <c r="F1" s="11" t="n"/>
      <c r="G1" s="11" t="n"/>
    </row>
    <row r="2" ht="22" customHeight="1">
      <c r="A2" s="30"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SODI</t>
        </is>
      </c>
      <c r="B5" s="20" t="inlineStr">
        <is>
          <t>Solitron Devices, Inc.</t>
        </is>
      </c>
      <c r="C5" s="20" t="inlineStr">
        <is>
          <t>Semiconductors</t>
        </is>
      </c>
      <c r="D5" s="47" t="inlineStr">
        <is>
          <t>Nano Cap</t>
        </is>
      </c>
      <c r="E5" s="47" t="inlineStr">
        <is>
          <t>45%</t>
        </is>
      </c>
      <c r="F5" s="47" t="inlineStr">
        <is>
          <t>73</t>
        </is>
      </c>
      <c r="G5" s="48" t="inlineStr">
        <is>
          <t>Healthy margins (GM 45%) indicate differentiated products with some pricing power above commodity levels. Rapid revenue growth (101% YoY) signals strong product-market fit and expanding TAM capture. Revenue acceleration (133% QoQ) — growth is compounding, indicating an inflection point or expanding customer adoption. Reasonable capital discipline (3% 3yr dilution) — moderate equity issuance suggests funded growth without excessive shareholder dilution. High insider ownership (23%) — founder/management skin in the game strongly aligns incentives with shareholders. Semiconductor design/fab expertise represents years of R&amp;D investment — a significant moat against new entrants. Fingerprint score of 73 — structural profile closely matches historical multi-bagger winners at their inflection points.</t>
        </is>
      </c>
    </row>
    <row r="6" ht="80" customHeight="1">
      <c r="A6" s="25" t="inlineStr">
        <is>
          <t>INTT</t>
        </is>
      </c>
      <c r="B6" s="26" t="inlineStr">
        <is>
          <t>inTEST Corporation</t>
        </is>
      </c>
      <c r="C6" s="26" t="inlineStr">
        <is>
          <t>Semiconductors</t>
        </is>
      </c>
      <c r="D6" s="49" t="inlineStr">
        <is>
          <t>Nano Cap</t>
        </is>
      </c>
      <c r="E6" s="49" t="inlineStr">
        <is>
          <t>40%</t>
        </is>
      </c>
      <c r="F6" s="49" t="inlineStr">
        <is>
          <t>71</t>
        </is>
      </c>
      <c r="G6" s="50"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7" ht="80" customHeight="1">
      <c r="A7" s="19" t="inlineStr">
        <is>
          <t>RELL</t>
        </is>
      </c>
      <c r="B7" s="20" t="inlineStr">
        <is>
          <t>Richardson Electronics, Ltd.</t>
        </is>
      </c>
      <c r="C7" s="20" t="inlineStr">
        <is>
          <t>Hardware, Equipment &amp; Parts</t>
        </is>
      </c>
      <c r="D7" s="47" t="inlineStr">
        <is>
          <t>Nano Cap</t>
        </is>
      </c>
      <c r="E7" s="47" t="inlineStr">
        <is>
          <t>31%</t>
        </is>
      </c>
      <c r="F7" s="47" t="inlineStr">
        <is>
          <t>69</t>
        </is>
      </c>
      <c r="G7" s="48" t="inlineStr">
        <is>
          <t>Moderate margins (GM 31%) — competitive market, but cost structure supports reinvestment. Solid revenue growth (28% YoY) suggests growing demand and competitive positioning in target markets. Revenue acceleration (18% QoQ) — growth is compounding, indicating an inflection point or expanding customer adoption. Exceptional capital discipline (-8% share growth over 3yr) — management avoids dilution, signaling confidence in organic cash generation. Meaningful insider ownership (18%) — management has material personal stake in company performance. Fingerprint score of 69 — structural profile closely matches historical multi-bagger winners at their inflection points.</t>
        </is>
      </c>
    </row>
    <row r="8" ht="80" customHeight="1">
      <c r="A8" s="25" t="inlineStr">
        <is>
          <t>RFIL</t>
        </is>
      </c>
      <c r="B8" s="26" t="inlineStr">
        <is>
          <t>RF Industries, Ltd.</t>
        </is>
      </c>
      <c r="C8" s="26" t="inlineStr">
        <is>
          <t>Electrical Equipment &amp; Parts</t>
        </is>
      </c>
      <c r="D8" s="49" t="inlineStr">
        <is>
          <t>Nano Cap</t>
        </is>
      </c>
      <c r="E8" s="49" t="inlineStr">
        <is>
          <t>35%</t>
        </is>
      </c>
      <c r="F8" s="49" t="inlineStr">
        <is>
          <t>66</t>
        </is>
      </c>
      <c r="G8" s="50"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LTRX</t>
        </is>
      </c>
      <c r="B9" s="20" t="inlineStr">
        <is>
          <t>Lantronix, Inc.</t>
        </is>
      </c>
      <c r="C9" s="20" t="inlineStr">
        <is>
          <t>Communication Equipment</t>
        </is>
      </c>
      <c r="D9" s="47" t="inlineStr">
        <is>
          <t>Nano Cap</t>
        </is>
      </c>
      <c r="E9" s="47" t="inlineStr">
        <is>
          <t>44%</t>
        </is>
      </c>
      <c r="F9" s="47" t="inlineStr">
        <is>
          <t>62</t>
        </is>
      </c>
      <c r="G9" s="48"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0" ht="80" customHeight="1">
      <c r="A10" s="25" t="inlineStr">
        <is>
          <t>GLTK</t>
        </is>
      </c>
      <c r="B10" s="26" t="inlineStr">
        <is>
          <t>GlobalTech Corporation</t>
        </is>
      </c>
      <c r="C10" s="26" t="inlineStr">
        <is>
          <t>Telecommunications Services</t>
        </is>
      </c>
      <c r="D10" s="49" t="inlineStr">
        <is>
          <t>Nano Cap</t>
        </is>
      </c>
      <c r="E10" s="49" t="inlineStr">
        <is>
          <t>29%</t>
        </is>
      </c>
      <c r="F10" s="49" t="inlineStr">
        <is>
          <t>65</t>
        </is>
      </c>
      <c r="G10" s="50" t="inlineStr">
        <is>
          <t>Moderate margins (GM 29%) — competitive market, but cost structure supports reinvestment. Rapid revenue growth (98% YoY) signals strong product-market fit and expanding TAM capture. Revenue acceleration (74% QoQ) — growth is compounding, indicating an inflection point or expanding customer adoption. Reasonable capital discipline (8% 3yr dilution) — moderate equity issuance suggests funded growth without excessive shareholder dilution. High insider ownership (78%) — founder/management skin in the game strongly aligns incentives with shareholders.</t>
        </is>
      </c>
    </row>
    <row r="11" ht="80" customHeight="1">
      <c r="A11" s="19" t="inlineStr">
        <is>
          <t>OPXS</t>
        </is>
      </c>
      <c r="B11" s="20" t="inlineStr">
        <is>
          <t>Optex Systems Holdings, Inc</t>
        </is>
      </c>
      <c r="C11" s="20" t="inlineStr">
        <is>
          <t>Aerospace &amp; Defense</t>
        </is>
      </c>
      <c r="D11" s="47" t="inlineStr">
        <is>
          <t>Nano Cap</t>
        </is>
      </c>
      <c r="E11" s="47" t="inlineStr">
        <is>
          <t>34%</t>
        </is>
      </c>
      <c r="F11" s="47" t="inlineStr">
        <is>
          <t>63</t>
        </is>
      </c>
      <c r="G11" s="48" t="inlineStr">
        <is>
          <t>Moderate margins (GM 34%) — competitive market, but cost structure supports reinvestment. Reasonable capital discipline (4% 3yr dilution) — moderate equity issuance suggests funded growth without excessive shareholder dilution. High insider ownership (21%) — founder/management skin in the game strongly aligns incentives with shareholders. Defense/aerospace positioning creates high barriers to entry via security clearances, government contracts, and long procurement cycles.</t>
        </is>
      </c>
    </row>
    <row r="12" ht="80" customHeight="1">
      <c r="A12" s="25" t="inlineStr">
        <is>
          <t>BKTI</t>
        </is>
      </c>
      <c r="B12" s="26" t="inlineStr">
        <is>
          <t>BK Technologies Corporation</t>
        </is>
      </c>
      <c r="C12" s="26" t="inlineStr">
        <is>
          <t>Communication Equipment</t>
        </is>
      </c>
      <c r="D12" s="49" t="inlineStr">
        <is>
          <t>Nano Cap</t>
        </is>
      </c>
      <c r="E12" s="49" t="inlineStr">
        <is>
          <t>52%</t>
        </is>
      </c>
      <c r="F12" s="49" t="inlineStr">
        <is>
          <t>62</t>
        </is>
      </c>
      <c r="G12" s="50"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3" ht="80" customHeight="1">
      <c r="A13" s="19" t="inlineStr">
        <is>
          <t>ASYS</t>
        </is>
      </c>
      <c r="B13" s="20" t="inlineStr">
        <is>
          <t>Amtech Systems, Inc.</t>
        </is>
      </c>
      <c r="C13" s="20" t="inlineStr">
        <is>
          <t>Semiconductors</t>
        </is>
      </c>
      <c r="D13" s="47" t="inlineStr">
        <is>
          <t>Nano Cap</t>
        </is>
      </c>
      <c r="E13" s="47" t="inlineStr">
        <is>
          <t>50%</t>
        </is>
      </c>
      <c r="F13" s="47" t="inlineStr">
        <is>
          <t>64</t>
        </is>
      </c>
      <c r="G13" s="48"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4" ht="80" customHeight="1">
      <c r="A14" s="25" t="inlineStr">
        <is>
          <t>QUIK</t>
        </is>
      </c>
      <c r="B14" s="26" t="inlineStr">
        <is>
          <t>QuickLogic Corporation</t>
        </is>
      </c>
      <c r="C14" s="26" t="inlineStr">
        <is>
          <t>Semiconductors</t>
        </is>
      </c>
      <c r="D14" s="49" t="inlineStr">
        <is>
          <t>Nano Cap</t>
        </is>
      </c>
      <c r="E14" s="49" t="inlineStr">
        <is>
          <t>44%</t>
        </is>
      </c>
      <c r="F14" s="49" t="inlineStr">
        <is>
          <t>58</t>
        </is>
      </c>
      <c r="G14" s="50" t="inlineStr">
        <is>
          <t>Healthy margins (GM 44%) indicate differentiated products with some pricing power above commodity levels. Solid revenue growth (49% YoY) suggests growing demand and competitive positioning in target markets. Revenue acceleration (59% QoQ) — growth is compounding, indicating an inflection point or expanding customer adoption. Dilution risk (28% 3yr share growth) — heavy equity issuance may erode per-share value over time. Semiconductor design/fab expertise represents years of R&amp;D investment — a significant moat against new entrants.</t>
        </is>
      </c>
    </row>
    <row r="15" ht="80" customHeight="1">
      <c r="A15" s="19" t="inlineStr">
        <is>
          <t>SWBI</t>
        </is>
      </c>
      <c r="B15" s="20" t="inlineStr">
        <is>
          <t>Smith &amp; Wesson Brands, Inc.</t>
        </is>
      </c>
      <c r="C15" s="20" t="inlineStr">
        <is>
          <t>Aerospace &amp; Defense</t>
        </is>
      </c>
      <c r="D15" s="47" t="inlineStr">
        <is>
          <t>Small Cap</t>
        </is>
      </c>
      <c r="E15" s="47" t="inlineStr">
        <is>
          <t>29%</t>
        </is>
      </c>
      <c r="F15" s="47" t="inlineStr">
        <is>
          <t>85</t>
        </is>
      </c>
      <c r="G15" s="48"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5" t="inlineStr">
        <is>
          <t>PKE</t>
        </is>
      </c>
      <c r="B16" s="26" t="inlineStr">
        <is>
          <t>Park Aerospace Corp.</t>
        </is>
      </c>
      <c r="C16" s="26" t="inlineStr">
        <is>
          <t>Aerospace &amp; Defense</t>
        </is>
      </c>
      <c r="D16" s="49" t="inlineStr">
        <is>
          <t>Small Cap</t>
        </is>
      </c>
      <c r="E16" s="49" t="inlineStr">
        <is>
          <t>35%</t>
        </is>
      </c>
      <c r="F16" s="49" t="inlineStr">
        <is>
          <t>85</t>
        </is>
      </c>
      <c r="G16" s="50" t="inlineStr">
        <is>
          <t>Moderate margins (GM 35%) — competitive market, but cost structure supports reinvestment. Revenue acceleration (9% QoQ) — growth is compounding, indicating an inflection point or expanding customer adoption. Reasonable capital discipline (3% 3yr dilution) — moderate equity issuance suggests funded growth without excessive shareholder dilution. Defense/aerospace positioning creates high barriers to entry via security clearances, government contracts, and long procurement cycles. Fingerprint score of 85 — structural profile closely matches historical multi-bagger winners at their inflection points.</t>
        </is>
      </c>
    </row>
    <row r="17" ht="80" customHeight="1">
      <c r="A17" s="19" t="inlineStr">
        <is>
          <t>NPKI</t>
        </is>
      </c>
      <c r="B17" s="20" t="inlineStr">
        <is>
          <t>NPK International Inc.</t>
        </is>
      </c>
      <c r="C17" s="20" t="inlineStr">
        <is>
          <t>Construction Materials</t>
        </is>
      </c>
      <c r="D17" s="47" t="inlineStr">
        <is>
          <t>Small Cap</t>
        </is>
      </c>
      <c r="E17" s="47" t="inlineStr">
        <is>
          <t>37%</t>
        </is>
      </c>
      <c r="F17" s="47" t="inlineStr">
        <is>
          <t>83</t>
        </is>
      </c>
      <c r="G17" s="48" t="inlineStr">
        <is>
          <t>Moderate margins (GM 37%) — competitive market, but cost structure supports reinvestment. Revenue acceleration (17% QoQ) — growth is compounding, indicating an inflection point or expanding customer adoption. Exceptional capital discipline (-2% share growth over 3yr) — management avoids dilution, signaling confidence in organic cash generation. Fingerprint score of 83 — structural profile closely matches historical multi-bagger winners at their inflection points.</t>
        </is>
      </c>
    </row>
    <row r="18" ht="80" customHeight="1">
      <c r="A18" s="25" t="inlineStr">
        <is>
          <t>LXFR</t>
        </is>
      </c>
      <c r="B18" s="26" t="inlineStr">
        <is>
          <t>Luxfer Holdings PLC</t>
        </is>
      </c>
      <c r="C18" s="26" t="inlineStr">
        <is>
          <t>Industrial - Machinery</t>
        </is>
      </c>
      <c r="D18" s="49" t="inlineStr">
        <is>
          <t>Small Cap</t>
        </is>
      </c>
      <c r="E18" s="49" t="inlineStr">
        <is>
          <t>26%</t>
        </is>
      </c>
      <c r="F18" s="49" t="inlineStr">
        <is>
          <t>79</t>
        </is>
      </c>
      <c r="G18" s="50" t="inlineStr">
        <is>
          <t>Moderate margins (GM 26%) — competitive market, but cost structure supports reinvestment. Exceptional capital discipline (-0% share growth over 3yr) — management avoids dilution, signaling confidence in organic cash generation. Fingerprint score of 79 — structural profile closely matches historical multi-bagger winners at their inflection points.</t>
        </is>
      </c>
    </row>
    <row r="19" ht="80" customHeight="1">
      <c r="A19" s="19" t="inlineStr">
        <is>
          <t>CLFD</t>
        </is>
      </c>
      <c r="B19" s="20" t="inlineStr">
        <is>
          <t>Clearfield, Inc.</t>
        </is>
      </c>
      <c r="C19" s="20" t="inlineStr">
        <is>
          <t>Communication Equipment</t>
        </is>
      </c>
      <c r="D19" s="47" t="inlineStr">
        <is>
          <t>Small Cap</t>
        </is>
      </c>
      <c r="E19" s="47" t="inlineStr">
        <is>
          <t>32%</t>
        </is>
      </c>
      <c r="F19" s="47" t="inlineStr">
        <is>
          <t>69</t>
        </is>
      </c>
      <c r="G19" s="48" t="inlineStr">
        <is>
          <t>Moderate margins (GM 32%) — competitive market, but cost structure supports reinvestment. Exceptional capital discipline (-11% share growth over 3yr) — management avoids dilution, signaling confidence in organic cash generation. Meaningful insider ownership (18%) — management has material personal stake in company performance. Networking/communications infrastructure — installed base and switching costs create customer lock-in. Fingerprint score of 69 — structural profile closely matches historical multi-bagger winners at their inflection points.</t>
        </is>
      </c>
    </row>
    <row r="20" ht="80" customHeight="1">
      <c r="A20" s="25" t="inlineStr">
        <is>
          <t>ARRY</t>
        </is>
      </c>
      <c r="B20" s="26" t="inlineStr">
        <is>
          <t>Array Technologies, Inc.</t>
        </is>
      </c>
      <c r="C20" s="26" t="inlineStr">
        <is>
          <t>Solar</t>
        </is>
      </c>
      <c r="D20" s="49" t="inlineStr">
        <is>
          <t>Small Cap</t>
        </is>
      </c>
      <c r="E20" s="49" t="inlineStr">
        <is>
          <t>29%</t>
        </is>
      </c>
      <c r="F20" s="49" t="inlineStr">
        <is>
          <t>78</t>
        </is>
      </c>
      <c r="G20" s="50" t="inlineStr">
        <is>
          <t>Moderate margins (GM 29%) — competitive market, but cost structure supports reinvestment. Exceptional capital discipline (2% share growth over 3yr) — management avoids dilution, signaling confidence in organic cash generation. Fingerprint score of 78 — structural profile closely matches historical multi-bagger winners at their inflection points.</t>
        </is>
      </c>
    </row>
    <row r="21" ht="80" customHeight="1">
      <c r="A21" s="19" t="inlineStr">
        <is>
          <t>EVLV</t>
        </is>
      </c>
      <c r="B21" s="20" t="inlineStr">
        <is>
          <t>Evolv Technologies Holdings, Inc.</t>
        </is>
      </c>
      <c r="C21" s="20" t="inlineStr">
        <is>
          <t>Security &amp; Protection Services</t>
        </is>
      </c>
      <c r="D21" s="47" t="inlineStr">
        <is>
          <t>Small Cap</t>
        </is>
      </c>
      <c r="E21" s="47" t="inlineStr">
        <is>
          <t>50%</t>
        </is>
      </c>
      <c r="F21" s="47" t="inlineStr">
        <is>
          <t>74</t>
        </is>
      </c>
      <c r="G21" s="48"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2" ht="80" customHeight="1">
      <c r="A22" s="25" t="inlineStr">
        <is>
          <t>GHM</t>
        </is>
      </c>
      <c r="B22" s="26" t="inlineStr">
        <is>
          <t>Graham Corporation</t>
        </is>
      </c>
      <c r="C22" s="26" t="inlineStr">
        <is>
          <t>Industrial - Machinery</t>
        </is>
      </c>
      <c r="D22" s="49" t="inlineStr">
        <is>
          <t>Small Cap</t>
        </is>
      </c>
      <c r="E22" s="49" t="inlineStr">
        <is>
          <t>25%</t>
        </is>
      </c>
      <c r="F22" s="49" t="inlineStr">
        <is>
          <t>88</t>
        </is>
      </c>
      <c r="G22" s="50"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23" ht="80" customHeight="1">
      <c r="A23" s="19" t="inlineStr">
        <is>
          <t>NNDM</t>
        </is>
      </c>
      <c r="B23" s="20" t="inlineStr">
        <is>
          <t>Nano Dimension Ltd.</t>
        </is>
      </c>
      <c r="C23" s="20" t="inlineStr">
        <is>
          <t>Computer Hardware</t>
        </is>
      </c>
      <c r="D23" s="47" t="inlineStr">
        <is>
          <t>Small Cap</t>
        </is>
      </c>
      <c r="E23" s="47" t="inlineStr">
        <is>
          <t>46%</t>
        </is>
      </c>
      <c r="F23" s="47" t="inlineStr">
        <is>
          <t>71</t>
        </is>
      </c>
      <c r="G23" s="48" t="inlineStr">
        <is>
          <t>Healthy margins (GM 46%) indicate differentiated products with some pricing power above commodity levels. Exceptional capital discipline (-18% share growth over 3yr) — management avoids dilution, signaling confidence in organic cash generation. Fingerprint score of 71 — structural profile closely matches historical multi-bagger winners at their inflection points.</t>
        </is>
      </c>
    </row>
    <row r="24" ht="80" customHeight="1">
      <c r="A24" s="25" t="inlineStr">
        <is>
          <t>ADTN</t>
        </is>
      </c>
      <c r="B24" s="26" t="inlineStr">
        <is>
          <t>ADTRAN Holdings Inc.</t>
        </is>
      </c>
      <c r="C24" s="26" t="inlineStr">
        <is>
          <t>Communication Equipment</t>
        </is>
      </c>
      <c r="D24" s="49" t="inlineStr">
        <is>
          <t>Small Cap</t>
        </is>
      </c>
      <c r="E24" s="49" t="inlineStr">
        <is>
          <t>37%</t>
        </is>
      </c>
      <c r="F24" s="49" t="inlineStr">
        <is>
          <t>77</t>
        </is>
      </c>
      <c r="G24" s="50"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5" ht="80" customHeight="1">
      <c r="A25" s="19" t="inlineStr">
        <is>
          <t>CALX</t>
        </is>
      </c>
      <c r="B25" s="20" t="inlineStr">
        <is>
          <t>Calix, Inc.</t>
        </is>
      </c>
      <c r="C25" s="20" t="inlineStr">
        <is>
          <t>Communication Equipment</t>
        </is>
      </c>
      <c r="D25" s="47" t="inlineStr">
        <is>
          <t>Breakout</t>
        </is>
      </c>
      <c r="E25" s="47" t="inlineStr">
        <is>
          <t>55%</t>
        </is>
      </c>
      <c r="F25" s="47" t="inlineStr">
        <is>
          <t>84</t>
        </is>
      </c>
      <c r="G25" s="48"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6" ht="80" customHeight="1">
      <c r="A26" s="25" t="inlineStr">
        <is>
          <t>ADEA</t>
        </is>
      </c>
      <c r="B26" s="26" t="inlineStr">
        <is>
          <t>Adeia Inc.</t>
        </is>
      </c>
      <c r="C26" s="26" t="inlineStr">
        <is>
          <t>Software - Application</t>
        </is>
      </c>
      <c r="D26" s="49" t="inlineStr">
        <is>
          <t>Breakout</t>
        </is>
      </c>
      <c r="E26" s="49" t="inlineStr">
        <is>
          <t>26%</t>
        </is>
      </c>
      <c r="F26" s="49" t="inlineStr">
        <is>
          <t>80</t>
        </is>
      </c>
      <c r="G26" s="50"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7" ht="80" customHeight="1">
      <c r="A27" s="19" t="inlineStr">
        <is>
          <t>DCI</t>
        </is>
      </c>
      <c r="B27" s="20" t="inlineStr">
        <is>
          <t>Donaldson Company, Inc.</t>
        </is>
      </c>
      <c r="C27" s="20" t="inlineStr">
        <is>
          <t>Industrial - Machinery</t>
        </is>
      </c>
      <c r="D27" s="47" t="inlineStr">
        <is>
          <t>Breakout</t>
        </is>
      </c>
      <c r="E27" s="47" t="inlineStr">
        <is>
          <t>36%</t>
        </is>
      </c>
      <c r="F27" s="47" t="inlineStr">
        <is>
          <t>79</t>
        </is>
      </c>
      <c r="G27" s="48"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8" ht="80" customHeight="1">
      <c r="A28" s="25" t="inlineStr">
        <is>
          <t>CACI</t>
        </is>
      </c>
      <c r="B28" s="26" t="inlineStr">
        <is>
          <t>CACI International Inc</t>
        </is>
      </c>
      <c r="C28" s="26" t="inlineStr">
        <is>
          <t>Information Technology Services</t>
        </is>
      </c>
      <c r="D28" s="49" t="inlineStr">
        <is>
          <t>Breakout</t>
        </is>
      </c>
      <c r="E28" s="49" t="inlineStr">
        <is>
          <t>34%</t>
        </is>
      </c>
      <c r="F28" s="49" t="inlineStr">
        <is>
          <t>80</t>
        </is>
      </c>
      <c r="G28" s="50"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29" ht="80" customHeight="1">
      <c r="A29" s="19" t="inlineStr">
        <is>
          <t>BRC</t>
        </is>
      </c>
      <c r="B29" s="20" t="inlineStr">
        <is>
          <t>Brady Corporation</t>
        </is>
      </c>
      <c r="C29" s="20" t="inlineStr">
        <is>
          <t>Security &amp; Protection Services</t>
        </is>
      </c>
      <c r="D29" s="47" t="inlineStr">
        <is>
          <t>Breakout</t>
        </is>
      </c>
      <c r="E29" s="47" t="inlineStr">
        <is>
          <t>53%</t>
        </is>
      </c>
      <c r="F29" s="47" t="inlineStr">
        <is>
          <t>75</t>
        </is>
      </c>
      <c r="G29" s="48" t="inlineStr">
        <is>
          <t>Healthy margins (GM 53%) indicate differentiated products with some pricing power above commodity levels. Exceptional capital discipline (-2% share growth over 3yr) — management avoids dilution, signaling confidence in organic cash generation. Meaningful insider ownership (10%) — management has material personal stake in company performance. Fingerprint score of 75 — structural profile closely matches historical multi-bagger winners at their inflection points.</t>
        </is>
      </c>
    </row>
    <row r="30" ht="80" customHeight="1">
      <c r="A30" s="25" t="inlineStr">
        <is>
          <t>MRCY</t>
        </is>
      </c>
      <c r="B30" s="26" t="inlineStr">
        <is>
          <t>Mercury Systems, Inc.</t>
        </is>
      </c>
      <c r="C30" s="26" t="inlineStr">
        <is>
          <t>Aerospace &amp; Defense</t>
        </is>
      </c>
      <c r="D30" s="49" t="inlineStr">
        <is>
          <t>Breakout</t>
        </is>
      </c>
      <c r="E30" s="49" t="inlineStr">
        <is>
          <t>27%</t>
        </is>
      </c>
      <c r="F30" s="49" t="inlineStr">
        <is>
          <t>71</t>
        </is>
      </c>
      <c r="G30" s="50" t="inlineStr">
        <is>
          <t>Moderate margins (GM 27%) — competitive market, but cost structure supports reinvestment. Reasonable capital discipline (4% 3yr dilution) — moderate equity issuance suggests funded growth without excessive shareholder dilution. Defense/aerospace positioning creates high barriers to entry via security clearances, government contracts, and long procurement cycles. Fingerprint score of 71 — structural profile closely matches historical multi-bagger winners at their inflection points.</t>
        </is>
      </c>
    </row>
    <row r="31" ht="80" customHeight="1">
      <c r="A31" s="19" t="inlineStr">
        <is>
          <t>CE</t>
        </is>
      </c>
      <c r="B31" s="20" t="inlineStr">
        <is>
          <t>Celanese Corporation</t>
        </is>
      </c>
      <c r="C31" s="20" t="inlineStr">
        <is>
          <t>Chemicals</t>
        </is>
      </c>
      <c r="D31" s="47" t="inlineStr">
        <is>
          <t>Breakout</t>
        </is>
      </c>
      <c r="E31" s="47" t="inlineStr">
        <is>
          <t>22%</t>
        </is>
      </c>
      <c r="F31" s="47" t="inlineStr">
        <is>
          <t>74</t>
        </is>
      </c>
      <c r="G31" s="48"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32" ht="80" customHeight="1">
      <c r="A32" s="25" t="inlineStr">
        <is>
          <t>RUN</t>
        </is>
      </c>
      <c r="B32" s="26" t="inlineStr">
        <is>
          <t>Sunrun Inc.</t>
        </is>
      </c>
      <c r="C32" s="26" t="inlineStr">
        <is>
          <t>Solar</t>
        </is>
      </c>
      <c r="D32" s="49" t="inlineStr">
        <is>
          <t>Breakout</t>
        </is>
      </c>
      <c r="E32" s="49" t="inlineStr">
        <is>
          <t>38%</t>
        </is>
      </c>
      <c r="F32" s="49" t="inlineStr">
        <is>
          <t>71</t>
        </is>
      </c>
      <c r="G32" s="50" t="inlineStr">
        <is>
          <t>Moderate margins (GM 38%) — competitive market, but cost structure supports reinvestment. Rapid revenue growth (53% YoY) signals strong product-market fit and expanding TAM capture. Revenue acceleration (44% QoQ) — growth is compounding, indicating an inflection point or expanding customer adoption. Reasonable capital discipline (10% 3yr dilution) — moderate equity issuance suggests funded growth without excessive shareholder dilution. Fingerprint score of 71 — structural profile closely matches historical multi-bagger winners at their inflection points.</t>
        </is>
      </c>
    </row>
    <row r="33" ht="80" customHeight="1">
      <c r="A33" s="19" t="inlineStr">
        <is>
          <t>LYFT</t>
        </is>
      </c>
      <c r="B33" s="20" t="inlineStr">
        <is>
          <t>Lyft, Inc.</t>
        </is>
      </c>
      <c r="C33" s="20" t="inlineStr">
        <is>
          <t>Software - Application</t>
        </is>
      </c>
      <c r="D33" s="47" t="inlineStr">
        <is>
          <t>Breakout</t>
        </is>
      </c>
      <c r="E33" s="47" t="inlineStr">
        <is>
          <t>50%</t>
        </is>
      </c>
      <c r="F33" s="47" t="inlineStr">
        <is>
          <t>78</t>
        </is>
      </c>
      <c r="G33" s="48" t="inlineStr">
        <is>
          <t>Healthy margins (GM 50%) indicate differentiated products with some pricing power above commodity levels. Revenue acceleration (6% QoQ) — growth is compounding, indicating an inflection point or expanding customer adoption. Exceptional capital discipline (-2% share growth over 3yr) — management avoids dilution, signaling confidence in organic cash generation. Meaningful insider ownership (10%) — management has material personal stake in company performance. Fingerprint score of 78 — structural profile closely matches historical multi-bagger winners at their inflection points.</t>
        </is>
      </c>
    </row>
    <row r="34" ht="80" customHeight="1">
      <c r="A34" s="25" t="inlineStr">
        <is>
          <t>KN</t>
        </is>
      </c>
      <c r="B34" s="26" t="inlineStr">
        <is>
          <t>Knowles Corporation</t>
        </is>
      </c>
      <c r="C34" s="26" t="inlineStr">
        <is>
          <t>Hardware, Equipment &amp; Parts</t>
        </is>
      </c>
      <c r="D34" s="49" t="inlineStr">
        <is>
          <t>Breakout</t>
        </is>
      </c>
      <c r="E34" s="49" t="inlineStr">
        <is>
          <t>42%</t>
        </is>
      </c>
      <c r="F34" s="49" t="inlineStr">
        <is>
          <t>70</t>
        </is>
      </c>
      <c r="G34" s="50" t="inlineStr">
        <is>
          <t>Healthy margins (GM 42%) indicate differentiated products with some pricing power above commodity levels. Revenue acceleration (6% QoQ) — growth is compounding, indicating an inflection point or expanding customer adoption. Exceptional capital discipline (-6% share growth over 3yr) — management avoids dilution, signaling confidence in organic cash generation. Fingerprint score of 70 — structural profile closely matches historical multi-bagger winners at their inflection points.</t>
        </is>
      </c>
    </row>
    <row r="35" ht="80" customHeight="1">
      <c r="A35" s="19" t="inlineStr">
        <is>
          <t>CW</t>
        </is>
      </c>
      <c r="B35" s="20" t="inlineStr">
        <is>
          <t>Curtiss-Wright Corporation</t>
        </is>
      </c>
      <c r="C35" s="20" t="inlineStr">
        <is>
          <t>Aerospace &amp; Defense</t>
        </is>
      </c>
      <c r="D35" s="47" t="inlineStr">
        <is>
          <t>Vital Link</t>
        </is>
      </c>
      <c r="E35" s="47" t="inlineStr">
        <is>
          <t>39%</t>
        </is>
      </c>
      <c r="F35" s="47" t="inlineStr">
        <is>
          <t>83</t>
        </is>
      </c>
      <c r="G35" s="48" t="inlineStr">
        <is>
          <t>Moderate margins (GM 39%) — competitive market, but cost structure supports reinvestment. Exceptional capital discipline (-4% share growth over 3yr) — management avoids dilution, signaling confidence in organic cash generation. Defense/aerospace positioning creates high barriers to entry via security clearances, government contracts, and long procurement cycles. Fingerprint score of 83 — structural profile closely matches historical multi-bagger winners at their inflection points.</t>
        </is>
      </c>
    </row>
    <row r="36" ht="80" customHeight="1">
      <c r="A36" s="25" t="inlineStr">
        <is>
          <t>ON</t>
        </is>
      </c>
      <c r="B36" s="26" t="inlineStr">
        <is>
          <t>ON Semiconductor Corporation</t>
        </is>
      </c>
      <c r="C36" s="26" t="inlineStr">
        <is>
          <t>Semiconductors</t>
        </is>
      </c>
      <c r="D36" s="49" t="inlineStr">
        <is>
          <t>Vital Link</t>
        </is>
      </c>
      <c r="E36" s="49" t="inlineStr">
        <is>
          <t>38%</t>
        </is>
      </c>
      <c r="F36" s="49" t="inlineStr">
        <is>
          <t>83</t>
        </is>
      </c>
      <c r="G36" s="50" t="inlineStr">
        <is>
          <t>Moderate margins (GM 38%) — competitive market, but cost structure supports reinvestment. Revenue acceleration (25% QoQ) — growth is compounding, indicating an inflection point or expanding customer adoption. Exceptional capital discipline (-10% share growth over 3yr) — management avoids dilution, signaling confidence in organic cash generation. Semiconductor design/fab expertise represents years of R&amp;D investment — a significant moat against new entrants. Fingerprint score of 83 — structural profile closely matches historical multi-bagger winners at their inflection points.</t>
        </is>
      </c>
    </row>
    <row r="37" ht="80" customHeight="1">
      <c r="A37" s="19" t="inlineStr">
        <is>
          <t>TDY</t>
        </is>
      </c>
      <c r="B37" s="20" t="inlineStr">
        <is>
          <t>Teledyne Technologies Incorporated</t>
        </is>
      </c>
      <c r="C37" s="20" t="inlineStr">
        <is>
          <t>Hardware, Equipment &amp; Parts</t>
        </is>
      </c>
      <c r="D37" s="47" t="inlineStr">
        <is>
          <t>Vital Link</t>
        </is>
      </c>
      <c r="E37" s="47" t="inlineStr">
        <is>
          <t>44%</t>
        </is>
      </c>
      <c r="F37" s="47" t="inlineStr">
        <is>
          <t>78</t>
        </is>
      </c>
      <c r="G37" s="48" t="inlineStr">
        <is>
          <t>Healthy margins (GM 44%) indicate differentiated products with some pricing power above commodity levels. Exceptional capital discipline (-0% share growth over 3yr) — management avoids dilution, signaling confidence in organic cash generation. Fingerprint score of 78 — structural profile closely matches historical multi-bagger winners at their inflection points.</t>
        </is>
      </c>
    </row>
    <row r="38" ht="80" customHeight="1">
      <c r="A38" s="25" t="inlineStr">
        <is>
          <t>PPG</t>
        </is>
      </c>
      <c r="B38" s="26" t="inlineStr">
        <is>
          <t>PPG Industries, Inc.</t>
        </is>
      </c>
      <c r="C38" s="26" t="inlineStr">
        <is>
          <t>Chemicals - Specialty</t>
        </is>
      </c>
      <c r="D38" s="49" t="inlineStr">
        <is>
          <t>Vital Link</t>
        </is>
      </c>
      <c r="E38" s="49" t="inlineStr">
        <is>
          <t>40%</t>
        </is>
      </c>
      <c r="F38" s="49" t="inlineStr">
        <is>
          <t>82</t>
        </is>
      </c>
      <c r="G38" s="50" t="inlineStr">
        <is>
          <t>Healthy margins (GM 40%) indicate differentiated products with some pricing power above commodity levels. Revenue acceleration (8% QoQ) — growth is compounding, indicating an inflection point or expanding customer adoption. Exceptional capital discipline (-6% share growth over 3yr) — management avoids dilution, signaling confidence in organic cash generation. Fingerprint score of 82 — structural profile closely matches historical multi-bagger winners at their inflection points.</t>
        </is>
      </c>
    </row>
    <row r="39" ht="80" customHeight="1">
      <c r="A39" s="19" t="inlineStr">
        <is>
          <t>HUBB</t>
        </is>
      </c>
      <c r="B39" s="20" t="inlineStr">
        <is>
          <t>Hubbell Incorporated</t>
        </is>
      </c>
      <c r="C39" s="20" t="inlineStr">
        <is>
          <t>Electrical Equipment &amp; Parts</t>
        </is>
      </c>
      <c r="D39" s="47" t="inlineStr">
        <is>
          <t>Vital Link</t>
        </is>
      </c>
      <c r="E39" s="47" t="inlineStr">
        <is>
          <t>36%</t>
        </is>
      </c>
      <c r="F39" s="47" t="inlineStr">
        <is>
          <t>83</t>
        </is>
      </c>
      <c r="G39" s="48" t="inlineStr">
        <is>
          <t>Moderate margins (GM 36%) — competitive market, but cost structure supports reinvestment. Revenue acceleration (13% QoQ) — growth is compounding, indicating an inflection point or expanding customer adoption. Exceptional capital discipline (-1% share growth over 3yr) — management avoids dilution, signaling confidence in organic cash generation. Fingerprint score of 83 — structural profile closely matches historical multi-bagger winners at their inflection points.</t>
        </is>
      </c>
    </row>
    <row r="40" ht="80" customHeight="1">
      <c r="A40" s="25" t="inlineStr">
        <is>
          <t>HON</t>
        </is>
      </c>
      <c r="B40" s="26" t="inlineStr">
        <is>
          <t>Honeywell International Inc.</t>
        </is>
      </c>
      <c r="C40" s="26" t="inlineStr">
        <is>
          <t>Conglomerates</t>
        </is>
      </c>
      <c r="D40" s="49" t="inlineStr">
        <is>
          <t>Vital Link</t>
        </is>
      </c>
      <c r="E40" s="49" t="inlineStr">
        <is>
          <t>38%</t>
        </is>
      </c>
      <c r="F40" s="49" t="inlineStr">
        <is>
          <t>80</t>
        </is>
      </c>
      <c r="G40" s="50" t="inlineStr">
        <is>
          <t>Moderate margins (GM 38%) — competitive market, but cost structure supports reinvestment. Exceptional capital discipline (-4% share growth over 3yr) — management avoids dilution, signaling confidence in organic cash generation. Fingerprint score of 80 — structural profile closely matches historical multi-bagger winners at their inflection points.</t>
        </is>
      </c>
    </row>
    <row r="41" ht="80" customHeight="1">
      <c r="A41" s="19" t="inlineStr">
        <is>
          <t>LHX</t>
        </is>
      </c>
      <c r="B41" s="20" t="inlineStr">
        <is>
          <t>L3Harris Technologies, Inc.</t>
        </is>
      </c>
      <c r="C41" s="20" t="inlineStr">
        <is>
          <t>Aerospace &amp; Defense</t>
        </is>
      </c>
      <c r="D41" s="47" t="inlineStr">
        <is>
          <t>Vital Link</t>
        </is>
      </c>
      <c r="E41" s="47" t="inlineStr">
        <is>
          <t>26%</t>
        </is>
      </c>
      <c r="F41" s="47" t="inlineStr">
        <is>
          <t>76</t>
        </is>
      </c>
      <c r="G41" s="48" t="inlineStr">
        <is>
          <t>Moderate margins (GM 26%) — competitive market, but cost structure supports reinvestment. Revenue acceleration (6% QoQ) — growth is compounding, indicating an inflection point or expanding customer adoption. Exceptional capital discipline (-1% share growth over 3yr) — management avoids dilution, signaling confidence in organic cash generation. Defense/aerospace positioning creates high barriers to entry via security clearances, government contracts, and long procurement cycles. Fingerprint score of 76 — structural profile closely matches historical multi-bagger winners at their inflection points.</t>
        </is>
      </c>
    </row>
    <row r="42" ht="80" customHeight="1">
      <c r="A42" s="25" t="inlineStr">
        <is>
          <t>FTAI</t>
        </is>
      </c>
      <c r="B42" s="26" t="inlineStr">
        <is>
          <t>FTAI Aviation Ltd.</t>
        </is>
      </c>
      <c r="C42" s="26" t="inlineStr">
        <is>
          <t>Aerospace &amp; Defense</t>
        </is>
      </c>
      <c r="D42" s="49" t="inlineStr">
        <is>
          <t>Vital Link</t>
        </is>
      </c>
      <c r="E42" s="49" t="inlineStr">
        <is>
          <t>33%</t>
        </is>
      </c>
      <c r="F42" s="49" t="inlineStr">
        <is>
          <t>78</t>
        </is>
      </c>
      <c r="G42" s="50" t="inlineStr">
        <is>
          <t>Moderate margins (GM 33%) — competitive market, but cost structure supports reinvestment. Solid revenue growth (41% YoY) suggests growing demand and competitive positioning in target markets.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78 — structural profile closely matches historical multi-bagger winners at their inflection points.</t>
        </is>
      </c>
    </row>
    <row r="43" ht="80" customHeight="1">
      <c r="A43" s="19" t="inlineStr">
        <is>
          <t>GEHC</t>
        </is>
      </c>
      <c r="B43" s="20" t="inlineStr">
        <is>
          <t>GE HealthCare Technologies Inc.</t>
        </is>
      </c>
      <c r="C43" s="20" t="inlineStr">
        <is>
          <t>Medical - Devices</t>
        </is>
      </c>
      <c r="D43" s="47" t="inlineStr">
        <is>
          <t>Vital Link</t>
        </is>
      </c>
      <c r="E43" s="47" t="inlineStr">
        <is>
          <t>41%</t>
        </is>
      </c>
      <c r="F43" s="47" t="inlineStr">
        <is>
          <t>81</t>
        </is>
      </c>
      <c r="G43" s="48" t="inlineStr">
        <is>
          <t>Healthy margins (GM 41%) indicate differentiated products with some pricing power above commodity levels. Exceptional capital discipline (-0% share growth over 3yr) — management avoids dilution, signaling confidence in organic cash generation. Fingerprint score of 81 — structural profile closely matches historical multi-bagger winners at their inflection points.</t>
        </is>
      </c>
    </row>
    <row r="44" ht="80" customHeight="1">
      <c r="A44" s="25" t="inlineStr">
        <is>
          <t>AME</t>
        </is>
      </c>
      <c r="B44" s="26" t="inlineStr">
        <is>
          <t>AMETEK, Inc.</t>
        </is>
      </c>
      <c r="C44" s="26" t="inlineStr">
        <is>
          <t>Electrical Equipment &amp; Parts</t>
        </is>
      </c>
      <c r="D44" s="49" t="inlineStr">
        <is>
          <t>Vital Link</t>
        </is>
      </c>
      <c r="E44" s="49" t="inlineStr">
        <is>
          <t>36%</t>
        </is>
      </c>
      <c r="F44" s="49" t="inlineStr">
        <is>
          <t>77</t>
        </is>
      </c>
      <c r="G44" s="50" t="inlineStr">
        <is>
          <t>Moderate margins (GM 36%) — competitive market, but cost structure supports reinvestment. Revenue acceleration (12% QoQ) — growth is compounding, indicating an inflection point or expanding customer adoption. Exceptional capital discipline (-1% share growth over 3yr) — management avoids dilution, signaling confidence in organic cash generation. Fingerprint score of 77 — structural profile closely matches historical multi-bagger winners at their inflection points.</t>
        </is>
      </c>
    </row>
  </sheetData>
  <autoFilter ref="A4:G4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29" t="inlineStr">
        <is>
          <t>CROSS-TIER STANDOUTS</t>
        </is>
      </c>
      <c r="B1" s="11" t="n"/>
      <c r="C1" s="11" t="n"/>
      <c r="D1" s="11" t="n"/>
      <c r="E1" s="11" t="n"/>
      <c r="F1" s="11" t="n"/>
      <c r="G1" s="11" t="n"/>
      <c r="H1" s="11" t="n"/>
      <c r="I1" s="11" t="n"/>
      <c r="J1" s="11" t="n"/>
      <c r="K1" s="11" t="n"/>
      <c r="L1" s="11" t="n"/>
      <c r="M1" s="11" t="n"/>
      <c r="N1" s="11" t="n"/>
    </row>
    <row r="2" ht="22" customHeight="1">
      <c r="A2" s="30"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SWBI</t>
        </is>
      </c>
      <c r="D6" s="20" t="inlineStr">
        <is>
          <t>Smith &amp; Wesson Brands, Inc.</t>
        </is>
      </c>
      <c r="E6" s="34" t="n">
        <v>79.2</v>
      </c>
      <c r="F6" s="47" t="inlineStr">
        <is>
          <t>Small Cap</t>
        </is>
      </c>
      <c r="G6" s="59" t="n">
        <v>79.2</v>
      </c>
      <c r="I6" s="58" t="inlineStr">
        <is>
          <t>🥇</t>
        </is>
      </c>
      <c r="J6" s="19" t="inlineStr">
        <is>
          <t>NNDM</t>
        </is>
      </c>
      <c r="K6" s="20" t="inlineStr">
        <is>
          <t>Nano Dimension Ltd.</t>
        </is>
      </c>
      <c r="L6" s="34" t="n">
        <v>-18.3</v>
      </c>
      <c r="M6" s="47" t="inlineStr">
        <is>
          <t>Small Cap</t>
        </is>
      </c>
      <c r="N6" s="59" t="n">
        <v>70.5</v>
      </c>
    </row>
    <row r="7" ht="16" customHeight="1">
      <c r="B7" s="60" t="inlineStr">
        <is>
          <t>🥈</t>
        </is>
      </c>
      <c r="C7" s="25" t="inlineStr">
        <is>
          <t>PKE</t>
        </is>
      </c>
      <c r="D7" s="26" t="inlineStr">
        <is>
          <t>Park Aerospace Corp.</t>
        </is>
      </c>
      <c r="E7" s="41" t="n">
        <v>78.7</v>
      </c>
      <c r="F7" s="49" t="inlineStr">
        <is>
          <t>Small Cap</t>
        </is>
      </c>
      <c r="G7" s="61" t="n">
        <v>78.7</v>
      </c>
      <c r="I7" s="60" t="inlineStr">
        <is>
          <t>🥈</t>
        </is>
      </c>
      <c r="J7" s="25" t="inlineStr">
        <is>
          <t>CLFD</t>
        </is>
      </c>
      <c r="K7" s="26" t="inlineStr">
        <is>
          <t>Clearfield, Inc.</t>
        </is>
      </c>
      <c r="L7" s="41" t="n">
        <v>-10.9</v>
      </c>
      <c r="M7" s="49" t="inlineStr">
        <is>
          <t>Small Cap</t>
        </is>
      </c>
      <c r="N7" s="61" t="n">
        <v>73.90000000000001</v>
      </c>
    </row>
    <row r="8" ht="16" customHeight="1">
      <c r="B8" s="58" t="inlineStr">
        <is>
          <t>🥉</t>
        </is>
      </c>
      <c r="C8" s="19" t="inlineStr">
        <is>
          <t>CALX</t>
        </is>
      </c>
      <c r="D8" s="20" t="inlineStr">
        <is>
          <t>Calix, Inc.</t>
        </is>
      </c>
      <c r="E8" s="34" t="n">
        <v>77.2</v>
      </c>
      <c r="F8" s="47" t="inlineStr">
        <is>
          <t>Breakout</t>
        </is>
      </c>
      <c r="G8" s="59" t="n">
        <v>77.2</v>
      </c>
      <c r="I8" s="58" t="inlineStr">
        <is>
          <t>🥉</t>
        </is>
      </c>
      <c r="J8" s="19" t="inlineStr">
        <is>
          <t>ON</t>
        </is>
      </c>
      <c r="K8" s="20" t="inlineStr">
        <is>
          <t>ON Semiconductor Corporation</t>
        </is>
      </c>
      <c r="L8" s="34" t="n">
        <v>-9.5</v>
      </c>
      <c r="M8" s="47" t="inlineStr">
        <is>
          <t>Vital Link</t>
        </is>
      </c>
      <c r="N8" s="59" t="n">
        <v>74.5</v>
      </c>
    </row>
    <row r="9" ht="16" customHeight="1">
      <c r="B9" s="60" t="inlineStr">
        <is>
          <t>4th</t>
        </is>
      </c>
      <c r="C9" s="25" t="inlineStr">
        <is>
          <t>CW</t>
        </is>
      </c>
      <c r="D9" s="26" t="inlineStr">
        <is>
          <t>Curtiss-Wright Corporation</t>
        </is>
      </c>
      <c r="E9" s="41" t="n">
        <v>75.3</v>
      </c>
      <c r="F9" s="49" t="inlineStr">
        <is>
          <t>Vital Link</t>
        </is>
      </c>
      <c r="G9" s="61" t="n">
        <v>75.3</v>
      </c>
      <c r="I9" s="60" t="inlineStr">
        <is>
          <t>4th</t>
        </is>
      </c>
      <c r="J9" s="25" t="inlineStr">
        <is>
          <t>RELL</t>
        </is>
      </c>
      <c r="K9" s="26" t="inlineStr">
        <is>
          <t>Richardson Electronics, Ltd.</t>
        </is>
      </c>
      <c r="L9" s="41" t="n">
        <v>-7.9</v>
      </c>
      <c r="M9" s="49" t="inlineStr">
        <is>
          <t>Nano Cap</t>
        </is>
      </c>
      <c r="N9" s="61" t="n">
        <v>70</v>
      </c>
    </row>
    <row r="10" ht="16" customHeight="1">
      <c r="B10" s="58" t="inlineStr">
        <is>
          <t>5th</t>
        </is>
      </c>
      <c r="C10" s="19" t="inlineStr">
        <is>
          <t>NPKI</t>
        </is>
      </c>
      <c r="D10" s="20" t="inlineStr">
        <is>
          <t>NPK International Inc.</t>
        </is>
      </c>
      <c r="E10" s="34" t="n">
        <v>75.09999999999999</v>
      </c>
      <c r="F10" s="47" t="inlineStr">
        <is>
          <t>Small Cap</t>
        </is>
      </c>
      <c r="G10" s="59" t="n">
        <v>75.09999999999999</v>
      </c>
      <c r="I10" s="58" t="inlineStr">
        <is>
          <t>5th</t>
        </is>
      </c>
      <c r="J10" s="19" t="inlineStr">
        <is>
          <t>KN</t>
        </is>
      </c>
      <c r="K10" s="20" t="inlineStr">
        <is>
          <t>Knowles Corporation</t>
        </is>
      </c>
      <c r="L10" s="34" t="n">
        <v>-5.6</v>
      </c>
      <c r="M10" s="47" t="inlineStr">
        <is>
          <t>Breakout</t>
        </is>
      </c>
      <c r="N10" s="59" t="n">
        <v>68.2</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GHM</t>
        </is>
      </c>
      <c r="D14" s="20" t="inlineStr">
        <is>
          <t>Graham Corporation</t>
        </is>
      </c>
      <c r="E14" s="34" t="n">
        <v>88.40000000000001</v>
      </c>
      <c r="F14" s="47" t="inlineStr">
        <is>
          <t>Small Cap</t>
        </is>
      </c>
      <c r="G14" s="59" t="n">
        <v>70.7</v>
      </c>
      <c r="I14" s="58" t="inlineStr">
        <is>
          <t>🥇</t>
        </is>
      </c>
      <c r="J14" s="19" t="inlineStr">
        <is>
          <t>GLTK</t>
        </is>
      </c>
      <c r="K14" s="20" t="inlineStr">
        <is>
          <t>GlobalTech Corporation</t>
        </is>
      </c>
      <c r="L14" s="34" t="n">
        <v>77.59999999999999</v>
      </c>
      <c r="M14" s="47" t="inlineStr">
        <is>
          <t>Nano Cap</t>
        </is>
      </c>
      <c r="N14" s="59" t="n">
        <v>64.90000000000001</v>
      </c>
    </row>
    <row r="15" ht="16" customHeight="1">
      <c r="B15" s="60" t="inlineStr">
        <is>
          <t>🥈</t>
        </is>
      </c>
      <c r="C15" s="25" t="inlineStr">
        <is>
          <t>SWBI</t>
        </is>
      </c>
      <c r="D15" s="26" t="inlineStr">
        <is>
          <t>Smith &amp; Wesson Brands, Inc.</t>
        </is>
      </c>
      <c r="E15" s="41" t="n">
        <v>85.40000000000001</v>
      </c>
      <c r="F15" s="49" t="inlineStr">
        <is>
          <t>Small Cap</t>
        </is>
      </c>
      <c r="G15" s="61" t="n">
        <v>79.2</v>
      </c>
      <c r="I15" s="60" t="inlineStr">
        <is>
          <t>🥈</t>
        </is>
      </c>
      <c r="J15" s="25" t="inlineStr">
        <is>
          <t>ASYS</t>
        </is>
      </c>
      <c r="K15" s="26" t="inlineStr">
        <is>
          <t>Amtech Systems, Inc.</t>
        </is>
      </c>
      <c r="L15" s="41" t="n">
        <v>26.3</v>
      </c>
      <c r="M15" s="49" t="inlineStr">
        <is>
          <t>Nano Cap</t>
        </is>
      </c>
      <c r="N15" s="61" t="n">
        <v>61.6</v>
      </c>
    </row>
    <row r="16" ht="16" customHeight="1">
      <c r="B16" s="58" t="inlineStr">
        <is>
          <t>🥉</t>
        </is>
      </c>
      <c r="C16" s="19" t="inlineStr">
        <is>
          <t>PKE</t>
        </is>
      </c>
      <c r="D16" s="20" t="inlineStr">
        <is>
          <t>Park Aerospace Corp.</t>
        </is>
      </c>
      <c r="E16" s="34" t="n">
        <v>85.40000000000001</v>
      </c>
      <c r="F16" s="47" t="inlineStr">
        <is>
          <t>Small Cap</t>
        </is>
      </c>
      <c r="G16" s="59" t="n">
        <v>78.7</v>
      </c>
      <c r="I16" s="58" t="inlineStr">
        <is>
          <t>🥉</t>
        </is>
      </c>
      <c r="J16" s="19" t="inlineStr">
        <is>
          <t>BKTI</t>
        </is>
      </c>
      <c r="K16" s="20" t="inlineStr">
        <is>
          <t>BK Technologies Corporation</t>
        </is>
      </c>
      <c r="L16" s="34" t="n">
        <v>24</v>
      </c>
      <c r="M16" s="47" t="inlineStr">
        <is>
          <t>Nano Cap</t>
        </is>
      </c>
      <c r="N16" s="59" t="n">
        <v>62.4</v>
      </c>
    </row>
    <row r="17" ht="16" customHeight="1">
      <c r="B17" s="60" t="inlineStr">
        <is>
          <t>4th</t>
        </is>
      </c>
      <c r="C17" s="25" t="inlineStr">
        <is>
          <t>CALX</t>
        </is>
      </c>
      <c r="D17" s="26" t="inlineStr">
        <is>
          <t>Calix, Inc.</t>
        </is>
      </c>
      <c r="E17" s="41" t="n">
        <v>83.90000000000001</v>
      </c>
      <c r="F17" s="49" t="inlineStr">
        <is>
          <t>Breakout</t>
        </is>
      </c>
      <c r="G17" s="61" t="n">
        <v>77.2</v>
      </c>
      <c r="I17" s="60" t="inlineStr">
        <is>
          <t>4th</t>
        </is>
      </c>
      <c r="J17" s="25" t="inlineStr">
        <is>
          <t>SODI</t>
        </is>
      </c>
      <c r="K17" s="26" t="inlineStr">
        <is>
          <t>Solitron Devices, Inc.</t>
        </is>
      </c>
      <c r="L17" s="41" t="n">
        <v>23</v>
      </c>
      <c r="M17" s="49" t="inlineStr">
        <is>
          <t>Nano Cap</t>
        </is>
      </c>
      <c r="N17" s="61" t="n">
        <v>70.90000000000001</v>
      </c>
    </row>
    <row r="18" ht="16" customHeight="1">
      <c r="B18" s="58" t="inlineStr">
        <is>
          <t>5th</t>
        </is>
      </c>
      <c r="C18" s="19" t="inlineStr">
        <is>
          <t>CW</t>
        </is>
      </c>
      <c r="D18" s="20" t="inlineStr">
        <is>
          <t>Curtiss-Wright Corporation</t>
        </is>
      </c>
      <c r="E18" s="34" t="n">
        <v>83.3</v>
      </c>
      <c r="F18" s="47" t="inlineStr">
        <is>
          <t>Vital Link</t>
        </is>
      </c>
      <c r="G18" s="59" t="n">
        <v>75.3</v>
      </c>
      <c r="I18" s="58" t="inlineStr">
        <is>
          <t>5th</t>
        </is>
      </c>
      <c r="J18" s="19" t="inlineStr">
        <is>
          <t>LTRX</t>
        </is>
      </c>
      <c r="K18" s="20" t="inlineStr">
        <is>
          <t>Lantronix, Inc.</t>
        </is>
      </c>
      <c r="L18" s="34" t="n">
        <v>22.5</v>
      </c>
      <c r="M18" s="47" t="inlineStr">
        <is>
          <t>Nano Cap</t>
        </is>
      </c>
      <c r="N18" s="59" t="n">
        <v>66</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SODI</t>
        </is>
      </c>
      <c r="D22" s="20" t="inlineStr">
        <is>
          <t>Solitron Devices, Inc.</t>
        </is>
      </c>
      <c r="E22" s="34" t="n">
        <v>101.3</v>
      </c>
      <c r="F22" s="47" t="inlineStr">
        <is>
          <t>Nano Cap</t>
        </is>
      </c>
      <c r="G22" s="59" t="n">
        <v>70.90000000000001</v>
      </c>
      <c r="I22" s="58" t="inlineStr">
        <is>
          <t>🥇</t>
        </is>
      </c>
      <c r="J22" s="19" t="inlineStr">
        <is>
          <t>SODI</t>
        </is>
      </c>
      <c r="K22" s="20" t="inlineStr">
        <is>
          <t>Solitron Devices, Inc.</t>
        </is>
      </c>
      <c r="L22" s="21" t="n">
        <v>69.5</v>
      </c>
      <c r="M22" s="47" t="inlineStr">
        <is>
          <t>Nano Cap</t>
        </is>
      </c>
      <c r="N22" s="59" t="n">
        <v>70.90000000000001</v>
      </c>
    </row>
    <row r="23" ht="16" customHeight="1">
      <c r="B23" s="60" t="inlineStr">
        <is>
          <t>🥈</t>
        </is>
      </c>
      <c r="C23" s="25" t="inlineStr">
        <is>
          <t>GLTK</t>
        </is>
      </c>
      <c r="D23" s="26" t="inlineStr">
        <is>
          <t>GlobalTech Corporation</t>
        </is>
      </c>
      <c r="E23" s="41" t="n">
        <v>97.5</v>
      </c>
      <c r="F23" s="49" t="inlineStr">
        <is>
          <t>Nano Cap</t>
        </is>
      </c>
      <c r="G23" s="61" t="n">
        <v>64.90000000000001</v>
      </c>
      <c r="I23" s="60" t="inlineStr">
        <is>
          <t>🥈</t>
        </is>
      </c>
      <c r="J23" s="25" t="inlineStr">
        <is>
          <t>OPXS</t>
        </is>
      </c>
      <c r="K23" s="26" t="inlineStr">
        <is>
          <t>Optex Systems Holdings, Inc</t>
        </is>
      </c>
      <c r="L23" s="27" t="n">
        <v>71.59999999999999</v>
      </c>
      <c r="M23" s="49" t="inlineStr">
        <is>
          <t>Nano Cap</t>
        </is>
      </c>
      <c r="N23" s="61" t="n">
        <v>64.09999999999999</v>
      </c>
    </row>
    <row r="24" ht="16" customHeight="1">
      <c r="B24" s="58" t="inlineStr">
        <is>
          <t>🥉</t>
        </is>
      </c>
      <c r="C24" s="19" t="inlineStr">
        <is>
          <t>RUN</t>
        </is>
      </c>
      <c r="D24" s="20" t="inlineStr">
        <is>
          <t>Sunrun Inc.</t>
        </is>
      </c>
      <c r="E24" s="34" t="n">
        <v>52.8</v>
      </c>
      <c r="F24" s="47" t="inlineStr">
        <is>
          <t>Breakout</t>
        </is>
      </c>
      <c r="G24" s="59" t="n">
        <v>69.09999999999999</v>
      </c>
      <c r="I24" s="58" t="inlineStr">
        <is>
          <t>🥉</t>
        </is>
      </c>
      <c r="J24" s="19" t="inlineStr">
        <is>
          <t>RFIL</t>
        </is>
      </c>
      <c r="K24" s="20" t="inlineStr">
        <is>
          <t>RF Industries, Ltd.</t>
        </is>
      </c>
      <c r="L24" s="21" t="n">
        <v>117.2</v>
      </c>
      <c r="M24" s="47" t="inlineStr">
        <is>
          <t>Nano Cap</t>
        </is>
      </c>
      <c r="N24" s="59" t="n">
        <v>67.40000000000001</v>
      </c>
    </row>
    <row r="25" ht="16" customHeight="1">
      <c r="B25" s="60" t="inlineStr">
        <is>
          <t>4th</t>
        </is>
      </c>
      <c r="C25" s="25" t="inlineStr">
        <is>
          <t>QUIK</t>
        </is>
      </c>
      <c r="D25" s="26" t="inlineStr">
        <is>
          <t>QuickLogic Corporation</t>
        </is>
      </c>
      <c r="E25" s="41" t="n">
        <v>48.7</v>
      </c>
      <c r="F25" s="49" t="inlineStr">
        <is>
          <t>Nano Cap</t>
        </is>
      </c>
      <c r="G25" s="61" t="n">
        <v>61.6</v>
      </c>
      <c r="I25" s="60" t="inlineStr">
        <is>
          <t>4th</t>
        </is>
      </c>
      <c r="J25" s="25" t="inlineStr">
        <is>
          <t>INTT</t>
        </is>
      </c>
      <c r="K25" s="26" t="inlineStr">
        <is>
          <t>inTEST Corporation</t>
        </is>
      </c>
      <c r="L25" s="27" t="n">
        <v>146.3</v>
      </c>
      <c r="M25" s="49" t="inlineStr">
        <is>
          <t>Nano Cap</t>
        </is>
      </c>
      <c r="N25" s="61" t="n">
        <v>70.2</v>
      </c>
    </row>
    <row r="26" ht="16" customHeight="1">
      <c r="B26" s="58" t="inlineStr">
        <is>
          <t>5th</t>
        </is>
      </c>
      <c r="C26" s="19" t="inlineStr">
        <is>
          <t>FTAI</t>
        </is>
      </c>
      <c r="D26" s="20" t="inlineStr">
        <is>
          <t>FTAI Aviation Ltd.</t>
        </is>
      </c>
      <c r="E26" s="34" t="n">
        <v>40.9</v>
      </c>
      <c r="F26" s="47" t="inlineStr">
        <is>
          <t>Vital Link</t>
        </is>
      </c>
      <c r="G26" s="59" t="n">
        <v>71.2</v>
      </c>
      <c r="I26" s="58" t="inlineStr">
        <is>
          <t>5th</t>
        </is>
      </c>
      <c r="J26" s="19" t="inlineStr">
        <is>
          <t>QUIK</t>
        </is>
      </c>
      <c r="K26" s="20" t="inlineStr">
        <is>
          <t>QuickLogic Corporation</t>
        </is>
      </c>
      <c r="L26" s="21" t="n">
        <v>197.1</v>
      </c>
      <c r="M26" s="47" t="inlineStr">
        <is>
          <t>Nano Cap</t>
        </is>
      </c>
      <c r="N26" s="59" t="n">
        <v>61.6</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SODI</t>
        </is>
      </c>
      <c r="D30" s="20" t="inlineStr">
        <is>
          <t>Solitron Devices, Inc.</t>
        </is>
      </c>
      <c r="E30" s="34" t="n">
        <v>40.43478</v>
      </c>
      <c r="F30" s="47" t="inlineStr">
        <is>
          <t>Nano Cap</t>
        </is>
      </c>
      <c r="G30" s="59" t="n">
        <v>70.90000000000001</v>
      </c>
    </row>
    <row r="31" ht="16" customHeight="1">
      <c r="B31" s="60" t="inlineStr">
        <is>
          <t>🥈</t>
        </is>
      </c>
      <c r="C31" s="25" t="inlineStr">
        <is>
          <t>CACI</t>
        </is>
      </c>
      <c r="D31" s="26" t="inlineStr">
        <is>
          <t>CACI International Inc</t>
        </is>
      </c>
      <c r="E31" s="41" t="n">
        <v>18.83114</v>
      </c>
      <c r="F31" s="49" t="inlineStr">
        <is>
          <t>Breakout</t>
        </is>
      </c>
      <c r="G31" s="61" t="n">
        <v>71.5</v>
      </c>
    </row>
    <row r="32" ht="16" customHeight="1">
      <c r="B32" s="58" t="inlineStr">
        <is>
          <t>🥉</t>
        </is>
      </c>
      <c r="C32" s="19" t="inlineStr">
        <is>
          <t>BRC</t>
        </is>
      </c>
      <c r="D32" s="20" t="inlineStr">
        <is>
          <t>Brady Corporation</t>
        </is>
      </c>
      <c r="E32" s="34" t="n">
        <v>16.73751</v>
      </c>
      <c r="F32" s="47" t="inlineStr">
        <is>
          <t>Breakout</t>
        </is>
      </c>
      <c r="G32" s="59" t="n">
        <v>69.90000000000001</v>
      </c>
    </row>
    <row r="33" ht="16" customHeight="1">
      <c r="B33" s="60" t="inlineStr">
        <is>
          <t>4th</t>
        </is>
      </c>
      <c r="C33" s="25" t="inlineStr">
        <is>
          <t>LYFT</t>
        </is>
      </c>
      <c r="D33" s="26" t="inlineStr">
        <is>
          <t>Lyft, Inc.</t>
        </is>
      </c>
      <c r="E33" s="41" t="n">
        <v>15.12126</v>
      </c>
      <c r="F33" s="49" t="inlineStr">
        <is>
          <t>Breakout</t>
        </is>
      </c>
      <c r="G33" s="61" t="n">
        <v>69.09999999999999</v>
      </c>
    </row>
    <row r="34" ht="16" customHeight="1">
      <c r="B34" s="58" t="inlineStr">
        <is>
          <t>5th</t>
        </is>
      </c>
      <c r="C34" s="19" t="inlineStr">
        <is>
          <t>DCI</t>
        </is>
      </c>
      <c r="D34" s="20" t="inlineStr">
        <is>
          <t>Donaldson Company, Inc.</t>
        </is>
      </c>
      <c r="E34" s="34" t="n">
        <v>9.0855</v>
      </c>
      <c r="F34" s="47" t="inlineStr">
        <is>
          <t>Breakout</t>
        </is>
      </c>
      <c r="G34" s="59" t="n">
        <v>73</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5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29" t="inlineStr">
        <is>
          <t>INVESTMENT RECOMMENDATIONS</t>
        </is>
      </c>
      <c r="B1" s="11" t="n"/>
      <c r="C1" s="11" t="n"/>
      <c r="D1" s="11" t="n"/>
      <c r="E1" s="11" t="n"/>
      <c r="F1" s="11" t="n"/>
      <c r="G1" s="11" t="n"/>
      <c r="H1" s="11" t="n"/>
      <c r="I1" s="11" t="n"/>
    </row>
    <row r="2" ht="22" customHeight="1">
      <c r="A2" s="30"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7" t="inlineStr">
        <is>
          <t>Small Cap</t>
        </is>
      </c>
      <c r="D6" s="24" t="inlineStr">
        <is>
          <t>Medium-High</t>
        </is>
      </c>
      <c r="E6" s="20" t="inlineStr">
        <is>
          <t>Fingerprint Match</t>
        </is>
      </c>
      <c r="F6" s="34" t="n">
        <v>79.2</v>
      </c>
      <c r="G6" s="48" t="inlineStr">
        <is>
          <t>Strengths: solid revenue growth, minimal dilution, strong fingerprint match. Risks: thin margins, low insider ownership.</t>
        </is>
      </c>
      <c r="H6" s="64" t="inlineStr">
        <is>
          <t>✓ solid revenue growth
✓ minimal dilution
✓ strong fingerprint match</t>
        </is>
      </c>
      <c r="I6" s="65" t="inlineStr">
        <is>
          <t>⚠ thin margins
⚠ low insider ownership</t>
        </is>
      </c>
    </row>
    <row r="7" ht="40" customHeight="1">
      <c r="A7" s="25" t="inlineStr">
        <is>
          <t>PKE</t>
        </is>
      </c>
      <c r="B7" s="26" t="inlineStr">
        <is>
          <t>Park Aerospace Corp.</t>
        </is>
      </c>
      <c r="C7" s="49" t="inlineStr">
        <is>
          <t>Small Cap</t>
        </is>
      </c>
      <c r="D7" s="24" t="inlineStr">
        <is>
          <t>Medium-High</t>
        </is>
      </c>
      <c r="E7" s="26" t="inlineStr">
        <is>
          <t>Emerging Watch</t>
        </is>
      </c>
      <c r="F7" s="41" t="n">
        <v>78.7</v>
      </c>
      <c r="G7" s="50" t="inlineStr">
        <is>
          <t>Strengths: minimal dilution, strong fingerprint match. Risks: none significant.</t>
        </is>
      </c>
      <c r="H7" s="64" t="inlineStr">
        <is>
          <t>✓ minimal dilution
✓ strong fingerprint match</t>
        </is>
      </c>
      <c r="I7" s="65" t="inlineStr">
        <is>
          <t>—</t>
        </is>
      </c>
    </row>
    <row r="8" ht="40" customHeight="1">
      <c r="A8" s="19" t="inlineStr">
        <is>
          <t>CALX</t>
        </is>
      </c>
      <c r="B8" s="20" t="inlineStr">
        <is>
          <t>Calix, Inc.</t>
        </is>
      </c>
      <c r="C8" s="47" t="inlineStr">
        <is>
          <t>Breakout</t>
        </is>
      </c>
      <c r="D8" s="24" t="inlineStr">
        <is>
          <t>Medium-High</t>
        </is>
      </c>
      <c r="E8" s="20" t="inlineStr">
        <is>
          <t>Fingerprint Match</t>
        </is>
      </c>
      <c r="F8" s="34" t="n">
        <v>77.2</v>
      </c>
      <c r="G8" s="48" t="inlineStr">
        <is>
          <t>Strengths: solid revenue growth, high-margin business, minimal dilution, strong fingerprint match. Risks: none significant.</t>
        </is>
      </c>
      <c r="H8" s="64" t="inlineStr">
        <is>
          <t>✓ solid revenue growth
✓ high-margin business
✓ minimal dilution
✓ strong fingerprint match</t>
        </is>
      </c>
      <c r="I8" s="65" t="inlineStr">
        <is>
          <t>—</t>
        </is>
      </c>
    </row>
    <row r="9" ht="40" customHeight="1">
      <c r="A9" s="25" t="inlineStr">
        <is>
          <t>CW</t>
        </is>
      </c>
      <c r="B9" s="26" t="inlineStr">
        <is>
          <t>Curtiss-Wright Corporation</t>
        </is>
      </c>
      <c r="C9" s="49" t="inlineStr">
        <is>
          <t>Vital Link</t>
        </is>
      </c>
      <c r="D9" s="24" t="inlineStr">
        <is>
          <t>Medium-High</t>
        </is>
      </c>
      <c r="E9" s="26" t="inlineStr">
        <is>
          <t>Emerging Watch</t>
        </is>
      </c>
      <c r="F9" s="41" t="n">
        <v>75.3</v>
      </c>
      <c r="G9" s="50" t="inlineStr">
        <is>
          <t>Strengths: healthy margins, minimal dilution, strong fingerprint match. Risks: low insider ownership, modest growth.</t>
        </is>
      </c>
      <c r="H9" s="64" t="inlineStr">
        <is>
          <t>✓ healthy margins
✓ minimal dilution
✓ strong fingerprint match</t>
        </is>
      </c>
      <c r="I9" s="65" t="inlineStr">
        <is>
          <t>⚠ low insider ownership
⚠ modest growth</t>
        </is>
      </c>
    </row>
    <row r="10" ht="40" customHeight="1">
      <c r="A10" s="19" t="inlineStr">
        <is>
          <t>NPKI</t>
        </is>
      </c>
      <c r="B10" s="20" t="inlineStr">
        <is>
          <t>NPK International Inc.</t>
        </is>
      </c>
      <c r="C10" s="47" t="inlineStr">
        <is>
          <t>Small Cap</t>
        </is>
      </c>
      <c r="D10" s="24" t="inlineStr">
        <is>
          <t>Medium-High</t>
        </is>
      </c>
      <c r="E10" s="20" t="inlineStr">
        <is>
          <t>Emerging Watch</t>
        </is>
      </c>
      <c r="F10" s="34" t="n">
        <v>75.09999999999999</v>
      </c>
      <c r="G10" s="48" t="inlineStr">
        <is>
          <t>Strengths: healthy margins, minimal dilution, strong fingerprint match. Risks: none significant.</t>
        </is>
      </c>
      <c r="H10" s="64" t="inlineStr">
        <is>
          <t>✓ healthy margins
✓ minimal dilution
✓ strong fingerprint match</t>
        </is>
      </c>
      <c r="I10" s="65" t="inlineStr">
        <is>
          <t>—</t>
        </is>
      </c>
    </row>
    <row r="11" ht="40" customHeight="1">
      <c r="A11" s="25" t="inlineStr">
        <is>
          <t>ON</t>
        </is>
      </c>
      <c r="B11" s="26" t="inlineStr">
        <is>
          <t>ON Semiconductor Corporation</t>
        </is>
      </c>
      <c r="C11" s="49" t="inlineStr">
        <is>
          <t>Vital Link</t>
        </is>
      </c>
      <c r="D11" s="23" t="inlineStr">
        <is>
          <t>Medium</t>
        </is>
      </c>
      <c r="E11" s="26" t="inlineStr">
        <is>
          <t>Emerging Watch</t>
        </is>
      </c>
      <c r="F11" s="41" t="n">
        <v>74.5</v>
      </c>
      <c r="G11" s="50" t="inlineStr">
        <is>
          <t>Strengths: healthy margins, minimal dilution, strong fingerprint match. Risks: low insider ownership, negative momentum, modest growth.</t>
        </is>
      </c>
      <c r="H11" s="64" t="inlineStr">
        <is>
          <t>✓ healthy margins
✓ minimal dilution
✓ strong fingerprint match</t>
        </is>
      </c>
      <c r="I11" s="65" t="inlineStr">
        <is>
          <t>⚠ low insider ownership
⚠ negative momentum
⚠ modest growth</t>
        </is>
      </c>
    </row>
    <row r="12" ht="40" customHeight="1">
      <c r="A12" s="19" t="inlineStr">
        <is>
          <t>LXFR</t>
        </is>
      </c>
      <c r="B12" s="20" t="inlineStr">
        <is>
          <t>Luxfer Holdings PLC</t>
        </is>
      </c>
      <c r="C12" s="47" t="inlineStr">
        <is>
          <t>Small Cap</t>
        </is>
      </c>
      <c r="D12" s="23" t="inlineStr">
        <is>
          <t>Medium</t>
        </is>
      </c>
      <c r="E12" s="20" t="inlineStr">
        <is>
          <t>Emerging Watch</t>
        </is>
      </c>
      <c r="F12" s="34" t="n">
        <v>74</v>
      </c>
      <c r="G12" s="48" t="inlineStr">
        <is>
          <t>Strengths: minimal dilution. Risks: thin margins, low insider ownership, modest growth.</t>
        </is>
      </c>
      <c r="H12" s="64" t="inlineStr">
        <is>
          <t>✓ minimal dilution</t>
        </is>
      </c>
      <c r="I12" s="65" t="inlineStr">
        <is>
          <t>⚠ thin margins
⚠ low insider ownership
⚠ modest growth</t>
        </is>
      </c>
    </row>
    <row r="13" ht="40" customHeight="1">
      <c r="A13" s="25" t="inlineStr">
        <is>
          <t>CLFD</t>
        </is>
      </c>
      <c r="B13" s="26" t="inlineStr">
        <is>
          <t>Clearfield, Inc.</t>
        </is>
      </c>
      <c r="C13" s="49" t="inlineStr">
        <is>
          <t>Small Cap</t>
        </is>
      </c>
      <c r="D13" s="23" t="inlineStr">
        <is>
          <t>Medium</t>
        </is>
      </c>
      <c r="E13" s="26" t="inlineStr">
        <is>
          <t>Emerging Watch</t>
        </is>
      </c>
      <c r="F13" s="41" t="n">
        <v>73.90000000000001</v>
      </c>
      <c r="G13" s="50" t="inlineStr">
        <is>
          <t>Strengths: high insider alignment, minimal dilution. Risks: modest growth.</t>
        </is>
      </c>
      <c r="H13" s="64" t="inlineStr">
        <is>
          <t>✓ high insider alignment
✓ minimal dilution</t>
        </is>
      </c>
      <c r="I13" s="65" t="inlineStr">
        <is>
          <t>⚠ modest growth</t>
        </is>
      </c>
    </row>
    <row r="14" ht="40" customHeight="1">
      <c r="A14" s="19" t="inlineStr">
        <is>
          <t>TDY</t>
        </is>
      </c>
      <c r="B14" s="20" t="inlineStr">
        <is>
          <t>Teledyne Technologies Incorporated</t>
        </is>
      </c>
      <c r="C14" s="47" t="inlineStr">
        <is>
          <t>Vital Link</t>
        </is>
      </c>
      <c r="D14" s="23" t="inlineStr">
        <is>
          <t>Medium</t>
        </is>
      </c>
      <c r="E14" s="20" t="inlineStr">
        <is>
          <t>Emerging Watch</t>
        </is>
      </c>
      <c r="F14" s="34" t="n">
        <v>73.7</v>
      </c>
      <c r="G14" s="48" t="inlineStr">
        <is>
          <t>Strengths: healthy margins, minimal dilution. Risks: low insider ownership, modest growth.</t>
        </is>
      </c>
      <c r="H14" s="64" t="inlineStr">
        <is>
          <t>✓ healthy margins
✓ minimal dilution</t>
        </is>
      </c>
      <c r="I14" s="65" t="inlineStr">
        <is>
          <t>⚠ low insider ownership
⚠ modest growth</t>
        </is>
      </c>
    </row>
    <row r="15" ht="40" customHeight="1">
      <c r="A15" s="25" t="inlineStr">
        <is>
          <t>ADEA</t>
        </is>
      </c>
      <c r="B15" s="26" t="inlineStr">
        <is>
          <t>Adeia Inc.</t>
        </is>
      </c>
      <c r="C15" s="49" t="inlineStr">
        <is>
          <t>Breakout</t>
        </is>
      </c>
      <c r="D15" s="23" t="inlineStr">
        <is>
          <t>Medium</t>
        </is>
      </c>
      <c r="E15" s="26" t="inlineStr">
        <is>
          <t>Emerging Watch</t>
        </is>
      </c>
      <c r="F15" s="41" t="n">
        <v>73.40000000000001</v>
      </c>
      <c r="G15" s="50" t="inlineStr">
        <is>
          <t>Strengths: minimal dilution. Risks: thin margins, low insider ownership, modest growth.</t>
        </is>
      </c>
      <c r="H15" s="64" t="inlineStr">
        <is>
          <t>✓ minimal dilution</t>
        </is>
      </c>
      <c r="I15" s="65" t="inlineStr">
        <is>
          <t>⚠ thin margins
⚠ low insider ownership
⚠ modest growth</t>
        </is>
      </c>
    </row>
    <row r="16" ht="40" customHeight="1">
      <c r="A16" s="19" t="inlineStr">
        <is>
          <t>PPG</t>
        </is>
      </c>
      <c r="B16" s="20" t="inlineStr">
        <is>
          <t>PPG Industries, Inc.</t>
        </is>
      </c>
      <c r="C16" s="47" t="inlineStr">
        <is>
          <t>Vital Link</t>
        </is>
      </c>
      <c r="D16" s="23" t="inlineStr">
        <is>
          <t>Medium</t>
        </is>
      </c>
      <c r="E16" s="20" t="inlineStr">
        <is>
          <t>Emerging Watch</t>
        </is>
      </c>
      <c r="F16" s="34" t="n">
        <v>73.40000000000001</v>
      </c>
      <c r="G16" s="48" t="inlineStr">
        <is>
          <t>Strengths: healthy margins, minimal dilution, strong fingerprint match. Risks: low insider ownership, modest growth.</t>
        </is>
      </c>
      <c r="H16" s="64" t="inlineStr">
        <is>
          <t>✓ healthy margins
✓ minimal dilution
✓ strong fingerprint match</t>
        </is>
      </c>
      <c r="I16" s="65" t="inlineStr">
        <is>
          <t>⚠ low insider ownership
⚠ modest growth</t>
        </is>
      </c>
    </row>
    <row r="17" ht="40" customHeight="1">
      <c r="A17" s="25" t="inlineStr">
        <is>
          <t>HUBB</t>
        </is>
      </c>
      <c r="B17" s="26" t="inlineStr">
        <is>
          <t>Hubbell Incorporated</t>
        </is>
      </c>
      <c r="C17" s="49" t="inlineStr">
        <is>
          <t>Vital Link</t>
        </is>
      </c>
      <c r="D17" s="23" t="inlineStr">
        <is>
          <t>Medium</t>
        </is>
      </c>
      <c r="E17" s="26" t="inlineStr">
        <is>
          <t>Emerging Watch</t>
        </is>
      </c>
      <c r="F17" s="41" t="n">
        <v>73.2</v>
      </c>
      <c r="G17" s="50" t="inlineStr">
        <is>
          <t>Strengths: healthy margins, minimal dilution, strong fingerprint match. Risks: low insider ownership.</t>
        </is>
      </c>
      <c r="H17" s="64" t="inlineStr">
        <is>
          <t>✓ healthy margins
✓ minimal dilution
✓ strong fingerprint match</t>
        </is>
      </c>
      <c r="I17" s="65" t="inlineStr">
        <is>
          <t>⚠ low insider ownership</t>
        </is>
      </c>
    </row>
    <row r="18" ht="40" customHeight="1">
      <c r="A18" s="19" t="inlineStr">
        <is>
          <t>DCI</t>
        </is>
      </c>
      <c r="B18" s="20" t="inlineStr">
        <is>
          <t>Donaldson Company, Inc.</t>
        </is>
      </c>
      <c r="C18" s="47" t="inlineStr">
        <is>
          <t>Breakout</t>
        </is>
      </c>
      <c r="D18" s="23" t="inlineStr">
        <is>
          <t>Medium</t>
        </is>
      </c>
      <c r="E18" s="20" t="inlineStr">
        <is>
          <t>Emerging Watch</t>
        </is>
      </c>
      <c r="F18" s="34" t="n">
        <v>73</v>
      </c>
      <c r="G18" s="48" t="inlineStr">
        <is>
          <t>Strengths: healthy margins, minimal dilution. Risks: low insider ownership, modest growth.</t>
        </is>
      </c>
      <c r="H18" s="64" t="inlineStr">
        <is>
          <t>✓ healthy margins
✓ minimal dilution</t>
        </is>
      </c>
      <c r="I18" s="65" t="inlineStr">
        <is>
          <t>⚠ low insider ownership
⚠ modest growth</t>
        </is>
      </c>
    </row>
    <row r="19" ht="40" customHeight="1">
      <c r="A19" s="25" t="inlineStr">
        <is>
          <t>ARRY</t>
        </is>
      </c>
      <c r="B19" s="26" t="inlineStr">
        <is>
          <t>Array Technologies, Inc.</t>
        </is>
      </c>
      <c r="C19" s="49" t="inlineStr">
        <is>
          <t>Small Cap</t>
        </is>
      </c>
      <c r="D19" s="23" t="inlineStr">
        <is>
          <t>Medium</t>
        </is>
      </c>
      <c r="E19" s="26" t="inlineStr">
        <is>
          <t>Emerging Watch</t>
        </is>
      </c>
      <c r="F19" s="41" t="n">
        <v>72.59999999999999</v>
      </c>
      <c r="G19" s="50" t="inlineStr">
        <is>
          <t>Strengths: minimal dilution. Risks: thin margins, negative momentum, modest growth.</t>
        </is>
      </c>
      <c r="H19" s="64" t="inlineStr">
        <is>
          <t>✓ minimal dilution</t>
        </is>
      </c>
      <c r="I19" s="65" t="inlineStr">
        <is>
          <t>⚠ thin margins
⚠ negative momentum
⚠ modest growth</t>
        </is>
      </c>
    </row>
    <row r="20" ht="40" customHeight="1">
      <c r="A20" s="19" t="inlineStr">
        <is>
          <t>HON</t>
        </is>
      </c>
      <c r="B20" s="20" t="inlineStr">
        <is>
          <t>Honeywell International Inc.</t>
        </is>
      </c>
      <c r="C20" s="47" t="inlineStr">
        <is>
          <t>Vital Link</t>
        </is>
      </c>
      <c r="D20" s="23" t="inlineStr">
        <is>
          <t>Medium</t>
        </is>
      </c>
      <c r="E20" s="20" t="inlineStr">
        <is>
          <t>Emerging Watch</t>
        </is>
      </c>
      <c r="F20" s="34" t="n">
        <v>72.40000000000001</v>
      </c>
      <c r="G20" s="48" t="inlineStr">
        <is>
          <t>Strengths: healthy margins, minimal dilution. Risks: modest growth.</t>
        </is>
      </c>
      <c r="H20" s="64" t="inlineStr">
        <is>
          <t>✓ healthy margins
✓ minimal dilution</t>
        </is>
      </c>
      <c r="I20" s="65" t="inlineStr">
        <is>
          <t>⚠ modest growth</t>
        </is>
      </c>
    </row>
    <row r="21" ht="40" customHeight="1">
      <c r="A21" s="25" t="inlineStr">
        <is>
          <t>EVLV</t>
        </is>
      </c>
      <c r="B21" s="26" t="inlineStr">
        <is>
          <t>Evolv Technologies Holdings, Inc.</t>
        </is>
      </c>
      <c r="C21" s="49" t="inlineStr">
        <is>
          <t>Small Cap</t>
        </is>
      </c>
      <c r="D21" s="23" t="inlineStr">
        <is>
          <t>Medium</t>
        </is>
      </c>
      <c r="E21" s="26" t="inlineStr">
        <is>
          <t>Growth Inflection</t>
        </is>
      </c>
      <c r="F21" s="41" t="n">
        <v>72.09999999999999</v>
      </c>
      <c r="G21" s="50" t="inlineStr">
        <is>
          <t>Strengths: solid revenue growth, high-margin business. Risks: significant dilution.</t>
        </is>
      </c>
      <c r="H21" s="64" t="inlineStr">
        <is>
          <t>✓ solid revenue growth
✓ high-margin business</t>
        </is>
      </c>
      <c r="I21" s="65" t="inlineStr">
        <is>
          <t>⚠ significant dilution</t>
        </is>
      </c>
    </row>
    <row r="22" ht="40" customHeight="1">
      <c r="A22" s="19" t="inlineStr">
        <is>
          <t>CACI</t>
        </is>
      </c>
      <c r="B22" s="20" t="inlineStr">
        <is>
          <t>CACI International Inc</t>
        </is>
      </c>
      <c r="C22" s="47" t="inlineStr">
        <is>
          <t>Breakout</t>
        </is>
      </c>
      <c r="D22" s="23" t="inlineStr">
        <is>
          <t>Medium</t>
        </is>
      </c>
      <c r="E22" s="20" t="inlineStr">
        <is>
          <t>Emerging Watch</t>
        </is>
      </c>
      <c r="F22" s="34" t="n">
        <v>71.5</v>
      </c>
      <c r="G22" s="48" t="inlineStr">
        <is>
          <t>Strengths: minimal dilution. Risks: low insider ownership.</t>
        </is>
      </c>
      <c r="H22" s="64" t="inlineStr">
        <is>
          <t>✓ minimal dilution</t>
        </is>
      </c>
      <c r="I22" s="65" t="inlineStr">
        <is>
          <t>⚠ low insider ownership</t>
        </is>
      </c>
    </row>
    <row r="23" ht="40" customHeight="1">
      <c r="A23" s="25" t="inlineStr">
        <is>
          <t>LHX</t>
        </is>
      </c>
      <c r="B23" s="26" t="inlineStr">
        <is>
          <t>L3Harris Technologies, Inc.</t>
        </is>
      </c>
      <c r="C23" s="49" t="inlineStr">
        <is>
          <t>Vital Link</t>
        </is>
      </c>
      <c r="D23" s="23" t="inlineStr">
        <is>
          <t>Medium</t>
        </is>
      </c>
      <c r="E23" s="26" t="inlineStr">
        <is>
          <t>Emerging Watch</t>
        </is>
      </c>
      <c r="F23" s="41" t="n">
        <v>71.2</v>
      </c>
      <c r="G23" s="50" t="inlineStr">
        <is>
          <t>Strengths: minimal dilution. Risks: thin margins, low insider ownership, modest growth.</t>
        </is>
      </c>
      <c r="H23" s="64" t="inlineStr">
        <is>
          <t>✓ minimal dilution</t>
        </is>
      </c>
      <c r="I23" s="65" t="inlineStr">
        <is>
          <t>⚠ thin margins
⚠ low insider ownership
⚠ modest growth</t>
        </is>
      </c>
    </row>
    <row r="24" ht="40" customHeight="1">
      <c r="A24" s="19" t="inlineStr">
        <is>
          <t>FTAI</t>
        </is>
      </c>
      <c r="B24" s="20" t="inlineStr">
        <is>
          <t>FTAI Aviation Ltd.</t>
        </is>
      </c>
      <c r="C24" s="47" t="inlineStr">
        <is>
          <t>Vital Link</t>
        </is>
      </c>
      <c r="D24" s="23" t="inlineStr">
        <is>
          <t>Medium</t>
        </is>
      </c>
      <c r="E24" s="20" t="inlineStr">
        <is>
          <t>Growth Inflection</t>
        </is>
      </c>
      <c r="F24" s="34" t="n">
        <v>71.2</v>
      </c>
      <c r="G24" s="48" t="inlineStr">
        <is>
          <t>Strengths: strong revenue growth, minimal dilution. Risks: low insider ownership.</t>
        </is>
      </c>
      <c r="H24" s="64" t="inlineStr">
        <is>
          <t>✓ strong revenue growth
✓ minimal dilution</t>
        </is>
      </c>
      <c r="I24" s="65" t="inlineStr">
        <is>
          <t>⚠ low insider ownership</t>
        </is>
      </c>
    </row>
    <row r="25" ht="40" customHeight="1">
      <c r="A25" s="25" t="inlineStr">
        <is>
          <t>GEHC</t>
        </is>
      </c>
      <c r="B25" s="26" t="inlineStr">
        <is>
          <t>GE HealthCare Technologies Inc.</t>
        </is>
      </c>
      <c r="C25" s="49" t="inlineStr">
        <is>
          <t>Vital Link</t>
        </is>
      </c>
      <c r="D25" s="23" t="inlineStr">
        <is>
          <t>Medium</t>
        </is>
      </c>
      <c r="E25" s="26" t="inlineStr">
        <is>
          <t>Emerging Watch</t>
        </is>
      </c>
      <c r="F25" s="41" t="n">
        <v>71.2</v>
      </c>
      <c r="G25" s="50" t="inlineStr">
        <is>
          <t>Strengths: healthy margins, minimal dilution, strong fingerprint match. Risks: low insider ownership, modest growth.</t>
        </is>
      </c>
      <c r="H25" s="64" t="inlineStr">
        <is>
          <t>✓ healthy margins
✓ minimal dilution
✓ strong fingerprint match</t>
        </is>
      </c>
      <c r="I25" s="65" t="inlineStr">
        <is>
          <t>⚠ low insider ownership
⚠ modest growth</t>
        </is>
      </c>
    </row>
    <row r="26" ht="40" customHeight="1">
      <c r="A26" s="19" t="inlineStr">
        <is>
          <t>SODI</t>
        </is>
      </c>
      <c r="B26" s="20" t="inlineStr">
        <is>
          <t>Solitron Devices, Inc.</t>
        </is>
      </c>
      <c r="C26" s="47" t="inlineStr">
        <is>
          <t>Nano Cap</t>
        </is>
      </c>
      <c r="D26" s="23" t="inlineStr">
        <is>
          <t>Medium</t>
        </is>
      </c>
      <c r="E26" s="20" t="inlineStr">
        <is>
          <t>High-Growth Quality</t>
        </is>
      </c>
      <c r="F26" s="34" t="n">
        <v>70.90000000000001</v>
      </c>
      <c r="G26" s="48" t="inlineStr">
        <is>
          <t>Strengths: strong revenue growth, healthy margins, high insider alignment, minimal dilution, positive momentum. Risks: none significant.</t>
        </is>
      </c>
      <c r="H26" s="64" t="inlineStr">
        <is>
          <t>✓ strong revenue growth
✓ healthy margins
✓ high insider alignment
✓ minimal dilution
✓ positive momentum</t>
        </is>
      </c>
      <c r="I26" s="65" t="inlineStr">
        <is>
          <t>—</t>
        </is>
      </c>
    </row>
    <row r="27" ht="40" customHeight="1">
      <c r="A27" s="25" t="inlineStr">
        <is>
          <t>GHM</t>
        </is>
      </c>
      <c r="B27" s="26" t="inlineStr">
        <is>
          <t>Graham Corporation</t>
        </is>
      </c>
      <c r="C27" s="49" t="inlineStr">
        <is>
          <t>Small Cap</t>
        </is>
      </c>
      <c r="D27" s="23" t="inlineStr">
        <is>
          <t>Medium</t>
        </is>
      </c>
      <c r="E27" s="26" t="inlineStr">
        <is>
          <t>Fingerprint Match</t>
        </is>
      </c>
      <c r="F27" s="41" t="n">
        <v>70.7</v>
      </c>
      <c r="G27" s="50" t="inlineStr">
        <is>
          <t>Strengths: solid revenue growth, strong fingerprint match. Risks: thin margins.</t>
        </is>
      </c>
      <c r="H27" s="64" t="inlineStr">
        <is>
          <t>✓ solid revenue growth
✓ strong fingerprint match</t>
        </is>
      </c>
      <c r="I27" s="65" t="inlineStr">
        <is>
          <t>⚠ thin margins</t>
        </is>
      </c>
    </row>
    <row r="28" ht="40" customHeight="1">
      <c r="A28" s="19" t="inlineStr">
        <is>
          <t>NNDM</t>
        </is>
      </c>
      <c r="B28" s="20" t="inlineStr">
        <is>
          <t>Nano Dimension Ltd.</t>
        </is>
      </c>
      <c r="C28" s="47" t="inlineStr">
        <is>
          <t>Small Cap</t>
        </is>
      </c>
      <c r="D28" s="23" t="inlineStr">
        <is>
          <t>Medium</t>
        </is>
      </c>
      <c r="E28" s="20" t="inlineStr">
        <is>
          <t>Emerging Watch</t>
        </is>
      </c>
      <c r="F28" s="34" t="n">
        <v>70.5</v>
      </c>
      <c r="G28" s="48" t="inlineStr">
        <is>
          <t>Strengths: healthy margins, minimal dilution. Risks: low insider ownership, modest growth.</t>
        </is>
      </c>
      <c r="H28" s="64" t="inlineStr">
        <is>
          <t>✓ healthy margins
✓ minimal dilution</t>
        </is>
      </c>
      <c r="I28" s="65" t="inlineStr">
        <is>
          <t>⚠ low insider ownership
⚠ modest growth</t>
        </is>
      </c>
    </row>
    <row r="29" ht="40" customHeight="1">
      <c r="A29" s="25" t="inlineStr">
        <is>
          <t>ADTN</t>
        </is>
      </c>
      <c r="B29" s="26" t="inlineStr">
        <is>
          <t>ADTRAN Holdings Inc.</t>
        </is>
      </c>
      <c r="C29" s="49" t="inlineStr">
        <is>
          <t>Small Cap</t>
        </is>
      </c>
      <c r="D29" s="23" t="inlineStr">
        <is>
          <t>Medium</t>
        </is>
      </c>
      <c r="E29" s="26" t="inlineStr">
        <is>
          <t>Emerging Watch</t>
        </is>
      </c>
      <c r="F29" s="41" t="n">
        <v>70.40000000000001</v>
      </c>
      <c r="G29" s="50" t="inlineStr">
        <is>
          <t>Strengths: healthy margins, minimal dilution. Risks: low insider ownership, negative momentum, modest growth.</t>
        </is>
      </c>
      <c r="H29" s="64" t="inlineStr">
        <is>
          <t>✓ healthy margins
✓ minimal dilution</t>
        </is>
      </c>
      <c r="I29" s="65" t="inlineStr">
        <is>
          <t>⚠ low insider ownership
⚠ negative momentum
⚠ modest growth</t>
        </is>
      </c>
    </row>
    <row r="30" ht="40" customHeight="1">
      <c r="A30" s="19" t="inlineStr">
        <is>
          <t>AME</t>
        </is>
      </c>
      <c r="B30" s="20" t="inlineStr">
        <is>
          <t>AMETEK, Inc.</t>
        </is>
      </c>
      <c r="C30" s="47" t="inlineStr">
        <is>
          <t>Vital Link</t>
        </is>
      </c>
      <c r="D30" s="23" t="inlineStr">
        <is>
          <t>Medium</t>
        </is>
      </c>
      <c r="E30" s="20" t="inlineStr">
        <is>
          <t>Emerging Watch</t>
        </is>
      </c>
      <c r="F30" s="34" t="n">
        <v>70.40000000000001</v>
      </c>
      <c r="G30" s="48" t="inlineStr">
        <is>
          <t>Strengths: healthy margins, minimal dilution. Risks: low insider ownership.</t>
        </is>
      </c>
      <c r="H30" s="64" t="inlineStr">
        <is>
          <t>✓ healthy margins
✓ minimal dilution</t>
        </is>
      </c>
      <c r="I30" s="65" t="inlineStr">
        <is>
          <t>⚠ low insider ownership</t>
        </is>
      </c>
    </row>
    <row r="31" ht="40" customHeight="1">
      <c r="A31" s="25" t="inlineStr">
        <is>
          <t>INTT</t>
        </is>
      </c>
      <c r="B31" s="26" t="inlineStr">
        <is>
          <t>inTEST Corporation</t>
        </is>
      </c>
      <c r="C31" s="49" t="inlineStr">
        <is>
          <t>Nano Cap</t>
        </is>
      </c>
      <c r="D31" s="23" t="inlineStr">
        <is>
          <t>Medium</t>
        </is>
      </c>
      <c r="E31" s="26" t="inlineStr">
        <is>
          <t>Emerging Watch</t>
        </is>
      </c>
      <c r="F31" s="41" t="n">
        <v>70.2</v>
      </c>
      <c r="G31" s="50" t="inlineStr">
        <is>
          <t>Strengths: solid revenue growth, healthy margins, minimal dilution. Risks: none significant.</t>
        </is>
      </c>
      <c r="H31" s="64" t="inlineStr">
        <is>
          <t>✓ solid revenue growth
✓ healthy margins
✓ minimal dilution</t>
        </is>
      </c>
      <c r="I31" s="65" t="inlineStr">
        <is>
          <t>—</t>
        </is>
      </c>
    </row>
    <row r="32" ht="40" customHeight="1">
      <c r="A32" s="19" t="inlineStr">
        <is>
          <t>RELL</t>
        </is>
      </c>
      <c r="B32" s="20" t="inlineStr">
        <is>
          <t>Richardson Electronics, Ltd.</t>
        </is>
      </c>
      <c r="C32" s="47" t="inlineStr">
        <is>
          <t>Nano Cap</t>
        </is>
      </c>
      <c r="D32" s="23" t="inlineStr">
        <is>
          <t>Medium</t>
        </is>
      </c>
      <c r="E32" s="20" t="inlineStr">
        <is>
          <t>Emerging Watch</t>
        </is>
      </c>
      <c r="F32" s="34" t="n">
        <v>70</v>
      </c>
      <c r="G32" s="48" t="inlineStr">
        <is>
          <t>Strengths: solid revenue growth, high insider alignment, minimal dilution. Risks: none significant.</t>
        </is>
      </c>
      <c r="H32" s="64" t="inlineStr">
        <is>
          <t>✓ solid revenue growth
✓ high insider alignment
✓ minimal dilution</t>
        </is>
      </c>
      <c r="I32" s="65" t="inlineStr">
        <is>
          <t>—</t>
        </is>
      </c>
    </row>
    <row r="33" ht="40" customHeight="1">
      <c r="A33" s="25" t="inlineStr">
        <is>
          <t>BRC</t>
        </is>
      </c>
      <c r="B33" s="26" t="inlineStr">
        <is>
          <t>Brady Corporation</t>
        </is>
      </c>
      <c r="C33" s="49" t="inlineStr">
        <is>
          <t>Breakout</t>
        </is>
      </c>
      <c r="D33" s="23" t="inlineStr">
        <is>
          <t>Medium</t>
        </is>
      </c>
      <c r="E33" s="26" t="inlineStr">
        <is>
          <t>Emerging Watch</t>
        </is>
      </c>
      <c r="F33" s="41" t="n">
        <v>69.90000000000001</v>
      </c>
      <c r="G33" s="50" t="inlineStr">
        <is>
          <t>Strengths: high-margin business, minimal dilution. Risks: modest growth.</t>
        </is>
      </c>
      <c r="H33" s="64" t="inlineStr">
        <is>
          <t>✓ high-margin business
✓ minimal dilution</t>
        </is>
      </c>
      <c r="I33" s="65" t="inlineStr">
        <is>
          <t>⚠ modest growth</t>
        </is>
      </c>
    </row>
    <row r="34" ht="40" customHeight="1">
      <c r="A34" s="19" t="inlineStr">
        <is>
          <t>MRCY</t>
        </is>
      </c>
      <c r="B34" s="20" t="inlineStr">
        <is>
          <t>Mercury Systems, Inc.</t>
        </is>
      </c>
      <c r="C34" s="47" t="inlineStr">
        <is>
          <t>Breakout</t>
        </is>
      </c>
      <c r="D34" s="23" t="inlineStr">
        <is>
          <t>Medium</t>
        </is>
      </c>
      <c r="E34" s="20" t="inlineStr">
        <is>
          <t>Emerging Watch</t>
        </is>
      </c>
      <c r="F34" s="34" t="n">
        <v>69.8</v>
      </c>
      <c r="G34" s="48" t="inlineStr">
        <is>
          <t>Strengths: minimal dilution. Risks: thin margins, modest growth.</t>
        </is>
      </c>
      <c r="H34" s="64" t="inlineStr">
        <is>
          <t>✓ minimal dilution</t>
        </is>
      </c>
      <c r="I34" s="65" t="inlineStr">
        <is>
          <t>⚠ thin margins
⚠ modest growth</t>
        </is>
      </c>
    </row>
    <row r="35" ht="40" customHeight="1">
      <c r="A35" s="25" t="inlineStr">
        <is>
          <t>CE</t>
        </is>
      </c>
      <c r="B35" s="26" t="inlineStr">
        <is>
          <t>Celanese Corporation</t>
        </is>
      </c>
      <c r="C35" s="49" t="inlineStr">
        <is>
          <t>Breakout</t>
        </is>
      </c>
      <c r="D35" s="23" t="inlineStr">
        <is>
          <t>Medium</t>
        </is>
      </c>
      <c r="E35" s="26" t="inlineStr">
        <is>
          <t>Emerging Watch</t>
        </is>
      </c>
      <c r="F35" s="41" t="n">
        <v>69.5</v>
      </c>
      <c r="G35" s="50" t="inlineStr">
        <is>
          <t>Strengths: minimal dilution. Risks: thin margins, modest growth.</t>
        </is>
      </c>
      <c r="H35" s="64" t="inlineStr">
        <is>
          <t>✓ minimal dilution</t>
        </is>
      </c>
      <c r="I35" s="65" t="inlineStr">
        <is>
          <t>⚠ thin margins
⚠ modest growth</t>
        </is>
      </c>
    </row>
    <row r="36" ht="40" customHeight="1">
      <c r="A36" s="19" t="inlineStr">
        <is>
          <t>RUN</t>
        </is>
      </c>
      <c r="B36" s="20" t="inlineStr">
        <is>
          <t>Sunrun Inc.</t>
        </is>
      </c>
      <c r="C36" s="47" t="inlineStr">
        <is>
          <t>Breakout</t>
        </is>
      </c>
      <c r="D36" s="23" t="inlineStr">
        <is>
          <t>Medium</t>
        </is>
      </c>
      <c r="E36" s="20" t="inlineStr">
        <is>
          <t>Growth Inflection</t>
        </is>
      </c>
      <c r="F36" s="34" t="n">
        <v>69.09999999999999</v>
      </c>
      <c r="G36" s="48" t="inlineStr">
        <is>
          <t>Strengths: strong revenue growth, healthy margins. Risks: low insider ownership, negative momentum.</t>
        </is>
      </c>
      <c r="H36" s="64" t="inlineStr">
        <is>
          <t>✓ strong revenue growth
✓ healthy margins</t>
        </is>
      </c>
      <c r="I36" s="65" t="inlineStr">
        <is>
          <t>⚠ low insider ownership
⚠ negative momentum</t>
        </is>
      </c>
    </row>
    <row r="37" ht="40" customHeight="1">
      <c r="A37" s="25" t="inlineStr">
        <is>
          <t>LYFT</t>
        </is>
      </c>
      <c r="B37" s="26" t="inlineStr">
        <is>
          <t>Lyft, Inc.</t>
        </is>
      </c>
      <c r="C37" s="49" t="inlineStr">
        <is>
          <t>Breakout</t>
        </is>
      </c>
      <c r="D37" s="23" t="inlineStr">
        <is>
          <t>Medium</t>
        </is>
      </c>
      <c r="E37" s="26" t="inlineStr">
        <is>
          <t>Emerging Watch</t>
        </is>
      </c>
      <c r="F37" s="41" t="n">
        <v>69.09999999999999</v>
      </c>
      <c r="G37" s="50" t="inlineStr">
        <is>
          <t>Strengths: healthy margins, minimal dilution. Risks: none significant.</t>
        </is>
      </c>
      <c r="H37" s="64" t="inlineStr">
        <is>
          <t>✓ healthy margins
✓ minimal dilution</t>
        </is>
      </c>
      <c r="I37" s="65" t="inlineStr">
        <is>
          <t>—</t>
        </is>
      </c>
    </row>
    <row r="38" ht="40" customHeight="1">
      <c r="A38" s="19" t="inlineStr">
        <is>
          <t>KN</t>
        </is>
      </c>
      <c r="B38" s="20" t="inlineStr">
        <is>
          <t>Knowles Corporation</t>
        </is>
      </c>
      <c r="C38" s="47" t="inlineStr">
        <is>
          <t>Breakout</t>
        </is>
      </c>
      <c r="D38" s="23" t="inlineStr">
        <is>
          <t>Medium</t>
        </is>
      </c>
      <c r="E38" s="20" t="inlineStr">
        <is>
          <t>Emerging Watch</t>
        </is>
      </c>
      <c r="F38" s="34" t="n">
        <v>68.2</v>
      </c>
      <c r="G38" s="48" t="inlineStr">
        <is>
          <t>Strengths: healthy margins, minimal dilution. Risks: low insider ownership, modest growth.</t>
        </is>
      </c>
      <c r="H38" s="64" t="inlineStr">
        <is>
          <t>✓ healthy margins
✓ minimal dilution</t>
        </is>
      </c>
      <c r="I38" s="65" t="inlineStr">
        <is>
          <t>⚠ low insider ownership
⚠ modest growth</t>
        </is>
      </c>
    </row>
    <row r="39" ht="40" customHeight="1">
      <c r="A39" s="25" t="inlineStr">
        <is>
          <t>RFIL</t>
        </is>
      </c>
      <c r="B39" s="26" t="inlineStr">
        <is>
          <t>RF Industries, Ltd.</t>
        </is>
      </c>
      <c r="C39" s="49" t="inlineStr">
        <is>
          <t>Nano Cap</t>
        </is>
      </c>
      <c r="D39" s="23" t="inlineStr">
        <is>
          <t>Medium</t>
        </is>
      </c>
      <c r="E39" s="26" t="inlineStr">
        <is>
          <t>Insider Conviction</t>
        </is>
      </c>
      <c r="F39" s="41" t="n">
        <v>67.40000000000001</v>
      </c>
      <c r="G39" s="50" t="inlineStr">
        <is>
          <t>Strengths: healthy margins, high insider alignment, minimal dilution. Risks: negative momentum, modest growth.</t>
        </is>
      </c>
      <c r="H39" s="64" t="inlineStr">
        <is>
          <t>✓ healthy margins
✓ high insider alignment
✓ minimal dilution</t>
        </is>
      </c>
      <c r="I39" s="65" t="inlineStr">
        <is>
          <t>⚠ negative momentum
⚠ modest growth</t>
        </is>
      </c>
    </row>
    <row r="40" ht="40" customHeight="1">
      <c r="A40" s="19" t="inlineStr">
        <is>
          <t>LTRX</t>
        </is>
      </c>
      <c r="B40" s="20" t="inlineStr">
        <is>
          <t>Lantronix, Inc.</t>
        </is>
      </c>
      <c r="C40" s="47" t="inlineStr">
        <is>
          <t>Nano Cap</t>
        </is>
      </c>
      <c r="D40" s="23" t="inlineStr">
        <is>
          <t>Medium</t>
        </is>
      </c>
      <c r="E40" s="20" t="inlineStr">
        <is>
          <t>Emerging Watch</t>
        </is>
      </c>
      <c r="F40" s="34" t="n">
        <v>66</v>
      </c>
      <c r="G40" s="48" t="inlineStr">
        <is>
          <t>Strengths: healthy margins, high insider alignment. Risks: modest growth.</t>
        </is>
      </c>
      <c r="H40" s="64" t="inlineStr">
        <is>
          <t>✓ healthy margins
✓ high insider alignment</t>
        </is>
      </c>
      <c r="I40" s="65" t="inlineStr">
        <is>
          <t>⚠ modest growth</t>
        </is>
      </c>
    </row>
    <row r="41" ht="40" customHeight="1">
      <c r="A41" s="25" t="inlineStr">
        <is>
          <t>GLTK</t>
        </is>
      </c>
      <c r="B41" s="26" t="inlineStr">
        <is>
          <t>GlobalTech Corporation</t>
        </is>
      </c>
      <c r="C41" s="49" t="inlineStr">
        <is>
          <t>Nano Cap</t>
        </is>
      </c>
      <c r="D41" s="45" t="inlineStr">
        <is>
          <t>Speculative</t>
        </is>
      </c>
      <c r="E41" s="26" t="inlineStr">
        <is>
          <t>Growth Inflection</t>
        </is>
      </c>
      <c r="F41" s="41" t="n">
        <v>64.90000000000001</v>
      </c>
      <c r="G41" s="50" t="inlineStr">
        <is>
          <t>Strengths: strong revenue growth, high insider alignment. Risks: thin margins.</t>
        </is>
      </c>
      <c r="H41" s="64" t="inlineStr">
        <is>
          <t>✓ strong revenue growth
✓ high insider alignment</t>
        </is>
      </c>
      <c r="I41" s="65" t="inlineStr">
        <is>
          <t>⚠ thin margins</t>
        </is>
      </c>
    </row>
    <row r="42" ht="40" customHeight="1">
      <c r="A42" s="19" t="inlineStr">
        <is>
          <t>OPXS</t>
        </is>
      </c>
      <c r="B42" s="20" t="inlineStr">
        <is>
          <t>Optex Systems Holdings, Inc</t>
        </is>
      </c>
      <c r="C42" s="47" t="inlineStr">
        <is>
          <t>Nano Cap</t>
        </is>
      </c>
      <c r="D42" s="45" t="inlineStr">
        <is>
          <t>Speculative</t>
        </is>
      </c>
      <c r="E42" s="20" t="inlineStr">
        <is>
          <t>Insider Conviction</t>
        </is>
      </c>
      <c r="F42" s="34" t="n">
        <v>64.09999999999999</v>
      </c>
      <c r="G42" s="48" t="inlineStr">
        <is>
          <t>Strengths: high insider alignment, minimal dilution. Risks: modest growth.</t>
        </is>
      </c>
      <c r="H42" s="64" t="inlineStr">
        <is>
          <t>✓ high insider alignment
✓ minimal dilution</t>
        </is>
      </c>
      <c r="I42" s="65" t="inlineStr">
        <is>
          <t>⚠ modest growth</t>
        </is>
      </c>
    </row>
    <row r="43" ht="40" customHeight="1">
      <c r="A43" s="25" t="inlineStr">
        <is>
          <t>BKTI</t>
        </is>
      </c>
      <c r="B43" s="26" t="inlineStr">
        <is>
          <t>BK Technologies Corporation</t>
        </is>
      </c>
      <c r="C43" s="49" t="inlineStr">
        <is>
          <t>Nano Cap</t>
        </is>
      </c>
      <c r="D43" s="45" t="inlineStr">
        <is>
          <t>Speculative</t>
        </is>
      </c>
      <c r="E43" s="26" t="inlineStr">
        <is>
          <t>Emerging Watch</t>
        </is>
      </c>
      <c r="F43" s="41" t="n">
        <v>62.4</v>
      </c>
      <c r="G43" s="50" t="inlineStr">
        <is>
          <t>Strengths: high-margin business, high insider alignment. Risks: modest growth.</t>
        </is>
      </c>
      <c r="H43" s="64" t="inlineStr">
        <is>
          <t>✓ high-margin business
✓ high insider alignment</t>
        </is>
      </c>
      <c r="I43" s="65" t="inlineStr">
        <is>
          <t>⚠ modest growth</t>
        </is>
      </c>
    </row>
    <row r="44" ht="40" customHeight="1">
      <c r="A44" s="19" t="inlineStr">
        <is>
          <t>ASYS</t>
        </is>
      </c>
      <c r="B44" s="20" t="inlineStr">
        <is>
          <t>Amtech Systems, Inc.</t>
        </is>
      </c>
      <c r="C44" s="47" t="inlineStr">
        <is>
          <t>Nano Cap</t>
        </is>
      </c>
      <c r="D44" s="45" t="inlineStr">
        <is>
          <t>Speculative</t>
        </is>
      </c>
      <c r="E44" s="20" t="inlineStr">
        <is>
          <t>Emerging Watch</t>
        </is>
      </c>
      <c r="F44" s="34" t="n">
        <v>61.6</v>
      </c>
      <c r="G44" s="48" t="inlineStr">
        <is>
          <t>Strengths: high-margin business, high insider alignment. Risks: modest growth.</t>
        </is>
      </c>
      <c r="H44" s="64" t="inlineStr">
        <is>
          <t>✓ high-margin business
✓ high insider alignment</t>
        </is>
      </c>
      <c r="I44" s="65" t="inlineStr">
        <is>
          <t>⚠ modest growth</t>
        </is>
      </c>
    </row>
    <row r="45" ht="40" customHeight="1">
      <c r="A45" s="25" t="inlineStr">
        <is>
          <t>QUIK</t>
        </is>
      </c>
      <c r="B45" s="26" t="inlineStr">
        <is>
          <t>QuickLogic Corporation</t>
        </is>
      </c>
      <c r="C45" s="49" t="inlineStr">
        <is>
          <t>Nano Cap</t>
        </is>
      </c>
      <c r="D45" s="45" t="inlineStr">
        <is>
          <t>Speculative</t>
        </is>
      </c>
      <c r="E45" s="26" t="inlineStr">
        <is>
          <t>High-Growth Quality</t>
        </is>
      </c>
      <c r="F45" s="41" t="n">
        <v>61.6</v>
      </c>
      <c r="G45" s="50" t="inlineStr">
        <is>
          <t>Strengths: strong revenue growth, healthy margins. Risks: significant dilution, negative momentum.</t>
        </is>
      </c>
      <c r="H45" s="64" t="inlineStr">
        <is>
          <t>✓ strong revenue growth
✓ healthy margins</t>
        </is>
      </c>
      <c r="I45" s="65" t="inlineStr">
        <is>
          <t>⚠ significant dilution
⚠ negative momentum</t>
        </is>
      </c>
    </row>
    <row r="48" ht="22" customHeight="1">
      <c r="A48" s="16" t="inlineStr">
        <is>
          <t>CONVICTION DISTRIBUTION BY TIER</t>
        </is>
      </c>
      <c r="B48" s="17" t="n"/>
      <c r="C48" s="17" t="n"/>
      <c r="D48" s="17" t="n"/>
      <c r="E48" s="17" t="n"/>
      <c r="F48" s="17" t="n"/>
      <c r="G48" s="17" t="n"/>
      <c r="H48" s="17" t="n"/>
      <c r="I48" s="17" t="n"/>
    </row>
    <row r="49">
      <c r="A49" t="inlineStr">
        <is>
          <t>Tier</t>
        </is>
      </c>
      <c r="B49" t="inlineStr">
        <is>
          <t>High</t>
        </is>
      </c>
      <c r="C49" t="inlineStr">
        <is>
          <t>Medium-High</t>
        </is>
      </c>
      <c r="D49" t="inlineStr">
        <is>
          <t>Medium</t>
        </is>
      </c>
      <c r="E49" t="inlineStr">
        <is>
          <t>Speculative</t>
        </is>
      </c>
    </row>
    <row r="50">
      <c r="A50" t="inlineStr">
        <is>
          <t>Nano Cap</t>
        </is>
      </c>
      <c r="B50" t="n">
        <v>0</v>
      </c>
      <c r="C50" t="n">
        <v>0</v>
      </c>
      <c r="D50" t="n">
        <v>5</v>
      </c>
      <c r="E50" t="n">
        <v>5</v>
      </c>
    </row>
    <row r="51">
      <c r="A51" t="inlineStr">
        <is>
          <t>Small Cap</t>
        </is>
      </c>
      <c r="B51" t="n">
        <v>0</v>
      </c>
      <c r="C51" t="n">
        <v>3</v>
      </c>
      <c r="D51" t="n">
        <v>7</v>
      </c>
      <c r="E51" t="n">
        <v>0</v>
      </c>
    </row>
    <row r="52">
      <c r="A52" t="inlineStr">
        <is>
          <t>Breakout</t>
        </is>
      </c>
      <c r="B52" t="n">
        <v>0</v>
      </c>
      <c r="C52" t="n">
        <v>1</v>
      </c>
      <c r="D52" t="n">
        <v>9</v>
      </c>
      <c r="E52" t="n">
        <v>0</v>
      </c>
    </row>
    <row r="53">
      <c r="A53" t="inlineStr">
        <is>
          <t>Vital Link</t>
        </is>
      </c>
      <c r="B53" t="n">
        <v>0</v>
      </c>
      <c r="C53" t="n">
        <v>1</v>
      </c>
      <c r="D53" t="n">
        <v>9</v>
      </c>
      <c r="E53" t="n">
        <v>0</v>
      </c>
    </row>
  </sheetData>
  <mergeCells count="3">
    <mergeCell ref="A1:I1"/>
    <mergeCell ref="A48:I4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29" t="inlineStr">
        <is>
          <t>MODEL PORTFOLIO CONSTRUCTION &amp; RISK METRICS</t>
        </is>
      </c>
      <c r="B1" s="11" t="n"/>
      <c r="C1" s="11" t="n"/>
      <c r="D1" s="11" t="n"/>
      <c r="E1" s="11" t="n"/>
      <c r="F1" s="11" t="n"/>
      <c r="G1" s="11" t="n"/>
      <c r="H1" s="11" t="n"/>
      <c r="I1" s="11" t="n"/>
      <c r="J1" s="11" t="n"/>
      <c r="K1" s="11" t="n"/>
      <c r="L1" s="11" t="n"/>
      <c r="M1" s="11" t="n"/>
      <c r="N1" s="11" t="n"/>
    </row>
    <row r="2" ht="22" customHeight="1">
      <c r="A2" s="30"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7" t="inlineStr">
        <is>
          <t>Small Cap</t>
        </is>
      </c>
      <c r="E14" s="24" t="inlineStr">
        <is>
          <t>Medium-High</t>
        </is>
      </c>
      <c r="F14" s="33" t="n">
        <v>0.05</v>
      </c>
      <c r="G14" s="71" t="n">
        <v>0.05</v>
      </c>
      <c r="H14" s="72" t="n">
        <v>5000</v>
      </c>
      <c r="I14" s="73" t="n">
        <v>379</v>
      </c>
      <c r="J14" s="74" t="inlineStr">
        <is>
          <t>Medium-High risk</t>
        </is>
      </c>
    </row>
    <row r="15" ht="16" customHeight="1">
      <c r="B15" s="25" t="inlineStr">
        <is>
          <t>PKE</t>
        </is>
      </c>
      <c r="C15" s="26" t="inlineStr">
        <is>
          <t>Park Aerospace Corp.</t>
        </is>
      </c>
      <c r="D15" s="49" t="inlineStr">
        <is>
          <t>Small Cap</t>
        </is>
      </c>
      <c r="E15" s="24" t="inlineStr">
        <is>
          <t>Medium-High</t>
        </is>
      </c>
      <c r="F15" s="40" t="n">
        <v>0.05</v>
      </c>
      <c r="G15" s="75" t="n">
        <v>0.05</v>
      </c>
      <c r="H15" s="76" t="n">
        <v>5000</v>
      </c>
      <c r="I15" s="77" t="n">
        <v>159</v>
      </c>
      <c r="J15" s="78" t="inlineStr">
        <is>
          <t>Medium-High risk</t>
        </is>
      </c>
    </row>
    <row r="16" ht="16" customHeight="1">
      <c r="B16" s="19" t="inlineStr">
        <is>
          <t>CALX</t>
        </is>
      </c>
      <c r="C16" s="20" t="inlineStr">
        <is>
          <t>Calix, Inc.</t>
        </is>
      </c>
      <c r="D16" s="47" t="inlineStr">
        <is>
          <t>Breakout</t>
        </is>
      </c>
      <c r="E16" s="24" t="inlineStr">
        <is>
          <t>Medium-High</t>
        </is>
      </c>
      <c r="F16" s="33" t="n">
        <v>0.05</v>
      </c>
      <c r="G16" s="71" t="n">
        <v>0.06</v>
      </c>
      <c r="H16" s="72" t="n">
        <v>6000</v>
      </c>
      <c r="I16" s="73" t="n">
        <v>170</v>
      </c>
      <c r="J16" s="74" t="inlineStr">
        <is>
          <t>Medium-Low risk</t>
        </is>
      </c>
    </row>
    <row r="17" ht="16" customHeight="1">
      <c r="B17" s="25" t="inlineStr">
        <is>
          <t>CW</t>
        </is>
      </c>
      <c r="C17" s="26" t="inlineStr">
        <is>
          <t>Curtiss-Wright Corporation</t>
        </is>
      </c>
      <c r="D17" s="49" t="inlineStr">
        <is>
          <t>Vital Link</t>
        </is>
      </c>
      <c r="E17" s="24" t="inlineStr">
        <is>
          <t>Medium-High</t>
        </is>
      </c>
      <c r="F17" s="40" t="n">
        <v>0.05</v>
      </c>
      <c r="G17" s="75" t="n">
        <v>0.07000000000000001</v>
      </c>
      <c r="H17" s="76" t="n">
        <v>7000</v>
      </c>
      <c r="I17" s="77" t="n">
        <v>12</v>
      </c>
      <c r="J17" s="78" t="inlineStr">
        <is>
          <t>Medium-Low risk</t>
        </is>
      </c>
    </row>
    <row r="18" ht="16" customHeight="1">
      <c r="B18" s="19" t="inlineStr">
        <is>
          <t>NPKI</t>
        </is>
      </c>
      <c r="C18" s="20" t="inlineStr">
        <is>
          <t>NPK International Inc.</t>
        </is>
      </c>
      <c r="D18" s="47" t="inlineStr">
        <is>
          <t>Small Cap</t>
        </is>
      </c>
      <c r="E18" s="24" t="inlineStr">
        <is>
          <t>Medium-High</t>
        </is>
      </c>
      <c r="F18" s="33" t="n">
        <v>0.05</v>
      </c>
      <c r="G18" s="71" t="n">
        <v>0.05</v>
      </c>
      <c r="H18" s="72" t="n">
        <v>5000</v>
      </c>
      <c r="I18" s="73" t="n">
        <v>368</v>
      </c>
      <c r="J18" s="74" t="inlineStr"/>
    </row>
    <row r="19" ht="16" customHeight="1">
      <c r="B19" s="25" t="inlineStr">
        <is>
          <t>ON</t>
        </is>
      </c>
      <c r="C19" s="26" t="inlineStr">
        <is>
          <t>ON Semiconductor Corporation</t>
        </is>
      </c>
      <c r="D19" s="49" t="inlineStr">
        <is>
          <t>Vital Link</t>
        </is>
      </c>
      <c r="E19" s="23" t="inlineStr">
        <is>
          <t>Medium</t>
        </is>
      </c>
      <c r="F19" s="40" t="n">
        <v>0.03</v>
      </c>
      <c r="G19" s="75" t="n">
        <v>0.042</v>
      </c>
      <c r="H19" s="76" t="n">
        <v>4200</v>
      </c>
      <c r="I19" s="77" t="n">
        <v>57</v>
      </c>
      <c r="J19" s="78" t="inlineStr">
        <is>
          <t>Medium-Low risk</t>
        </is>
      </c>
    </row>
    <row r="20" ht="16" customHeight="1">
      <c r="B20" s="19" t="inlineStr">
        <is>
          <t>LXFR</t>
        </is>
      </c>
      <c r="C20" s="20" t="inlineStr">
        <is>
          <t>Luxfer Holdings PLC</t>
        </is>
      </c>
      <c r="D20" s="47" t="inlineStr">
        <is>
          <t>Small Cap</t>
        </is>
      </c>
      <c r="E20" s="23" t="inlineStr">
        <is>
          <t>Medium</t>
        </is>
      </c>
      <c r="F20" s="33" t="n">
        <v>0.03</v>
      </c>
      <c r="G20" s="71" t="n">
        <v>0.03</v>
      </c>
      <c r="H20" s="72" t="n">
        <v>3000</v>
      </c>
      <c r="I20" s="73" t="n">
        <v>173</v>
      </c>
      <c r="J20" s="74" t="inlineStr">
        <is>
          <t>Medium-High risk</t>
        </is>
      </c>
    </row>
    <row r="21" ht="16" customHeight="1">
      <c r="B21" s="25" t="inlineStr">
        <is>
          <t>CLFD</t>
        </is>
      </c>
      <c r="C21" s="26" t="inlineStr">
        <is>
          <t>Clearfield, Inc.</t>
        </is>
      </c>
      <c r="D21" s="49" t="inlineStr">
        <is>
          <t>Small Cap</t>
        </is>
      </c>
      <c r="E21" s="23" t="inlineStr">
        <is>
          <t>Medium</t>
        </is>
      </c>
      <c r="F21" s="40" t="n">
        <v>0.03</v>
      </c>
      <c r="G21" s="75" t="n">
        <v>0.03</v>
      </c>
      <c r="H21" s="76" t="n">
        <v>3000</v>
      </c>
      <c r="I21" s="77" t="n">
        <v>103</v>
      </c>
      <c r="J21" s="78" t="inlineStr">
        <is>
          <t>Medium-High risk</t>
        </is>
      </c>
    </row>
    <row r="22" ht="16" customHeight="1">
      <c r="B22" s="19" t="inlineStr">
        <is>
          <t>TDY</t>
        </is>
      </c>
      <c r="C22" s="20" t="inlineStr">
        <is>
          <t>Teledyne Technologies Incorporated</t>
        </is>
      </c>
      <c r="D22" s="47" t="inlineStr">
        <is>
          <t>Vital Link</t>
        </is>
      </c>
      <c r="E22" s="23" t="inlineStr">
        <is>
          <t>Medium</t>
        </is>
      </c>
      <c r="F22" s="33" t="n">
        <v>0.03</v>
      </c>
      <c r="G22" s="71" t="n">
        <v>0.042</v>
      </c>
      <c r="H22" s="72" t="n">
        <v>4200</v>
      </c>
      <c r="I22" s="73" t="n">
        <v>6</v>
      </c>
      <c r="J22" s="74" t="inlineStr">
        <is>
          <t>Medium-Low risk</t>
        </is>
      </c>
    </row>
    <row r="23" ht="16" customHeight="1">
      <c r="B23" s="25" t="inlineStr">
        <is>
          <t>ADEA</t>
        </is>
      </c>
      <c r="C23" s="26" t="inlineStr">
        <is>
          <t>Adeia Inc.</t>
        </is>
      </c>
      <c r="D23" s="49" t="inlineStr">
        <is>
          <t>Breakout</t>
        </is>
      </c>
      <c r="E23" s="23" t="inlineStr">
        <is>
          <t>Medium</t>
        </is>
      </c>
      <c r="F23" s="40" t="n">
        <v>0.03</v>
      </c>
      <c r="G23" s="75" t="n">
        <v>0.036</v>
      </c>
      <c r="H23" s="76" t="n">
        <v>3600</v>
      </c>
      <c r="I23" s="77" t="n">
        <v>132</v>
      </c>
      <c r="J23" s="78" t="inlineStr">
        <is>
          <t>Medium-High risk</t>
        </is>
      </c>
    </row>
    <row r="24" ht="16" customHeight="1">
      <c r="B24" s="19" t="inlineStr">
        <is>
          <t>PPG</t>
        </is>
      </c>
      <c r="C24" s="20" t="inlineStr">
        <is>
          <t>PPG Industries, Inc.</t>
        </is>
      </c>
      <c r="D24" s="47" t="inlineStr">
        <is>
          <t>Vital Link</t>
        </is>
      </c>
      <c r="E24" s="23" t="inlineStr">
        <is>
          <t>Medium</t>
        </is>
      </c>
      <c r="F24" s="33" t="n">
        <v>0.03</v>
      </c>
      <c r="G24" s="71" t="n">
        <v>0.042</v>
      </c>
      <c r="H24" s="72" t="n">
        <v>4200</v>
      </c>
      <c r="I24" s="73" t="n">
        <v>38</v>
      </c>
      <c r="J24" s="74" t="inlineStr">
        <is>
          <t>Medium-Low risk</t>
        </is>
      </c>
    </row>
    <row r="25" ht="16" customHeight="1">
      <c r="B25" s="25" t="inlineStr">
        <is>
          <t>HUBB</t>
        </is>
      </c>
      <c r="C25" s="26" t="inlineStr">
        <is>
          <t>Hubbell Incorporated</t>
        </is>
      </c>
      <c r="D25" s="49" t="inlineStr">
        <is>
          <t>Vital Link</t>
        </is>
      </c>
      <c r="E25" s="23" t="inlineStr">
        <is>
          <t>Medium</t>
        </is>
      </c>
      <c r="F25" s="40" t="n">
        <v>0.03</v>
      </c>
      <c r="G25" s="75" t="n">
        <v>0.042</v>
      </c>
      <c r="H25" s="76" t="n">
        <v>4200</v>
      </c>
      <c r="I25" s="77" t="n">
        <v>9</v>
      </c>
      <c r="J25" s="78" t="inlineStr">
        <is>
          <t>Medium-Low risk</t>
        </is>
      </c>
    </row>
    <row r="26" ht="16" customHeight="1">
      <c r="B26" s="19" t="inlineStr">
        <is>
          <t>DCI</t>
        </is>
      </c>
      <c r="C26" s="20" t="inlineStr">
        <is>
          <t>Donaldson Company, Inc.</t>
        </is>
      </c>
      <c r="D26" s="47" t="inlineStr">
        <is>
          <t>Breakout</t>
        </is>
      </c>
      <c r="E26" s="23" t="inlineStr">
        <is>
          <t>Medium</t>
        </is>
      </c>
      <c r="F26" s="33" t="n">
        <v>0.03</v>
      </c>
      <c r="G26" s="71" t="n">
        <v>0.036</v>
      </c>
      <c r="H26" s="72" t="n">
        <v>3600</v>
      </c>
      <c r="I26" s="73" t="n">
        <v>39</v>
      </c>
      <c r="J26" s="74" t="inlineStr">
        <is>
          <t>Medium-Low risk</t>
        </is>
      </c>
    </row>
    <row r="27" ht="16" customHeight="1">
      <c r="B27" s="25" t="inlineStr">
        <is>
          <t>ARRY</t>
        </is>
      </c>
      <c r="C27" s="26" t="inlineStr">
        <is>
          <t>Array Technologies, Inc.</t>
        </is>
      </c>
      <c r="D27" s="49" t="inlineStr">
        <is>
          <t>Small Cap</t>
        </is>
      </c>
      <c r="E27" s="23" t="inlineStr">
        <is>
          <t>Medium</t>
        </is>
      </c>
      <c r="F27" s="40" t="n">
        <v>0.03</v>
      </c>
      <c r="G27" s="75" t="n">
        <v>0.03</v>
      </c>
      <c r="H27" s="76" t="n">
        <v>3000</v>
      </c>
      <c r="I27" s="77" t="n">
        <v>621</v>
      </c>
      <c r="J27" s="78" t="inlineStr">
        <is>
          <t>Medium-High risk</t>
        </is>
      </c>
    </row>
    <row r="28" ht="16" customHeight="1">
      <c r="B28" s="19" t="inlineStr">
        <is>
          <t>HON</t>
        </is>
      </c>
      <c r="C28" s="20" t="inlineStr">
        <is>
          <t>Honeywell International Inc.</t>
        </is>
      </c>
      <c r="D28" s="47" t="inlineStr">
        <is>
          <t>Vital Link</t>
        </is>
      </c>
      <c r="E28" s="23" t="inlineStr">
        <is>
          <t>Medium</t>
        </is>
      </c>
      <c r="F28" s="33" t="n">
        <v>0.03</v>
      </c>
      <c r="G28" s="71" t="n">
        <v>0.042</v>
      </c>
      <c r="H28" s="72" t="n">
        <v>4200</v>
      </c>
      <c r="I28" s="73" t="n">
        <v>20</v>
      </c>
      <c r="J28" s="74" t="inlineStr">
        <is>
          <t>Medium-Low risk</t>
        </is>
      </c>
    </row>
    <row r="29" ht="16" customHeight="1">
      <c r="B29" s="25" t="inlineStr">
        <is>
          <t>EVLV</t>
        </is>
      </c>
      <c r="C29" s="26" t="inlineStr">
        <is>
          <t>Evolv Technologies Holdings, Inc.</t>
        </is>
      </c>
      <c r="D29" s="49" t="inlineStr">
        <is>
          <t>Small Cap</t>
        </is>
      </c>
      <c r="E29" s="23" t="inlineStr">
        <is>
          <t>Medium</t>
        </is>
      </c>
      <c r="F29" s="40" t="n">
        <v>0.03</v>
      </c>
      <c r="G29" s="75" t="n">
        <v>0.03</v>
      </c>
      <c r="H29" s="76" t="n">
        <v>3000</v>
      </c>
      <c r="I29" s="77" t="n">
        <v>589</v>
      </c>
      <c r="J29" s="78" t="inlineStr">
        <is>
          <t>Medium-High risk</t>
        </is>
      </c>
    </row>
    <row r="30" ht="16" customHeight="1">
      <c r="B30" s="19" t="inlineStr">
        <is>
          <t>CACI</t>
        </is>
      </c>
      <c r="C30" s="20" t="inlineStr">
        <is>
          <t>CACI International Inc</t>
        </is>
      </c>
      <c r="D30" s="47" t="inlineStr">
        <is>
          <t>Breakout</t>
        </is>
      </c>
      <c r="E30" s="23" t="inlineStr">
        <is>
          <t>Medium</t>
        </is>
      </c>
      <c r="F30" s="33" t="n">
        <v>0.03</v>
      </c>
      <c r="G30" s="71" t="n">
        <v>0.036</v>
      </c>
      <c r="H30" s="72" t="n">
        <v>3600</v>
      </c>
      <c r="I30" s="73" t="n">
        <v>5</v>
      </c>
      <c r="J30" s="74" t="inlineStr">
        <is>
          <t>Medium-High risk</t>
        </is>
      </c>
    </row>
    <row r="31" ht="16" customHeight="1">
      <c r="B31" s="25" t="inlineStr">
        <is>
          <t>LHX</t>
        </is>
      </c>
      <c r="C31" s="26" t="inlineStr">
        <is>
          <t>L3Harris Technologies, Inc.</t>
        </is>
      </c>
      <c r="D31" s="49" t="inlineStr">
        <is>
          <t>Vital Link</t>
        </is>
      </c>
      <c r="E31" s="23" t="inlineStr">
        <is>
          <t>Medium</t>
        </is>
      </c>
      <c r="F31" s="40" t="n">
        <v>0.03</v>
      </c>
      <c r="G31" s="75" t="n">
        <v>0.042</v>
      </c>
      <c r="H31" s="76" t="n">
        <v>4200</v>
      </c>
      <c r="I31" s="77" t="n">
        <v>16</v>
      </c>
      <c r="J31" s="78" t="inlineStr">
        <is>
          <t>Medium-High risk</t>
        </is>
      </c>
    </row>
    <row r="32" ht="16" customHeight="1">
      <c r="B32" s="19" t="inlineStr">
        <is>
          <t>FTAI</t>
        </is>
      </c>
      <c r="C32" s="20" t="inlineStr">
        <is>
          <t>FTAI Aviation Ltd.</t>
        </is>
      </c>
      <c r="D32" s="47" t="inlineStr">
        <is>
          <t>Vital Link</t>
        </is>
      </c>
      <c r="E32" s="23" t="inlineStr">
        <is>
          <t>Medium</t>
        </is>
      </c>
      <c r="F32" s="33" t="n">
        <v>0.03</v>
      </c>
      <c r="G32" s="71" t="n">
        <v>0.042</v>
      </c>
      <c r="H32" s="72" t="n">
        <v>4200</v>
      </c>
      <c r="I32" s="73" t="n">
        <v>21</v>
      </c>
      <c r="J32" s="74" t="inlineStr">
        <is>
          <t>Medium-High risk</t>
        </is>
      </c>
    </row>
    <row r="33" ht="16" customHeight="1">
      <c r="B33" s="25" t="inlineStr">
        <is>
          <t>GEHC</t>
        </is>
      </c>
      <c r="C33" s="26" t="inlineStr">
        <is>
          <t>GE HealthCare Technologies Inc.</t>
        </is>
      </c>
      <c r="D33" s="49" t="inlineStr">
        <is>
          <t>Vital Link</t>
        </is>
      </c>
      <c r="E33" s="23" t="inlineStr">
        <is>
          <t>Medium</t>
        </is>
      </c>
      <c r="F33" s="40" t="n">
        <v>0.03</v>
      </c>
      <c r="G33" s="75" t="n">
        <v>0.042</v>
      </c>
      <c r="H33" s="76" t="n">
        <v>4200</v>
      </c>
      <c r="I33" s="77" t="n">
        <v>62</v>
      </c>
      <c r="J33" s="78" t="inlineStr">
        <is>
          <t>Medium-Low risk</t>
        </is>
      </c>
    </row>
    <row r="34" ht="16" customHeight="1">
      <c r="B34" s="19" t="inlineStr">
        <is>
          <t>SODI</t>
        </is>
      </c>
      <c r="C34" s="20" t="inlineStr">
        <is>
          <t>Solitron Devices, Inc.</t>
        </is>
      </c>
      <c r="D34" s="47" t="inlineStr">
        <is>
          <t>Nano Cap</t>
        </is>
      </c>
      <c r="E34" s="23" t="inlineStr">
        <is>
          <t>Medium</t>
        </is>
      </c>
      <c r="F34" s="33" t="n">
        <v>0.03</v>
      </c>
      <c r="G34" s="71" t="n">
        <v>0.018</v>
      </c>
      <c r="H34" s="72" t="n">
        <v>1800</v>
      </c>
      <c r="I34" s="73" t="n">
        <v>55</v>
      </c>
      <c r="J34" s="74" t="inlineStr">
        <is>
          <t>High risk</t>
        </is>
      </c>
    </row>
    <row r="35" ht="16" customHeight="1">
      <c r="B35" s="25" t="inlineStr">
        <is>
          <t>GHM</t>
        </is>
      </c>
      <c r="C35" s="26" t="inlineStr">
        <is>
          <t>Graham Corporation</t>
        </is>
      </c>
      <c r="D35" s="49" t="inlineStr">
        <is>
          <t>Small Cap</t>
        </is>
      </c>
      <c r="E35" s="23" t="inlineStr">
        <is>
          <t>Medium</t>
        </is>
      </c>
      <c r="F35" s="40" t="n">
        <v>0.03</v>
      </c>
      <c r="G35" s="75" t="n">
        <v>0.03</v>
      </c>
      <c r="H35" s="76" t="n">
        <v>3000</v>
      </c>
      <c r="I35" s="77" t="n">
        <v>33</v>
      </c>
      <c r="J35" s="78" t="inlineStr">
        <is>
          <t>Medium-High risk</t>
        </is>
      </c>
    </row>
    <row r="36" ht="16" customHeight="1">
      <c r="B36" s="19" t="inlineStr">
        <is>
          <t>NNDM</t>
        </is>
      </c>
      <c r="C36" s="20" t="inlineStr">
        <is>
          <t>Nano Dimension Ltd.</t>
        </is>
      </c>
      <c r="D36" s="47" t="inlineStr">
        <is>
          <t>Small Cap</t>
        </is>
      </c>
      <c r="E36" s="23" t="inlineStr">
        <is>
          <t>Medium</t>
        </is>
      </c>
      <c r="F36" s="33" t="n">
        <v>0.03</v>
      </c>
      <c r="G36" s="71" t="n">
        <v>0.03</v>
      </c>
      <c r="H36" s="72" t="n">
        <v>3000</v>
      </c>
      <c r="I36" s="73" t="n">
        <v>1935</v>
      </c>
      <c r="J36" s="74" t="inlineStr">
        <is>
          <t>Medium-High risk</t>
        </is>
      </c>
    </row>
    <row r="37" ht="16" customHeight="1">
      <c r="B37" s="25" t="inlineStr">
        <is>
          <t>ADTN</t>
        </is>
      </c>
      <c r="C37" s="26" t="inlineStr">
        <is>
          <t>ADTRAN Holdings Inc.</t>
        </is>
      </c>
      <c r="D37" s="49" t="inlineStr">
        <is>
          <t>Small Cap</t>
        </is>
      </c>
      <c r="E37" s="23" t="inlineStr">
        <is>
          <t>Medium</t>
        </is>
      </c>
      <c r="F37" s="40" t="n">
        <v>0.03</v>
      </c>
      <c r="G37" s="75" t="n">
        <v>0.03</v>
      </c>
      <c r="H37" s="76" t="n">
        <v>3000</v>
      </c>
      <c r="I37" s="77" t="n">
        <v>398</v>
      </c>
      <c r="J37" s="78" t="inlineStr"/>
    </row>
    <row r="38" ht="16" customHeight="1">
      <c r="B38" s="19" t="inlineStr">
        <is>
          <t>AME</t>
        </is>
      </c>
      <c r="C38" s="20" t="inlineStr">
        <is>
          <t>AMETEK, Inc.</t>
        </is>
      </c>
      <c r="D38" s="47" t="inlineStr">
        <is>
          <t>Vital Link</t>
        </is>
      </c>
      <c r="E38" s="23" t="inlineStr">
        <is>
          <t>Medium</t>
        </is>
      </c>
      <c r="F38" s="33" t="n">
        <v>0.03</v>
      </c>
      <c r="G38" s="71" t="n">
        <v>0.042</v>
      </c>
      <c r="H38" s="72" t="n">
        <v>4200</v>
      </c>
      <c r="I38" s="73" t="n">
        <v>17</v>
      </c>
      <c r="J38" s="74" t="inlineStr">
        <is>
          <t>Medium-Low risk</t>
        </is>
      </c>
    </row>
    <row r="39" ht="16" customHeight="1">
      <c r="B39" s="25" t="inlineStr">
        <is>
          <t>INTT</t>
        </is>
      </c>
      <c r="C39" s="26" t="inlineStr">
        <is>
          <t>inTEST Corporation</t>
        </is>
      </c>
      <c r="D39" s="49" t="inlineStr">
        <is>
          <t>Nano Cap</t>
        </is>
      </c>
      <c r="E39" s="23" t="inlineStr">
        <is>
          <t>Medium</t>
        </is>
      </c>
      <c r="F39" s="40" t="n">
        <v>0.03</v>
      </c>
      <c r="G39" s="75" t="n">
        <v>0.018</v>
      </c>
      <c r="H39" s="76" t="n">
        <v>1800</v>
      </c>
      <c r="I39" s="77" t="n">
        <v>155</v>
      </c>
      <c r="J39" s="78" t="inlineStr">
        <is>
          <t>Medium-High risk</t>
        </is>
      </c>
    </row>
    <row r="40" ht="16" customHeight="1">
      <c r="B40" s="19" t="inlineStr">
        <is>
          <t>RELL</t>
        </is>
      </c>
      <c r="C40" s="20" t="inlineStr">
        <is>
          <t>Richardson Electronics, Ltd.</t>
        </is>
      </c>
      <c r="D40" s="47" t="inlineStr">
        <is>
          <t>Nano Cap</t>
        </is>
      </c>
      <c r="E40" s="23" t="inlineStr">
        <is>
          <t>Medium</t>
        </is>
      </c>
      <c r="F40" s="33" t="n">
        <v>0.03</v>
      </c>
      <c r="G40" s="71" t="n">
        <v>0.018</v>
      </c>
      <c r="H40" s="72" t="n">
        <v>1800</v>
      </c>
      <c r="I40" s="73" t="n">
        <v>102</v>
      </c>
      <c r="J40" s="74" t="inlineStr">
        <is>
          <t>Medium-High risk</t>
        </is>
      </c>
    </row>
    <row r="41" ht="16" customHeight="1">
      <c r="B41" s="25" t="inlineStr">
        <is>
          <t>BRC</t>
        </is>
      </c>
      <c r="C41" s="26" t="inlineStr">
        <is>
          <t>Brady Corporation</t>
        </is>
      </c>
      <c r="D41" s="49" t="inlineStr">
        <is>
          <t>Breakout</t>
        </is>
      </c>
      <c r="E41" s="23" t="inlineStr">
        <is>
          <t>Medium</t>
        </is>
      </c>
      <c r="F41" s="40" t="n">
        <v>0.03</v>
      </c>
      <c r="G41" s="75" t="n">
        <v>0.036</v>
      </c>
      <c r="H41" s="76" t="n">
        <v>3600</v>
      </c>
      <c r="I41" s="77" t="n">
        <v>40</v>
      </c>
      <c r="J41" s="78" t="inlineStr">
        <is>
          <t>Medium-Low risk</t>
        </is>
      </c>
    </row>
    <row r="42" ht="16" customHeight="1">
      <c r="B42" s="19" t="inlineStr">
        <is>
          <t>MRCY</t>
        </is>
      </c>
      <c r="C42" s="20" t="inlineStr">
        <is>
          <t>Mercury Systems, Inc.</t>
        </is>
      </c>
      <c r="D42" s="47" t="inlineStr">
        <is>
          <t>Breakout</t>
        </is>
      </c>
      <c r="E42" s="23" t="inlineStr">
        <is>
          <t>Medium</t>
        </is>
      </c>
      <c r="F42" s="33" t="n">
        <v>0.03</v>
      </c>
      <c r="G42" s="71" t="n">
        <v>0.036</v>
      </c>
      <c r="H42" s="72" t="n">
        <v>3600</v>
      </c>
      <c r="I42" s="73" t="n">
        <v>42</v>
      </c>
      <c r="J42" s="74" t="inlineStr">
        <is>
          <t>Medium-High risk</t>
        </is>
      </c>
    </row>
    <row r="43" ht="16" customHeight="1">
      <c r="B43" s="25" t="inlineStr">
        <is>
          <t>CE</t>
        </is>
      </c>
      <c r="C43" s="26" t="inlineStr">
        <is>
          <t>Celanese Corporation</t>
        </is>
      </c>
      <c r="D43" s="49" t="inlineStr">
        <is>
          <t>Breakout</t>
        </is>
      </c>
      <c r="E43" s="23" t="inlineStr">
        <is>
          <t>Medium</t>
        </is>
      </c>
      <c r="F43" s="40" t="n">
        <v>0.03</v>
      </c>
      <c r="G43" s="75" t="n">
        <v>0.036</v>
      </c>
      <c r="H43" s="76" t="n">
        <v>3600</v>
      </c>
      <c r="I43" s="77" t="n">
        <v>80</v>
      </c>
      <c r="J43" s="78" t="inlineStr">
        <is>
          <t>High risk</t>
        </is>
      </c>
    </row>
    <row r="44" ht="16" customHeight="1">
      <c r="B44" s="19" t="inlineStr">
        <is>
          <t>RUN</t>
        </is>
      </c>
      <c r="C44" s="20" t="inlineStr">
        <is>
          <t>Sunrun Inc.</t>
        </is>
      </c>
      <c r="D44" s="47" t="inlineStr">
        <is>
          <t>Breakout</t>
        </is>
      </c>
      <c r="E44" s="23" t="inlineStr">
        <is>
          <t>Medium</t>
        </is>
      </c>
      <c r="F44" s="33" t="n">
        <v>0.03</v>
      </c>
      <c r="G44" s="71" t="n">
        <v>0.036</v>
      </c>
      <c r="H44" s="72" t="n">
        <v>3600</v>
      </c>
      <c r="I44" s="73" t="n">
        <v>392</v>
      </c>
      <c r="J44" s="74" t="inlineStr">
        <is>
          <t>Medium-Low risk</t>
        </is>
      </c>
    </row>
    <row r="45" ht="16" customHeight="1">
      <c r="B45" s="25" t="inlineStr">
        <is>
          <t>LYFT</t>
        </is>
      </c>
      <c r="C45" s="26" t="inlineStr">
        <is>
          <t>Lyft, Inc.</t>
        </is>
      </c>
      <c r="D45" s="49" t="inlineStr">
        <is>
          <t>Breakout</t>
        </is>
      </c>
      <c r="E45" s="23" t="inlineStr">
        <is>
          <t>Medium</t>
        </is>
      </c>
      <c r="F45" s="40" t="n">
        <v>0.03</v>
      </c>
      <c r="G45" s="75" t="n">
        <v>0.036</v>
      </c>
      <c r="H45" s="76" t="n">
        <v>3600</v>
      </c>
      <c r="I45" s="77" t="n">
        <v>223</v>
      </c>
      <c r="J45" s="78" t="inlineStr">
        <is>
          <t>Medium-Low risk</t>
        </is>
      </c>
    </row>
    <row r="46" ht="16" customHeight="1">
      <c r="B46" s="19" t="inlineStr">
        <is>
          <t>KN</t>
        </is>
      </c>
      <c r="C46" s="20" t="inlineStr">
        <is>
          <t>Knowles Corporation</t>
        </is>
      </c>
      <c r="D46" s="47" t="inlineStr">
        <is>
          <t>Breakout</t>
        </is>
      </c>
      <c r="E46" s="23" t="inlineStr">
        <is>
          <t>Medium</t>
        </is>
      </c>
      <c r="F46" s="33" t="n">
        <v>0.03</v>
      </c>
      <c r="G46" s="71" t="n">
        <v>0.036</v>
      </c>
      <c r="H46" s="72" t="n">
        <v>3600</v>
      </c>
      <c r="I46" s="73" t="n">
        <v>100</v>
      </c>
      <c r="J46" s="74" t="inlineStr">
        <is>
          <t>Medium-Low risk</t>
        </is>
      </c>
    </row>
    <row r="47" ht="16" customHeight="1">
      <c r="B47" s="25" t="inlineStr">
        <is>
          <t>RFIL</t>
        </is>
      </c>
      <c r="C47" s="26" t="inlineStr">
        <is>
          <t>RF Industries, Ltd.</t>
        </is>
      </c>
      <c r="D47" s="49" t="inlineStr">
        <is>
          <t>Nano Cap</t>
        </is>
      </c>
      <c r="E47" s="23" t="inlineStr">
        <is>
          <t>Medium</t>
        </is>
      </c>
      <c r="F47" s="40" t="n">
        <v>0.03</v>
      </c>
      <c r="G47" s="75" t="n">
        <v>0.018</v>
      </c>
      <c r="H47" s="76" t="n">
        <v>1800</v>
      </c>
      <c r="I47" s="77" t="n">
        <v>165</v>
      </c>
      <c r="J47" s="78" t="inlineStr">
        <is>
          <t>Medium-High risk</t>
        </is>
      </c>
    </row>
    <row r="48" ht="16" customHeight="1">
      <c r="B48" s="19" t="inlineStr">
        <is>
          <t>LTRX</t>
        </is>
      </c>
      <c r="C48" s="20" t="inlineStr">
        <is>
          <t>Lantronix, Inc.</t>
        </is>
      </c>
      <c r="D48" s="47" t="inlineStr">
        <is>
          <t>Nano Cap</t>
        </is>
      </c>
      <c r="E48" s="23" t="inlineStr">
        <is>
          <t>Medium</t>
        </is>
      </c>
      <c r="F48" s="33" t="n">
        <v>0.03</v>
      </c>
      <c r="G48" s="71" t="n">
        <v>0.018</v>
      </c>
      <c r="H48" s="72" t="n">
        <v>1800</v>
      </c>
      <c r="I48" s="73" t="n">
        <v>337</v>
      </c>
      <c r="J48" s="74" t="inlineStr">
        <is>
          <t>Medium-High risk</t>
        </is>
      </c>
    </row>
    <row r="49" ht="16" customHeight="1">
      <c r="B49" s="25" t="inlineStr">
        <is>
          <t>GLTK</t>
        </is>
      </c>
      <c r="C49" s="26" t="inlineStr">
        <is>
          <t>GlobalTech Corporation</t>
        </is>
      </c>
      <c r="D49" s="49" t="inlineStr">
        <is>
          <t>Nano Cap</t>
        </is>
      </c>
      <c r="E49" s="45" t="inlineStr">
        <is>
          <t>Speculative</t>
        </is>
      </c>
      <c r="F49" s="40" t="n">
        <v>0.015</v>
      </c>
      <c r="G49" s="75" t="n">
        <v>0.009000000000000001</v>
      </c>
      <c r="H49" s="76" t="n">
        <v>900</v>
      </c>
      <c r="I49" s="77" t="n">
        <v>200</v>
      </c>
      <c r="J49" s="78" t="inlineStr">
        <is>
          <t>Medium-High risk</t>
        </is>
      </c>
    </row>
    <row r="50" ht="16" customHeight="1">
      <c r="B50" s="19" t="inlineStr">
        <is>
          <t>OPXS</t>
        </is>
      </c>
      <c r="C50" s="20" t="inlineStr">
        <is>
          <t>Optex Systems Holdings, Inc</t>
        </is>
      </c>
      <c r="D50" s="47" t="inlineStr">
        <is>
          <t>Nano Cap</t>
        </is>
      </c>
      <c r="E50" s="45" t="inlineStr">
        <is>
          <t>Speculative</t>
        </is>
      </c>
      <c r="F50" s="33" t="n">
        <v>0.015</v>
      </c>
      <c r="G50" s="71" t="n">
        <v>0.009000000000000001</v>
      </c>
      <c r="H50" s="72" t="n">
        <v>900</v>
      </c>
      <c r="I50" s="73" t="n">
        <v>88</v>
      </c>
      <c r="J50" s="74" t="inlineStr">
        <is>
          <t>High risk</t>
        </is>
      </c>
    </row>
    <row r="51" ht="16" customHeight="1">
      <c r="B51" s="25" t="inlineStr">
        <is>
          <t>BKTI</t>
        </is>
      </c>
      <c r="C51" s="26" t="inlineStr">
        <is>
          <t>BK Technologies Corporation</t>
        </is>
      </c>
      <c r="D51" s="49" t="inlineStr">
        <is>
          <t>Nano Cap</t>
        </is>
      </c>
      <c r="E51" s="45" t="inlineStr">
        <is>
          <t>Speculative</t>
        </is>
      </c>
      <c r="F51" s="40" t="n">
        <v>0.015</v>
      </c>
      <c r="G51" s="75" t="n">
        <v>0.009000000000000001</v>
      </c>
      <c r="H51" s="76" t="n">
        <v>900</v>
      </c>
      <c r="I51" s="77" t="n">
        <v>12</v>
      </c>
      <c r="J51" s="78" t="inlineStr">
        <is>
          <t>Medium-High risk</t>
        </is>
      </c>
    </row>
    <row r="52" ht="16" customHeight="1">
      <c r="B52" s="19" t="inlineStr">
        <is>
          <t>ASYS</t>
        </is>
      </c>
      <c r="C52" s="20" t="inlineStr">
        <is>
          <t>Amtech Systems, Inc.</t>
        </is>
      </c>
      <c r="D52" s="47" t="inlineStr">
        <is>
          <t>Nano Cap</t>
        </is>
      </c>
      <c r="E52" s="45" t="inlineStr">
        <is>
          <t>Speculative</t>
        </is>
      </c>
      <c r="F52" s="33" t="n">
        <v>0.015</v>
      </c>
      <c r="G52" s="71" t="n">
        <v>0.009000000000000001</v>
      </c>
      <c r="H52" s="72" t="n">
        <v>900</v>
      </c>
      <c r="I52" s="73" t="n">
        <v>58</v>
      </c>
      <c r="J52" s="74" t="inlineStr">
        <is>
          <t>Medium-High risk</t>
        </is>
      </c>
    </row>
    <row r="53" ht="16" customHeight="1">
      <c r="B53" s="25" t="inlineStr">
        <is>
          <t>QUIK</t>
        </is>
      </c>
      <c r="C53" s="26" t="inlineStr">
        <is>
          <t>QuickLogic Corporation</t>
        </is>
      </c>
      <c r="D53" s="49" t="inlineStr">
        <is>
          <t>Nano Cap</t>
        </is>
      </c>
      <c r="E53" s="45" t="inlineStr">
        <is>
          <t>Speculative</t>
        </is>
      </c>
      <c r="F53" s="40" t="n">
        <v>0.015</v>
      </c>
      <c r="G53" s="75" t="n">
        <v>0.009000000000000001</v>
      </c>
      <c r="H53" s="76" t="n">
        <v>900</v>
      </c>
      <c r="I53" s="77" t="n">
        <v>80</v>
      </c>
      <c r="J53" s="78" t="inlineStr">
        <is>
          <t>High risk</t>
        </is>
      </c>
    </row>
    <row r="55">
      <c r="B55" s="79" t="inlineStr">
        <is>
          <t>TOTAL ALLOCATED</t>
        </is>
      </c>
      <c r="C55" s="80" t="n"/>
      <c r="D55" s="80" t="n"/>
      <c r="E55" s="80" t="n"/>
      <c r="F55" s="80" t="n"/>
      <c r="G55" s="81" t="n">
        <v>1.327</v>
      </c>
      <c r="H55" s="82" t="n">
        <v>132700</v>
      </c>
    </row>
    <row r="56">
      <c r="B56" s="79" t="inlineStr">
        <is>
          <t>CASH RESERVE</t>
        </is>
      </c>
      <c r="C56" s="80" t="n"/>
      <c r="D56" s="80" t="n"/>
      <c r="E56" s="80" t="n"/>
      <c r="F56" s="80" t="n"/>
      <c r="G56" s="83" t="n">
        <v>0</v>
      </c>
      <c r="H56" s="84" t="n">
        <v>0</v>
      </c>
    </row>
    <row r="59" ht="22" customHeight="1">
      <c r="B59" s="16" t="inlineStr">
        <is>
          <t>SENSITIVITY TO PORTFOLIO SIZE</t>
        </is>
      </c>
      <c r="C59" s="17" t="n"/>
      <c r="D59" s="17" t="n"/>
      <c r="E59" s="17" t="n"/>
      <c r="F59" s="17" t="n"/>
      <c r="G59" s="17" t="n"/>
      <c r="H59" s="17" t="n"/>
      <c r="I59" s="17" t="n"/>
      <c r="J59" s="17" t="n"/>
    </row>
    <row r="60" ht="18" customHeight="1">
      <c r="B60" s="18" t="inlineStr">
        <is>
          <t>Ticker</t>
        </is>
      </c>
      <c r="C60" s="18" t="inlineStr">
        <is>
          <t>$50K</t>
        </is>
      </c>
      <c r="D60" s="18" t="inlineStr">
        <is>
          <t>$100K</t>
        </is>
      </c>
      <c r="E60" s="18" t="inlineStr">
        <is>
          <t>$250K</t>
        </is>
      </c>
      <c r="F60" s="18" t="inlineStr">
        <is>
          <t>$500K</t>
        </is>
      </c>
      <c r="G60" s="18" t="inlineStr">
        <is>
          <t>$1M</t>
        </is>
      </c>
      <c r="L60" t="inlineStr">
        <is>
          <t>Tier</t>
        </is>
      </c>
      <c r="M60" t="inlineStr">
        <is>
          <t>Allocation %</t>
        </is>
      </c>
    </row>
    <row r="61" ht="16" customHeight="1">
      <c r="B61" s="19" t="inlineStr">
        <is>
          <t>SWBI</t>
        </is>
      </c>
      <c r="C61" s="21" t="n">
        <v>2500</v>
      </c>
      <c r="D61" s="85" t="n">
        <v>5000</v>
      </c>
      <c r="E61" s="21" t="n">
        <v>12500</v>
      </c>
      <c r="F61" s="21" t="n">
        <v>25000</v>
      </c>
      <c r="G61" s="21" t="n">
        <v>50000</v>
      </c>
      <c r="L61" t="inlineStr">
        <is>
          <t>Small Cap</t>
        </is>
      </c>
      <c r="M61" t="n">
        <v>36</v>
      </c>
    </row>
    <row r="62" ht="16" customHeight="1">
      <c r="B62" s="25" t="inlineStr">
        <is>
          <t>PKE</t>
        </is>
      </c>
      <c r="C62" s="27" t="n">
        <v>2500</v>
      </c>
      <c r="D62" s="85" t="n">
        <v>5000</v>
      </c>
      <c r="E62" s="27" t="n">
        <v>12500</v>
      </c>
      <c r="F62" s="27" t="n">
        <v>25000</v>
      </c>
      <c r="G62" s="27" t="n">
        <v>50000</v>
      </c>
      <c r="L62" t="inlineStr">
        <is>
          <t>Breakout</t>
        </is>
      </c>
      <c r="M62" t="n">
        <v>38.40000000000001</v>
      </c>
    </row>
    <row r="63" ht="16" customHeight="1">
      <c r="B63" s="19" t="inlineStr">
        <is>
          <t>CALX</t>
        </is>
      </c>
      <c r="C63" s="21" t="n">
        <v>3000</v>
      </c>
      <c r="D63" s="85" t="n">
        <v>6000</v>
      </c>
      <c r="E63" s="21" t="n">
        <v>15000</v>
      </c>
      <c r="F63" s="21" t="n">
        <v>30000</v>
      </c>
      <c r="G63" s="21" t="n">
        <v>60000</v>
      </c>
      <c r="L63" t="inlineStr">
        <is>
          <t>Vital Link</t>
        </is>
      </c>
      <c r="M63" t="n">
        <v>44.8</v>
      </c>
    </row>
    <row r="64" ht="16" customHeight="1">
      <c r="B64" s="25" t="inlineStr">
        <is>
          <t>CW</t>
        </is>
      </c>
      <c r="C64" s="27" t="n">
        <v>3500</v>
      </c>
      <c r="D64" s="85" t="n">
        <v>7000.000000000001</v>
      </c>
      <c r="E64" s="27" t="n">
        <v>17500</v>
      </c>
      <c r="F64" s="27" t="n">
        <v>35000</v>
      </c>
      <c r="G64" s="27" t="n">
        <v>70000</v>
      </c>
      <c r="L64" t="inlineStr">
        <is>
          <t>Nano Cap</t>
        </is>
      </c>
      <c r="M64" t="n">
        <v>13.5</v>
      </c>
    </row>
    <row r="65" ht="16" customHeight="1">
      <c r="B65" s="19" t="inlineStr">
        <is>
          <t>NPKI</t>
        </is>
      </c>
      <c r="C65" s="21" t="n">
        <v>2500</v>
      </c>
      <c r="D65" s="85" t="n">
        <v>5000</v>
      </c>
      <c r="E65" s="21" t="n">
        <v>12500</v>
      </c>
      <c r="F65" s="21" t="n">
        <v>25000</v>
      </c>
      <c r="G65" s="21" t="n">
        <v>50000</v>
      </c>
      <c r="L65" t="inlineStr">
        <is>
          <t>Cash</t>
        </is>
      </c>
      <c r="M65" t="n">
        <v>0</v>
      </c>
    </row>
    <row r="66" ht="16" customHeight="1">
      <c r="B66" s="25" t="inlineStr">
        <is>
          <t>ON</t>
        </is>
      </c>
      <c r="C66" s="27" t="n">
        <v>2100</v>
      </c>
      <c r="D66" s="85" t="n">
        <v>4200</v>
      </c>
      <c r="E66" s="27" t="n">
        <v>10500</v>
      </c>
      <c r="F66" s="27" t="n">
        <v>21000</v>
      </c>
      <c r="G66" s="27" t="n">
        <v>42000</v>
      </c>
    </row>
    <row r="67" ht="16" customHeight="1">
      <c r="B67" s="19" t="inlineStr">
        <is>
          <t>LXFR</t>
        </is>
      </c>
      <c r="C67" s="21" t="n">
        <v>1500</v>
      </c>
      <c r="D67" s="85" t="n">
        <v>3000</v>
      </c>
      <c r="E67" s="21" t="n">
        <v>7500</v>
      </c>
      <c r="F67" s="21" t="n">
        <v>15000</v>
      </c>
      <c r="G67" s="21" t="n">
        <v>30000</v>
      </c>
    </row>
    <row r="68" ht="16" customHeight="1">
      <c r="B68" s="25" t="inlineStr">
        <is>
          <t>CLFD</t>
        </is>
      </c>
      <c r="C68" s="27" t="n">
        <v>1500</v>
      </c>
      <c r="D68" s="85" t="n">
        <v>3000</v>
      </c>
      <c r="E68" s="27" t="n">
        <v>7500</v>
      </c>
      <c r="F68" s="27" t="n">
        <v>15000</v>
      </c>
      <c r="G68" s="27" t="n">
        <v>30000</v>
      </c>
    </row>
    <row r="69" ht="16" customHeight="1">
      <c r="B69" s="19" t="inlineStr">
        <is>
          <t>TDY</t>
        </is>
      </c>
      <c r="C69" s="21" t="n">
        <v>2100</v>
      </c>
      <c r="D69" s="85" t="n">
        <v>4200</v>
      </c>
      <c r="E69" s="21" t="n">
        <v>10500</v>
      </c>
      <c r="F69" s="21" t="n">
        <v>21000</v>
      </c>
      <c r="G69" s="21" t="n">
        <v>42000</v>
      </c>
    </row>
    <row r="70" ht="16" customHeight="1">
      <c r="B70" s="25" t="inlineStr">
        <is>
          <t>ADEA</t>
        </is>
      </c>
      <c r="C70" s="27" t="n">
        <v>1800</v>
      </c>
      <c r="D70" s="85" t="n">
        <v>3600</v>
      </c>
      <c r="E70" s="27" t="n">
        <v>9000.000000000002</v>
      </c>
      <c r="F70" s="27" t="n">
        <v>18000</v>
      </c>
      <c r="G70" s="27" t="n">
        <v>36000.00000000001</v>
      </c>
    </row>
  </sheetData>
  <mergeCells count="5">
    <mergeCell ref="B59:J59"/>
    <mergeCell ref="A2:N2"/>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6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29" t="inlineStr">
        <is>
          <t>SENSITIVITY ANALYSIS — WEIGHT PROFILE COMPARISON</t>
        </is>
      </c>
      <c r="B1" s="11" t="n"/>
      <c r="C1" s="11" t="n"/>
      <c r="D1" s="11" t="n"/>
      <c r="E1" s="11" t="n"/>
      <c r="F1" s="11" t="n"/>
      <c r="G1" s="11" t="n"/>
      <c r="H1" s="11" t="n"/>
      <c r="I1" s="11" t="n"/>
      <c r="J1" s="11" t="n"/>
      <c r="K1" s="11" t="n"/>
      <c r="L1" s="11" t="n"/>
      <c r="M1" s="11" t="n"/>
    </row>
    <row r="2" ht="22" customHeight="1">
      <c r="A2" s="30"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Fingerprint Only</t>
        </is>
      </c>
      <c r="E7" s="18" t="inlineStr">
        <is>
          <t>More Tail (WPS)</t>
        </is>
      </c>
      <c r="F7" s="18" t="inlineStr">
        <is>
          <t>Legacy 35/25/40</t>
        </is>
      </c>
      <c r="G7" s="18" t="inlineStr">
        <is>
          <t>Custom</t>
        </is>
      </c>
    </row>
    <row r="8" ht="16" customHeight="1">
      <c r="B8" s="20" t="inlineStr">
        <is>
          <t>Composite</t>
        </is>
      </c>
      <c r="C8" s="87" t="n">
        <v>0</v>
      </c>
      <c r="D8" s="88" t="n">
        <v>0</v>
      </c>
      <c r="E8" s="88" t="n">
        <v>0</v>
      </c>
      <c r="F8" s="88" t="n">
        <v>0.35</v>
      </c>
      <c r="G8" s="89" t="n">
        <v>0</v>
      </c>
    </row>
    <row r="9" ht="16" customHeight="1">
      <c r="B9" s="20" t="inlineStr">
        <is>
          <t>Fingerprint</t>
        </is>
      </c>
      <c r="C9" s="87" t="n">
        <v>0.75</v>
      </c>
      <c r="D9" s="88" t="n">
        <v>1</v>
      </c>
      <c r="E9" s="88" t="n">
        <v>0.6</v>
      </c>
      <c r="F9" s="88" t="n">
        <v>0.25</v>
      </c>
      <c r="G9" s="89" t="n">
        <v>0.75</v>
      </c>
    </row>
    <row r="10" ht="16" customHeight="1">
      <c r="B10" s="20" t="inlineStr">
        <is>
          <t>WPS</t>
        </is>
      </c>
      <c r="C10" s="87" t="n">
        <v>0.25</v>
      </c>
      <c r="D10" s="88" t="n">
        <v>0</v>
      </c>
      <c r="E10" s="88" t="n">
        <v>0.4</v>
      </c>
      <c r="F10" s="88" t="n">
        <v>0.4</v>
      </c>
      <c r="G10" s="89" t="n">
        <v>0.25</v>
      </c>
    </row>
    <row r="12" ht="22" customHeight="1">
      <c r="B12" s="16" t="inlineStr">
        <is>
          <t>COMBINED SCORES UNDER EACH PROFILE</t>
        </is>
      </c>
      <c r="C12" s="17" t="n"/>
      <c r="D12" s="17" t="n"/>
      <c r="E12" s="17" t="n"/>
      <c r="F12" s="17" t="n"/>
      <c r="G12" s="17" t="n"/>
      <c r="H12" s="17" t="n"/>
      <c r="I12" s="17" t="n"/>
      <c r="J12" s="17" t="n"/>
      <c r="K12" s="17" t="n"/>
      <c r="L12" s="17" t="n"/>
      <c r="M12" s="17" t="n"/>
    </row>
    <row r="13" ht="18" customHeight="1">
      <c r="B13" s="18" t="inlineStr">
        <is>
          <t>Ticker</t>
        </is>
      </c>
      <c r="C13" s="18" t="inlineStr">
        <is>
          <t>Name</t>
        </is>
      </c>
      <c r="D13" s="18" t="inlineStr">
        <is>
          <t>Tier</t>
        </is>
      </c>
      <c r="E13" s="18" t="inlineStr">
        <is>
          <t>Baseline</t>
        </is>
      </c>
      <c r="F13" s="18" t="inlineStr">
        <is>
          <t>Fingerprint Only</t>
        </is>
      </c>
      <c r="G13" s="18" t="inlineStr">
        <is>
          <t>More Tail (WPS)</t>
        </is>
      </c>
      <c r="H13" s="18" t="inlineStr">
        <is>
          <t>Legacy 35/25/40</t>
        </is>
      </c>
      <c r="I13" s="18" t="inlineStr">
        <is>
          <t>Max Score</t>
        </is>
      </c>
      <c r="J13" s="18" t="inlineStr">
        <is>
          <t>Min Score</t>
        </is>
      </c>
      <c r="K13" s="18" t="inlineStr">
        <is>
          <t>Score Range</t>
        </is>
      </c>
      <c r="L13" s="18" t="inlineStr">
        <is>
          <t>Rank Stability</t>
        </is>
      </c>
    </row>
    <row r="14" ht="16" customHeight="1">
      <c r="B14" s="19" t="inlineStr">
        <is>
          <t>SWBI</t>
        </is>
      </c>
      <c r="C14" s="20" t="inlineStr">
        <is>
          <t>Smith &amp; Wesson Brands, Inc.</t>
        </is>
      </c>
      <c r="D14" s="47" t="inlineStr">
        <is>
          <t>Small Cap</t>
        </is>
      </c>
      <c r="E14" s="34" t="n">
        <v>79.2</v>
      </c>
      <c r="F14" s="34" t="n">
        <v>85.40000000000001</v>
      </c>
      <c r="G14" s="34" t="n">
        <v>75.5</v>
      </c>
      <c r="H14" s="34" t="n">
        <v>71.40000000000001</v>
      </c>
      <c r="I14" s="34" t="n">
        <v>85.40000000000001</v>
      </c>
      <c r="J14" s="34" t="n">
        <v>71.40000000000001</v>
      </c>
      <c r="K14" s="34" t="n">
        <v>14</v>
      </c>
      <c r="L14" s="23" t="inlineStr">
        <is>
          <t>Moderate</t>
        </is>
      </c>
    </row>
    <row r="15" ht="16" customHeight="1">
      <c r="B15" s="25" t="inlineStr">
        <is>
          <t>PKE</t>
        </is>
      </c>
      <c r="C15" s="26" t="inlineStr">
        <is>
          <t>Park Aerospace Corp.</t>
        </is>
      </c>
      <c r="D15" s="49" t="inlineStr">
        <is>
          <t>Small Cap</t>
        </is>
      </c>
      <c r="E15" s="41" t="n">
        <v>78.7</v>
      </c>
      <c r="F15" s="41" t="n">
        <v>85.40000000000001</v>
      </c>
      <c r="G15" s="41" t="n">
        <v>74.7</v>
      </c>
      <c r="H15" s="41" t="n">
        <v>69.90000000000001</v>
      </c>
      <c r="I15" s="41" t="n">
        <v>85.40000000000001</v>
      </c>
      <c r="J15" s="41" t="n">
        <v>69.90000000000001</v>
      </c>
      <c r="K15" s="41" t="n">
        <v>15.5</v>
      </c>
      <c r="L15" s="23" t="inlineStr">
        <is>
          <t>Moderate</t>
        </is>
      </c>
    </row>
    <row r="16" ht="16" customHeight="1">
      <c r="B16" s="19" t="inlineStr">
        <is>
          <t>CALX</t>
        </is>
      </c>
      <c r="C16" s="20" t="inlineStr">
        <is>
          <t>Calix, Inc.</t>
        </is>
      </c>
      <c r="D16" s="47" t="inlineStr">
        <is>
          <t>Breakout</t>
        </is>
      </c>
      <c r="E16" s="34" t="n">
        <v>77.2</v>
      </c>
      <c r="F16" s="34" t="n">
        <v>83.90000000000001</v>
      </c>
      <c r="G16" s="34" t="n">
        <v>73.2</v>
      </c>
      <c r="H16" s="34" t="n">
        <v>69.8</v>
      </c>
      <c r="I16" s="34" t="n">
        <v>83.90000000000001</v>
      </c>
      <c r="J16" s="34" t="n">
        <v>69.8</v>
      </c>
      <c r="K16" s="34" t="n">
        <v>14.10000000000001</v>
      </c>
      <c r="L16" s="23" t="inlineStr">
        <is>
          <t>Moderate</t>
        </is>
      </c>
    </row>
    <row r="17" ht="16" customHeight="1">
      <c r="B17" s="25" t="inlineStr">
        <is>
          <t>CW</t>
        </is>
      </c>
      <c r="C17" s="26" t="inlineStr">
        <is>
          <t>Curtiss-Wright Corporation</t>
        </is>
      </c>
      <c r="D17" s="49" t="inlineStr">
        <is>
          <t>Vital Link</t>
        </is>
      </c>
      <c r="E17" s="41" t="n">
        <v>75.3</v>
      </c>
      <c r="F17" s="41" t="n">
        <v>83.3</v>
      </c>
      <c r="G17" s="41" t="n">
        <v>70.5</v>
      </c>
      <c r="H17" s="41" t="n">
        <v>58.4</v>
      </c>
      <c r="I17" s="41" t="n">
        <v>83.3</v>
      </c>
      <c r="J17" s="41" t="n">
        <v>58.4</v>
      </c>
      <c r="K17" s="41" t="n">
        <v>24.9</v>
      </c>
      <c r="L17" s="45" t="inlineStr">
        <is>
          <t>Sensitive</t>
        </is>
      </c>
    </row>
    <row r="18" ht="16" customHeight="1">
      <c r="B18" s="19" t="inlineStr">
        <is>
          <t>NPKI</t>
        </is>
      </c>
      <c r="C18" s="20" t="inlineStr">
        <is>
          <t>NPK International Inc.</t>
        </is>
      </c>
      <c r="D18" s="47" t="inlineStr">
        <is>
          <t>Small Cap</t>
        </is>
      </c>
      <c r="E18" s="34" t="n">
        <v>75.09999999999999</v>
      </c>
      <c r="F18" s="34" t="n">
        <v>82.59999999999999</v>
      </c>
      <c r="G18" s="34" t="n">
        <v>70.7</v>
      </c>
      <c r="H18" s="34" t="n">
        <v>67</v>
      </c>
      <c r="I18" s="34" t="n">
        <v>82.59999999999999</v>
      </c>
      <c r="J18" s="34" t="n">
        <v>67</v>
      </c>
      <c r="K18" s="34" t="n">
        <v>15.59999999999999</v>
      </c>
      <c r="L18" s="23" t="inlineStr">
        <is>
          <t>Moderate</t>
        </is>
      </c>
    </row>
    <row r="19" ht="16" customHeight="1">
      <c r="B19" s="25" t="inlineStr">
        <is>
          <t>ON</t>
        </is>
      </c>
      <c r="C19" s="26" t="inlineStr">
        <is>
          <t>ON Semiconductor Corporation</t>
        </is>
      </c>
      <c r="D19" s="49" t="inlineStr">
        <is>
          <t>Vital Link</t>
        </is>
      </c>
      <c r="E19" s="41" t="n">
        <v>74.5</v>
      </c>
      <c r="F19" s="41" t="n">
        <v>83.3</v>
      </c>
      <c r="G19" s="41" t="n">
        <v>69.3</v>
      </c>
      <c r="H19" s="41" t="n">
        <v>61.2</v>
      </c>
      <c r="I19" s="41" t="n">
        <v>83.3</v>
      </c>
      <c r="J19" s="41" t="n">
        <v>61.2</v>
      </c>
      <c r="K19" s="41" t="n">
        <v>22.09999999999999</v>
      </c>
      <c r="L19" s="45" t="inlineStr">
        <is>
          <t>Sensitive</t>
        </is>
      </c>
    </row>
    <row r="20" ht="16" customHeight="1">
      <c r="B20" s="19" t="inlineStr">
        <is>
          <t>LXFR</t>
        </is>
      </c>
      <c r="C20" s="20" t="inlineStr">
        <is>
          <t>Luxfer Holdings PLC</t>
        </is>
      </c>
      <c r="D20" s="47" t="inlineStr">
        <is>
          <t>Small Cap</t>
        </is>
      </c>
      <c r="E20" s="34" t="n">
        <v>74</v>
      </c>
      <c r="F20" s="34" t="n">
        <v>79</v>
      </c>
      <c r="G20" s="34" t="n">
        <v>71</v>
      </c>
      <c r="H20" s="34" t="n">
        <v>62.2</v>
      </c>
      <c r="I20" s="34" t="n">
        <v>79</v>
      </c>
      <c r="J20" s="34" t="n">
        <v>62.2</v>
      </c>
      <c r="K20" s="34" t="n">
        <v>16.8</v>
      </c>
      <c r="L20" s="23" t="inlineStr">
        <is>
          <t>Moderate</t>
        </is>
      </c>
    </row>
    <row r="21" ht="16" customHeight="1">
      <c r="B21" s="25" t="inlineStr">
        <is>
          <t>CLFD</t>
        </is>
      </c>
      <c r="C21" s="26" t="inlineStr">
        <is>
          <t>Clearfield, Inc.</t>
        </is>
      </c>
      <c r="D21" s="49" t="inlineStr">
        <is>
          <t>Small Cap</t>
        </is>
      </c>
      <c r="E21" s="41" t="n">
        <v>73.90000000000001</v>
      </c>
      <c r="F21" s="41" t="n">
        <v>68.8</v>
      </c>
      <c r="G21" s="41" t="n">
        <v>77</v>
      </c>
      <c r="H21" s="41" t="n">
        <v>76.7</v>
      </c>
      <c r="I21" s="41" t="n">
        <v>77</v>
      </c>
      <c r="J21" s="41" t="n">
        <v>68.8</v>
      </c>
      <c r="K21" s="41" t="n">
        <v>8.200000000000003</v>
      </c>
      <c r="L21" s="90" t="inlineStr">
        <is>
          <t>Stable</t>
        </is>
      </c>
    </row>
    <row r="22" ht="16" customHeight="1">
      <c r="B22" s="19" t="inlineStr">
        <is>
          <t>TDY</t>
        </is>
      </c>
      <c r="C22" s="20" t="inlineStr">
        <is>
          <t>Teledyne Technologies Incorporated</t>
        </is>
      </c>
      <c r="D22" s="47" t="inlineStr">
        <is>
          <t>Vital Link</t>
        </is>
      </c>
      <c r="E22" s="34" t="n">
        <v>73.7</v>
      </c>
      <c r="F22" s="34" t="n">
        <v>77.7</v>
      </c>
      <c r="G22" s="34" t="n">
        <v>71.3</v>
      </c>
      <c r="H22" s="34" t="n">
        <v>63.2</v>
      </c>
      <c r="I22" s="34" t="n">
        <v>77.7</v>
      </c>
      <c r="J22" s="34" t="n">
        <v>63.2</v>
      </c>
      <c r="K22" s="34" t="n">
        <v>14.5</v>
      </c>
      <c r="L22" s="23" t="inlineStr">
        <is>
          <t>Moderate</t>
        </is>
      </c>
    </row>
    <row r="23" ht="16" customHeight="1">
      <c r="B23" s="25" t="inlineStr">
        <is>
          <t>ADEA</t>
        </is>
      </c>
      <c r="C23" s="26" t="inlineStr">
        <is>
          <t>Adeia Inc.</t>
        </is>
      </c>
      <c r="D23" s="49" t="inlineStr">
        <is>
          <t>Breakout</t>
        </is>
      </c>
      <c r="E23" s="41" t="n">
        <v>73.40000000000001</v>
      </c>
      <c r="F23" s="41" t="n">
        <v>75.09999999999999</v>
      </c>
      <c r="G23" s="41" t="n">
        <v>72.40000000000001</v>
      </c>
      <c r="H23" s="41" t="n">
        <v>64.90000000000001</v>
      </c>
      <c r="I23" s="41" t="n">
        <v>75.09999999999999</v>
      </c>
      <c r="J23" s="41" t="n">
        <v>64.90000000000001</v>
      </c>
      <c r="K23" s="41" t="n">
        <v>10.19999999999999</v>
      </c>
      <c r="L23" s="23" t="inlineStr">
        <is>
          <t>Moderate</t>
        </is>
      </c>
    </row>
    <row r="24" ht="16" customHeight="1">
      <c r="B24" s="19" t="inlineStr">
        <is>
          <t>PPG</t>
        </is>
      </c>
      <c r="C24" s="20" t="inlineStr">
        <is>
          <t>PPG Industries, Inc.</t>
        </is>
      </c>
      <c r="D24" s="47" t="inlineStr">
        <is>
          <t>Vital Link</t>
        </is>
      </c>
      <c r="E24" s="34" t="n">
        <v>73.40000000000001</v>
      </c>
      <c r="F24" s="34" t="n">
        <v>82.3</v>
      </c>
      <c r="G24" s="34" t="n">
        <v>68.09999999999999</v>
      </c>
      <c r="H24" s="34" t="n">
        <v>58.5</v>
      </c>
      <c r="I24" s="34" t="n">
        <v>82.3</v>
      </c>
      <c r="J24" s="34" t="n">
        <v>58.5</v>
      </c>
      <c r="K24" s="34" t="n">
        <v>23.8</v>
      </c>
      <c r="L24" s="45" t="inlineStr">
        <is>
          <t>Sensitive</t>
        </is>
      </c>
    </row>
    <row r="25" ht="16" customHeight="1">
      <c r="B25" s="25" t="inlineStr">
        <is>
          <t>HUBB</t>
        </is>
      </c>
      <c r="C25" s="26" t="inlineStr">
        <is>
          <t>Hubbell Incorporated</t>
        </is>
      </c>
      <c r="D25" s="49" t="inlineStr">
        <is>
          <t>Vital Link</t>
        </is>
      </c>
      <c r="E25" s="41" t="n">
        <v>73.2</v>
      </c>
      <c r="F25" s="41" t="n">
        <v>83.09999999999999</v>
      </c>
      <c r="G25" s="41" t="n">
        <v>67.3</v>
      </c>
      <c r="H25" s="41" t="n">
        <v>59.2</v>
      </c>
      <c r="I25" s="41" t="n">
        <v>83.09999999999999</v>
      </c>
      <c r="J25" s="41" t="n">
        <v>59.2</v>
      </c>
      <c r="K25" s="41" t="n">
        <v>23.89999999999999</v>
      </c>
      <c r="L25" s="45" t="inlineStr">
        <is>
          <t>Sensitive</t>
        </is>
      </c>
    </row>
    <row r="26" ht="16" customHeight="1">
      <c r="B26" s="19" t="inlineStr">
        <is>
          <t>DCI</t>
        </is>
      </c>
      <c r="C26" s="20" t="inlineStr">
        <is>
          <t>Donaldson Company, Inc.</t>
        </is>
      </c>
      <c r="D26" s="47" t="inlineStr">
        <is>
          <t>Breakout</t>
        </is>
      </c>
      <c r="E26" s="34" t="n">
        <v>73</v>
      </c>
      <c r="F26" s="34" t="n">
        <v>79.40000000000001</v>
      </c>
      <c r="G26" s="34" t="n">
        <v>69.2</v>
      </c>
      <c r="H26" s="34" t="n">
        <v>59.9</v>
      </c>
      <c r="I26" s="34" t="n">
        <v>79.40000000000001</v>
      </c>
      <c r="J26" s="34" t="n">
        <v>59.9</v>
      </c>
      <c r="K26" s="34" t="n">
        <v>19.50000000000001</v>
      </c>
      <c r="L26" s="23" t="inlineStr">
        <is>
          <t>Moderate</t>
        </is>
      </c>
    </row>
    <row r="27" ht="16" customHeight="1">
      <c r="B27" s="25" t="inlineStr">
        <is>
          <t>ARRY</t>
        </is>
      </c>
      <c r="C27" s="26" t="inlineStr">
        <is>
          <t>Array Technologies, Inc.</t>
        </is>
      </c>
      <c r="D27" s="49" t="inlineStr">
        <is>
          <t>Small Cap</t>
        </is>
      </c>
      <c r="E27" s="41" t="n">
        <v>72.59999999999999</v>
      </c>
      <c r="F27" s="41" t="n">
        <v>78.09999999999999</v>
      </c>
      <c r="G27" s="41" t="n">
        <v>69.3</v>
      </c>
      <c r="H27" s="41" t="n">
        <v>64.09999999999999</v>
      </c>
      <c r="I27" s="41" t="n">
        <v>78.09999999999999</v>
      </c>
      <c r="J27" s="41" t="n">
        <v>64.09999999999999</v>
      </c>
      <c r="K27" s="41" t="n">
        <v>14</v>
      </c>
      <c r="L27" s="23" t="inlineStr">
        <is>
          <t>Moderate</t>
        </is>
      </c>
    </row>
    <row r="28" ht="16" customHeight="1">
      <c r="B28" s="19" t="inlineStr">
        <is>
          <t>HON</t>
        </is>
      </c>
      <c r="C28" s="20" t="inlineStr">
        <is>
          <t>Honeywell International Inc.</t>
        </is>
      </c>
      <c r="D28" s="47" t="inlineStr">
        <is>
          <t>Vital Link</t>
        </is>
      </c>
      <c r="E28" s="34" t="n">
        <v>72.40000000000001</v>
      </c>
      <c r="F28" s="34" t="n">
        <v>79.59999999999999</v>
      </c>
      <c r="G28" s="34" t="n">
        <v>68.09999999999999</v>
      </c>
      <c r="H28" s="34" t="n">
        <v>60.3</v>
      </c>
      <c r="I28" s="34" t="n">
        <v>79.59999999999999</v>
      </c>
      <c r="J28" s="34" t="n">
        <v>60.3</v>
      </c>
      <c r="K28" s="34" t="n">
        <v>19.3</v>
      </c>
      <c r="L28" s="23" t="inlineStr">
        <is>
          <t>Moderate</t>
        </is>
      </c>
    </row>
    <row r="29" ht="16" customHeight="1">
      <c r="B29" s="25" t="inlineStr">
        <is>
          <t>EVLV</t>
        </is>
      </c>
      <c r="C29" s="26" t="inlineStr">
        <is>
          <t>Evolv Technologies Holdings, Inc.</t>
        </is>
      </c>
      <c r="D29" s="49" t="inlineStr">
        <is>
          <t>Small Cap</t>
        </is>
      </c>
      <c r="E29" s="41" t="n">
        <v>72.09999999999999</v>
      </c>
      <c r="F29" s="41" t="n">
        <v>74</v>
      </c>
      <c r="G29" s="41" t="n">
        <v>71</v>
      </c>
      <c r="H29" s="41" t="n">
        <v>68.40000000000001</v>
      </c>
      <c r="I29" s="41" t="n">
        <v>74</v>
      </c>
      <c r="J29" s="41" t="n">
        <v>68.40000000000001</v>
      </c>
      <c r="K29" s="41" t="n">
        <v>5.599999999999994</v>
      </c>
      <c r="L29" s="90" t="inlineStr">
        <is>
          <t>Stable</t>
        </is>
      </c>
    </row>
    <row r="30" ht="16" customHeight="1">
      <c r="B30" s="19" t="inlineStr">
        <is>
          <t>CACI</t>
        </is>
      </c>
      <c r="C30" s="20" t="inlineStr">
        <is>
          <t>CACI International Inc</t>
        </is>
      </c>
      <c r="D30" s="47" t="inlineStr">
        <is>
          <t>Breakout</t>
        </is>
      </c>
      <c r="E30" s="34" t="n">
        <v>71.59999999999999</v>
      </c>
      <c r="F30" s="34" t="n">
        <v>76.90000000000001</v>
      </c>
      <c r="G30" s="34" t="n">
        <v>68.40000000000001</v>
      </c>
      <c r="H30" s="34" t="n">
        <v>61.2</v>
      </c>
      <c r="I30" s="34" t="n">
        <v>76.90000000000001</v>
      </c>
      <c r="J30" s="34" t="n">
        <v>61.2</v>
      </c>
      <c r="K30" s="34" t="n">
        <v>15.7</v>
      </c>
      <c r="L30" s="23" t="inlineStr">
        <is>
          <t>Moderate</t>
        </is>
      </c>
    </row>
    <row r="31" ht="16" customHeight="1">
      <c r="B31" s="25" t="inlineStr">
        <is>
          <t>LHX</t>
        </is>
      </c>
      <c r="C31" s="26" t="inlineStr">
        <is>
          <t>L3Harris Technologies, Inc.</t>
        </is>
      </c>
      <c r="D31" s="49" t="inlineStr">
        <is>
          <t>Vital Link</t>
        </is>
      </c>
      <c r="E31" s="41" t="n">
        <v>71.2</v>
      </c>
      <c r="F31" s="41" t="n">
        <v>76.09999999999999</v>
      </c>
      <c r="G31" s="41" t="n">
        <v>68.2</v>
      </c>
      <c r="H31" s="41" t="n">
        <v>58.4</v>
      </c>
      <c r="I31" s="41" t="n">
        <v>76.09999999999999</v>
      </c>
      <c r="J31" s="41" t="n">
        <v>58.4</v>
      </c>
      <c r="K31" s="41" t="n">
        <v>17.7</v>
      </c>
      <c r="L31" s="23" t="inlineStr">
        <is>
          <t>Moderate</t>
        </is>
      </c>
    </row>
    <row r="32" ht="16" customHeight="1">
      <c r="B32" s="19" t="inlineStr">
        <is>
          <t>FTAI</t>
        </is>
      </c>
      <c r="C32" s="20" t="inlineStr">
        <is>
          <t>FTAI Aviation Ltd.</t>
        </is>
      </c>
      <c r="D32" s="47" t="inlineStr">
        <is>
          <t>Vital Link</t>
        </is>
      </c>
      <c r="E32" s="34" t="n">
        <v>71.2</v>
      </c>
      <c r="F32" s="34" t="n">
        <v>77.59999999999999</v>
      </c>
      <c r="G32" s="34" t="n">
        <v>67.40000000000001</v>
      </c>
      <c r="H32" s="34" t="n">
        <v>63.6</v>
      </c>
      <c r="I32" s="34" t="n">
        <v>77.59999999999999</v>
      </c>
      <c r="J32" s="34" t="n">
        <v>63.6</v>
      </c>
      <c r="K32" s="34" t="n">
        <v>13.99999999999999</v>
      </c>
      <c r="L32" s="23" t="inlineStr">
        <is>
          <t>Moderate</t>
        </is>
      </c>
    </row>
    <row r="33" ht="16" customHeight="1">
      <c r="B33" s="25" t="inlineStr">
        <is>
          <t>GEHC</t>
        </is>
      </c>
      <c r="C33" s="26" t="inlineStr">
        <is>
          <t>GE HealthCare Technologies Inc.</t>
        </is>
      </c>
      <c r="D33" s="49" t="inlineStr">
        <is>
          <t>Vital Link</t>
        </is>
      </c>
      <c r="E33" s="41" t="n">
        <v>71.2</v>
      </c>
      <c r="F33" s="41" t="n">
        <v>81.40000000000001</v>
      </c>
      <c r="G33" s="41" t="n">
        <v>65.09999999999999</v>
      </c>
      <c r="H33" s="41" t="n">
        <v>54.9</v>
      </c>
      <c r="I33" s="41" t="n">
        <v>81.40000000000001</v>
      </c>
      <c r="J33" s="41" t="n">
        <v>54.9</v>
      </c>
      <c r="K33" s="41" t="n">
        <v>26.50000000000001</v>
      </c>
      <c r="L33" s="45" t="inlineStr">
        <is>
          <t>Sensitive</t>
        </is>
      </c>
    </row>
    <row r="34" ht="16" customHeight="1">
      <c r="B34" s="19" t="inlineStr">
        <is>
          <t>SODI</t>
        </is>
      </c>
      <c r="C34" s="20" t="inlineStr">
        <is>
          <t>Solitron Devices, Inc.</t>
        </is>
      </c>
      <c r="D34" s="47" t="inlineStr">
        <is>
          <t>Nano Cap</t>
        </is>
      </c>
      <c r="E34" s="34" t="n">
        <v>70.8</v>
      </c>
      <c r="F34" s="34" t="n">
        <v>68.09999999999999</v>
      </c>
      <c r="G34" s="34" t="n">
        <v>72.5</v>
      </c>
      <c r="H34" s="34" t="n">
        <v>81.3</v>
      </c>
      <c r="I34" s="34" t="n">
        <v>81.3</v>
      </c>
      <c r="J34" s="34" t="n">
        <v>68.09999999999999</v>
      </c>
      <c r="K34" s="34" t="n">
        <v>13.2</v>
      </c>
      <c r="L34" s="23" t="inlineStr">
        <is>
          <t>Moderate</t>
        </is>
      </c>
    </row>
    <row r="35" ht="16" customHeight="1">
      <c r="B35" s="25" t="inlineStr">
        <is>
          <t>GHM</t>
        </is>
      </c>
      <c r="C35" s="26" t="inlineStr">
        <is>
          <t>Graham Corporation</t>
        </is>
      </c>
      <c r="D35" s="49" t="inlineStr">
        <is>
          <t>Small Cap</t>
        </is>
      </c>
      <c r="E35" s="41" t="n">
        <v>70.7</v>
      </c>
      <c r="F35" s="41" t="n">
        <v>77</v>
      </c>
      <c r="G35" s="41" t="n">
        <v>67</v>
      </c>
      <c r="H35" s="41" t="n">
        <v>61</v>
      </c>
      <c r="I35" s="41" t="n">
        <v>77</v>
      </c>
      <c r="J35" s="41" t="n">
        <v>61</v>
      </c>
      <c r="K35" s="41" t="n">
        <v>16</v>
      </c>
      <c r="L35" s="23" t="inlineStr">
        <is>
          <t>Moderate</t>
        </is>
      </c>
    </row>
    <row r="36" ht="16" customHeight="1">
      <c r="B36" s="19" t="inlineStr">
        <is>
          <t>NNDM</t>
        </is>
      </c>
      <c r="C36" s="20" t="inlineStr">
        <is>
          <t>Nano Dimension Ltd.</t>
        </is>
      </c>
      <c r="D36" s="47" t="inlineStr">
        <is>
          <t>Small Cap</t>
        </is>
      </c>
      <c r="E36" s="34" t="n">
        <v>70.5</v>
      </c>
      <c r="F36" s="34" t="n">
        <v>71</v>
      </c>
      <c r="G36" s="34" t="n">
        <v>70.3</v>
      </c>
      <c r="H36" s="34" t="n">
        <v>63.9</v>
      </c>
      <c r="I36" s="34" t="n">
        <v>71</v>
      </c>
      <c r="J36" s="34" t="n">
        <v>63.9</v>
      </c>
      <c r="K36" s="34" t="n">
        <v>7.100000000000001</v>
      </c>
      <c r="L36" s="90" t="inlineStr">
        <is>
          <t>Stable</t>
        </is>
      </c>
    </row>
    <row r="37" ht="16" customHeight="1">
      <c r="B37" s="25" t="inlineStr">
        <is>
          <t>ADTN</t>
        </is>
      </c>
      <c r="C37" s="26" t="inlineStr">
        <is>
          <t>ADTRAN Holdings Inc.</t>
        </is>
      </c>
      <c r="D37" s="49" t="inlineStr">
        <is>
          <t>Small Cap</t>
        </is>
      </c>
      <c r="E37" s="41" t="n">
        <v>70.40000000000001</v>
      </c>
      <c r="F37" s="41" t="n">
        <v>76.7</v>
      </c>
      <c r="G37" s="41" t="n">
        <v>66.59999999999999</v>
      </c>
      <c r="H37" s="41" t="n">
        <v>56.7</v>
      </c>
      <c r="I37" s="41" t="n">
        <v>76.7</v>
      </c>
      <c r="J37" s="41" t="n">
        <v>56.7</v>
      </c>
      <c r="K37" s="41" t="n">
        <v>20</v>
      </c>
      <c r="L37" s="45" t="inlineStr">
        <is>
          <t>Sensitive</t>
        </is>
      </c>
    </row>
    <row r="38" ht="16" customHeight="1">
      <c r="B38" s="19" t="inlineStr">
        <is>
          <t>AME</t>
        </is>
      </c>
      <c r="C38" s="20" t="inlineStr">
        <is>
          <t>AMETEK, Inc.</t>
        </is>
      </c>
      <c r="D38" s="47" t="inlineStr">
        <is>
          <t>Vital Link</t>
        </is>
      </c>
      <c r="E38" s="34" t="n">
        <v>70.40000000000001</v>
      </c>
      <c r="F38" s="34" t="n">
        <v>75.90000000000001</v>
      </c>
      <c r="G38" s="34" t="n">
        <v>67.09999999999999</v>
      </c>
      <c r="H38" s="34" t="n">
        <v>61.1</v>
      </c>
      <c r="I38" s="34" t="n">
        <v>75.90000000000001</v>
      </c>
      <c r="J38" s="34" t="n">
        <v>61.1</v>
      </c>
      <c r="K38" s="34" t="n">
        <v>14.8</v>
      </c>
      <c r="L38" s="23" t="inlineStr">
        <is>
          <t>Moderate</t>
        </is>
      </c>
    </row>
    <row r="39" ht="16" customHeight="1">
      <c r="B39" s="25" t="inlineStr">
        <is>
          <t>INTT</t>
        </is>
      </c>
      <c r="C39" s="26" t="inlineStr">
        <is>
          <t>inTEST Corporation</t>
        </is>
      </c>
      <c r="D39" s="49" t="inlineStr">
        <is>
          <t>Nano Cap</t>
        </is>
      </c>
      <c r="E39" s="41" t="n">
        <v>70.2</v>
      </c>
      <c r="F39" s="41" t="n">
        <v>71.2</v>
      </c>
      <c r="G39" s="41" t="n">
        <v>69.59999999999999</v>
      </c>
      <c r="H39" s="41" t="n">
        <v>74.5</v>
      </c>
      <c r="I39" s="41" t="n">
        <v>74.5</v>
      </c>
      <c r="J39" s="41" t="n">
        <v>69.59999999999999</v>
      </c>
      <c r="K39" s="41" t="n">
        <v>4.900000000000006</v>
      </c>
      <c r="L39" s="90" t="inlineStr">
        <is>
          <t>Stable</t>
        </is>
      </c>
    </row>
    <row r="40" ht="16" customHeight="1">
      <c r="B40" s="19" t="inlineStr">
        <is>
          <t>RELL</t>
        </is>
      </c>
      <c r="C40" s="20" t="inlineStr">
        <is>
          <t>Richardson Electronics, Ltd.</t>
        </is>
      </c>
      <c r="D40" s="47" t="inlineStr">
        <is>
          <t>Nano Cap</t>
        </is>
      </c>
      <c r="E40" s="34" t="n">
        <v>70</v>
      </c>
      <c r="F40" s="34" t="n">
        <v>67.90000000000001</v>
      </c>
      <c r="G40" s="34" t="n">
        <v>71.3</v>
      </c>
      <c r="H40" s="34" t="n">
        <v>75.7</v>
      </c>
      <c r="I40" s="34" t="n">
        <v>75.7</v>
      </c>
      <c r="J40" s="34" t="n">
        <v>67.90000000000001</v>
      </c>
      <c r="K40" s="34" t="n">
        <v>7.799999999999997</v>
      </c>
      <c r="L40" s="90" t="inlineStr">
        <is>
          <t>Stable</t>
        </is>
      </c>
    </row>
    <row r="41" ht="16" customHeight="1">
      <c r="B41" s="25" t="inlineStr">
        <is>
          <t>BRC</t>
        </is>
      </c>
      <c r="C41" s="26" t="inlineStr">
        <is>
          <t>Brady Corporation</t>
        </is>
      </c>
      <c r="D41" s="49" t="inlineStr">
        <is>
          <t>Breakout</t>
        </is>
      </c>
      <c r="E41" s="41" t="n">
        <v>69.90000000000001</v>
      </c>
      <c r="F41" s="41" t="n">
        <v>75.2</v>
      </c>
      <c r="G41" s="41" t="n">
        <v>66.7</v>
      </c>
      <c r="H41" s="41" t="n">
        <v>63.6</v>
      </c>
      <c r="I41" s="41" t="n">
        <v>75.2</v>
      </c>
      <c r="J41" s="41" t="n">
        <v>63.6</v>
      </c>
      <c r="K41" s="41" t="n">
        <v>11.6</v>
      </c>
      <c r="L41" s="23" t="inlineStr">
        <is>
          <t>Moderate</t>
        </is>
      </c>
    </row>
    <row r="42" ht="16" customHeight="1">
      <c r="B42" s="19" t="inlineStr">
        <is>
          <t>MRCY</t>
        </is>
      </c>
      <c r="C42" s="20" t="inlineStr">
        <is>
          <t>Mercury Systems, Inc.</t>
        </is>
      </c>
      <c r="D42" s="47" t="inlineStr">
        <is>
          <t>Breakout</t>
        </is>
      </c>
      <c r="E42" s="34" t="n">
        <v>69.8</v>
      </c>
      <c r="F42" s="34" t="n">
        <v>71.2</v>
      </c>
      <c r="G42" s="34" t="n">
        <v>69</v>
      </c>
      <c r="H42" s="34" t="n">
        <v>63.1</v>
      </c>
      <c r="I42" s="34" t="n">
        <v>71.2</v>
      </c>
      <c r="J42" s="34" t="n">
        <v>63.1</v>
      </c>
      <c r="K42" s="34" t="n">
        <v>8.100000000000001</v>
      </c>
      <c r="L42" s="90" t="inlineStr">
        <is>
          <t>Stable</t>
        </is>
      </c>
    </row>
    <row r="43" ht="16" customHeight="1">
      <c r="B43" s="25" t="inlineStr">
        <is>
          <t>CE</t>
        </is>
      </c>
      <c r="C43" s="26" t="inlineStr">
        <is>
          <t>Celanese Corporation</t>
        </is>
      </c>
      <c r="D43" s="49" t="inlineStr">
        <is>
          <t>Breakout</t>
        </is>
      </c>
      <c r="E43" s="41" t="n">
        <v>69.5</v>
      </c>
      <c r="F43" s="41" t="n">
        <v>73.5</v>
      </c>
      <c r="G43" s="41" t="n">
        <v>67.2</v>
      </c>
      <c r="H43" s="41" t="n">
        <v>62.2</v>
      </c>
      <c r="I43" s="41" t="n">
        <v>73.5</v>
      </c>
      <c r="J43" s="41" t="n">
        <v>62.2</v>
      </c>
      <c r="K43" s="41" t="n">
        <v>11.3</v>
      </c>
      <c r="L43" s="23" t="inlineStr">
        <is>
          <t>Moderate</t>
        </is>
      </c>
    </row>
    <row r="44" ht="16" customHeight="1">
      <c r="B44" s="19" t="inlineStr">
        <is>
          <t>RUN</t>
        </is>
      </c>
      <c r="C44" s="20" t="inlineStr">
        <is>
          <t>Sunrun Inc.</t>
        </is>
      </c>
      <c r="D44" s="47" t="inlineStr">
        <is>
          <t>Breakout</t>
        </is>
      </c>
      <c r="E44" s="34" t="n">
        <v>69.09999999999999</v>
      </c>
      <c r="F44" s="34" t="n">
        <v>71.09999999999999</v>
      </c>
      <c r="G44" s="34" t="n">
        <v>67.90000000000001</v>
      </c>
      <c r="H44" s="34" t="n">
        <v>72.8</v>
      </c>
      <c r="I44" s="34" t="n">
        <v>72.8</v>
      </c>
      <c r="J44" s="34" t="n">
        <v>67.90000000000001</v>
      </c>
      <c r="K44" s="34" t="n">
        <v>4.899999999999991</v>
      </c>
      <c r="L44" s="90" t="inlineStr">
        <is>
          <t>Stable</t>
        </is>
      </c>
    </row>
    <row r="45" ht="16" customHeight="1">
      <c r="B45" s="25" t="inlineStr">
        <is>
          <t>LYFT</t>
        </is>
      </c>
      <c r="C45" s="26" t="inlineStr">
        <is>
          <t>Lyft, Inc.</t>
        </is>
      </c>
      <c r="D45" s="49" t="inlineStr">
        <is>
          <t>Breakout</t>
        </is>
      </c>
      <c r="E45" s="41" t="n">
        <v>69.09999999999999</v>
      </c>
      <c r="F45" s="41" t="n">
        <v>77.59999999999999</v>
      </c>
      <c r="G45" s="41" t="n">
        <v>64</v>
      </c>
      <c r="H45" s="41" t="n">
        <v>62.8</v>
      </c>
      <c r="I45" s="41" t="n">
        <v>77.59999999999999</v>
      </c>
      <c r="J45" s="41" t="n">
        <v>62.8</v>
      </c>
      <c r="K45" s="41" t="n">
        <v>14.8</v>
      </c>
      <c r="L45" s="23" t="inlineStr">
        <is>
          <t>Moderate</t>
        </is>
      </c>
    </row>
    <row r="46" ht="16" customHeight="1">
      <c r="B46" s="19" t="inlineStr">
        <is>
          <t>KN</t>
        </is>
      </c>
      <c r="C46" s="20" t="inlineStr">
        <is>
          <t>Knowles Corporation</t>
        </is>
      </c>
      <c r="D46" s="47" t="inlineStr">
        <is>
          <t>Breakout</t>
        </is>
      </c>
      <c r="E46" s="34" t="n">
        <v>68.2</v>
      </c>
      <c r="F46" s="34" t="n">
        <v>69</v>
      </c>
      <c r="G46" s="34" t="n">
        <v>67.7</v>
      </c>
      <c r="H46" s="34" t="n">
        <v>64.7</v>
      </c>
      <c r="I46" s="34" t="n">
        <v>69</v>
      </c>
      <c r="J46" s="34" t="n">
        <v>64.7</v>
      </c>
      <c r="K46" s="34" t="n">
        <v>4.299999999999997</v>
      </c>
      <c r="L46" s="90" t="inlineStr">
        <is>
          <t>Stable</t>
        </is>
      </c>
    </row>
    <row r="47" ht="16" customHeight="1">
      <c r="B47" s="25" t="inlineStr">
        <is>
          <t>RFIL</t>
        </is>
      </c>
      <c r="C47" s="26" t="inlineStr">
        <is>
          <t>RF Industries, Ltd.</t>
        </is>
      </c>
      <c r="D47" s="49" t="inlineStr">
        <is>
          <t>Nano Cap</t>
        </is>
      </c>
      <c r="E47" s="41" t="n">
        <v>67.40000000000001</v>
      </c>
      <c r="F47" s="41" t="n">
        <v>65.7</v>
      </c>
      <c r="G47" s="41" t="n">
        <v>68.40000000000001</v>
      </c>
      <c r="H47" s="41" t="n">
        <v>67.40000000000001</v>
      </c>
      <c r="I47" s="41" t="n">
        <v>68.40000000000001</v>
      </c>
      <c r="J47" s="41" t="n">
        <v>65.7</v>
      </c>
      <c r="K47" s="41" t="n">
        <v>2.700000000000003</v>
      </c>
      <c r="L47" s="90" t="inlineStr">
        <is>
          <t>Stable</t>
        </is>
      </c>
    </row>
    <row r="48" ht="16" customHeight="1">
      <c r="B48" s="19" t="inlineStr">
        <is>
          <t>LTRX</t>
        </is>
      </c>
      <c r="C48" s="20" t="inlineStr">
        <is>
          <t>Lantronix, Inc.</t>
        </is>
      </c>
      <c r="D48" s="47" t="inlineStr">
        <is>
          <t>Nano Cap</t>
        </is>
      </c>
      <c r="E48" s="34" t="n">
        <v>66</v>
      </c>
      <c r="F48" s="34" t="n">
        <v>61.6</v>
      </c>
      <c r="G48" s="34" t="n">
        <v>68.59999999999999</v>
      </c>
      <c r="H48" s="34" t="n">
        <v>70.59999999999999</v>
      </c>
      <c r="I48" s="34" t="n">
        <v>70.59999999999999</v>
      </c>
      <c r="J48" s="34" t="n">
        <v>61.6</v>
      </c>
      <c r="K48" s="34" t="n">
        <v>8.999999999999993</v>
      </c>
      <c r="L48" s="90" t="inlineStr">
        <is>
          <t>Stable</t>
        </is>
      </c>
    </row>
    <row r="49" ht="16" customHeight="1">
      <c r="B49" s="25" t="inlineStr">
        <is>
          <t>GLTK</t>
        </is>
      </c>
      <c r="C49" s="26" t="inlineStr">
        <is>
          <t>GlobalTech Corporation</t>
        </is>
      </c>
      <c r="D49" s="49" t="inlineStr">
        <is>
          <t>Nano Cap</t>
        </is>
      </c>
      <c r="E49" s="41" t="n">
        <v>64.90000000000001</v>
      </c>
      <c r="F49" s="41" t="n">
        <v>64.7</v>
      </c>
      <c r="G49" s="41" t="n">
        <v>65.09999999999999</v>
      </c>
      <c r="H49" s="41" t="n">
        <v>74.5</v>
      </c>
      <c r="I49" s="41" t="n">
        <v>74.5</v>
      </c>
      <c r="J49" s="41" t="n">
        <v>64.7</v>
      </c>
      <c r="K49" s="41" t="n">
        <v>9.799999999999997</v>
      </c>
      <c r="L49" s="90" t="inlineStr">
        <is>
          <t>Stable</t>
        </is>
      </c>
    </row>
    <row r="50" ht="16" customHeight="1">
      <c r="B50" s="19" t="inlineStr">
        <is>
          <t>OPXS</t>
        </is>
      </c>
      <c r="C50" s="20" t="inlineStr">
        <is>
          <t>Optex Systems Holdings, Inc</t>
        </is>
      </c>
      <c r="D50" s="47" t="inlineStr">
        <is>
          <t>Nano Cap</t>
        </is>
      </c>
      <c r="E50" s="34" t="n">
        <v>64.09999999999999</v>
      </c>
      <c r="F50" s="34" t="n">
        <v>62.6</v>
      </c>
      <c r="G50" s="34" t="n">
        <v>65</v>
      </c>
      <c r="H50" s="34" t="n">
        <v>66.59999999999999</v>
      </c>
      <c r="I50" s="34" t="n">
        <v>66.59999999999999</v>
      </c>
      <c r="J50" s="34" t="n">
        <v>62.6</v>
      </c>
      <c r="K50" s="34" t="n">
        <v>3.999999999999993</v>
      </c>
      <c r="L50" s="90" t="inlineStr">
        <is>
          <t>Stable</t>
        </is>
      </c>
    </row>
    <row r="51" ht="16" customHeight="1">
      <c r="B51" s="25" t="inlineStr">
        <is>
          <t>BKTI</t>
        </is>
      </c>
      <c r="C51" s="26" t="inlineStr">
        <is>
          <t>BK Technologies Corporation</t>
        </is>
      </c>
      <c r="D51" s="49" t="inlineStr">
        <is>
          <t>Nano Cap</t>
        </is>
      </c>
      <c r="E51" s="41" t="n">
        <v>62.4</v>
      </c>
      <c r="F51" s="41" t="n">
        <v>62.1</v>
      </c>
      <c r="G51" s="41" t="n">
        <v>62.6</v>
      </c>
      <c r="H51" s="41" t="n">
        <v>64.40000000000001</v>
      </c>
      <c r="I51" s="41" t="n">
        <v>64.40000000000001</v>
      </c>
      <c r="J51" s="41" t="n">
        <v>62.1</v>
      </c>
      <c r="K51" s="41" t="n">
        <v>2.300000000000004</v>
      </c>
      <c r="L51" s="90" t="inlineStr">
        <is>
          <t>Stable</t>
        </is>
      </c>
    </row>
    <row r="52" ht="16" customHeight="1">
      <c r="B52" s="19" t="inlineStr">
        <is>
          <t>ASYS</t>
        </is>
      </c>
      <c r="C52" s="20" t="inlineStr">
        <is>
          <t>Amtech Systems, Inc.</t>
        </is>
      </c>
      <c r="D52" s="47" t="inlineStr">
        <is>
          <t>Nano Cap</t>
        </is>
      </c>
      <c r="E52" s="34" t="n">
        <v>61.6</v>
      </c>
      <c r="F52" s="34" t="n">
        <v>62.4</v>
      </c>
      <c r="G52" s="34" t="n">
        <v>61.1</v>
      </c>
      <c r="H52" s="34" t="n">
        <v>65.2</v>
      </c>
      <c r="I52" s="34" t="n">
        <v>65.2</v>
      </c>
      <c r="J52" s="34" t="n">
        <v>61.1</v>
      </c>
      <c r="K52" s="34" t="n">
        <v>4.100000000000001</v>
      </c>
      <c r="L52" s="90" t="inlineStr">
        <is>
          <t>Stable</t>
        </is>
      </c>
    </row>
    <row r="53" ht="16" customHeight="1">
      <c r="B53" s="25" t="inlineStr">
        <is>
          <t>QUIK</t>
        </is>
      </c>
      <c r="C53" s="26" t="inlineStr">
        <is>
          <t>QuickLogic Corporation</t>
        </is>
      </c>
      <c r="D53" s="49" t="inlineStr">
        <is>
          <t>Nano Cap</t>
        </is>
      </c>
      <c r="E53" s="41" t="n">
        <v>61.6</v>
      </c>
      <c r="F53" s="41" t="n">
        <v>57.1</v>
      </c>
      <c r="G53" s="41" t="n">
        <v>64.2</v>
      </c>
      <c r="H53" s="41" t="n">
        <v>70.09999999999999</v>
      </c>
      <c r="I53" s="41" t="n">
        <v>70.09999999999999</v>
      </c>
      <c r="J53" s="41" t="n">
        <v>57.1</v>
      </c>
      <c r="K53" s="41" t="n">
        <v>12.99999999999999</v>
      </c>
      <c r="L53" s="23" t="inlineStr">
        <is>
          <t>Moderate</t>
        </is>
      </c>
    </row>
    <row r="55">
      <c r="B55" s="91" t="inlineStr">
        <is>
          <t>Note: Stocks with high Score Range are ranking artifacts — their attractiveness depends heavily on your investment philosophy.</t>
        </is>
      </c>
    </row>
    <row r="57" ht="22" customHeight="1">
      <c r="B57" s="16" t="inlineStr">
        <is>
          <t>TORNADO ANALYSIS — SWBI (Score Impact of ±10% Weight Changes)</t>
        </is>
      </c>
      <c r="C57" s="17" t="n"/>
      <c r="D57" s="17" t="n"/>
      <c r="E57" s="17" t="n"/>
      <c r="F57" s="17" t="n"/>
      <c r="G57" s="17" t="n"/>
      <c r="H57" s="17" t="n"/>
      <c r="I57" s="17" t="n"/>
      <c r="J57" s="17" t="n"/>
      <c r="K57" s="17" t="n"/>
      <c r="L57" s="17" t="n"/>
      <c r="M57" s="17" t="n"/>
    </row>
    <row r="58" ht="18" customHeight="1">
      <c r="B58" s="18" t="inlineStr">
        <is>
          <t>Component</t>
        </is>
      </c>
      <c r="C58" s="18" t="inlineStr">
        <is>
          <t>−10% Impact</t>
        </is>
      </c>
      <c r="D58" s="18" t="inlineStr">
        <is>
          <t>+10% Impact</t>
        </is>
      </c>
    </row>
    <row r="59" ht="16" customHeight="1">
      <c r="B59" s="20" t="inlineStr">
        <is>
          <t>Composite</t>
        </is>
      </c>
      <c r="C59" s="92" t="n">
        <v>0</v>
      </c>
      <c r="D59" s="92" t="n">
        <v>-0.5</v>
      </c>
    </row>
    <row r="60" ht="16" customHeight="1">
      <c r="B60" s="26" t="inlineStr">
        <is>
          <t>Fingerprint</t>
        </is>
      </c>
      <c r="C60" s="93" t="n">
        <v>-0.6899999999999999</v>
      </c>
      <c r="D60" s="93" t="n">
        <v>0.5600000000000001</v>
      </c>
    </row>
    <row r="61" ht="16" customHeight="1">
      <c r="B61" s="20" t="inlineStr">
        <is>
          <t>WPS</t>
        </is>
      </c>
      <c r="C61" s="92" t="n">
        <v>2.06</v>
      </c>
      <c r="D61" s="92" t="n">
        <v>-1.68</v>
      </c>
    </row>
  </sheetData>
  <mergeCells count="6">
    <mergeCell ref="A1:M1"/>
    <mergeCell ref="B57:M57"/>
    <mergeCell ref="B4:M4"/>
    <mergeCell ref="A2:M2"/>
    <mergeCell ref="B12:M12"/>
    <mergeCell ref="B55:M55"/>
  </mergeCells>
  <conditionalFormatting sqref="E14:E53">
    <cfRule type="colorScale" priority="1">
      <colorScale>
        <cfvo type="num" val="0"/>
        <cfvo type="num" val="50"/>
        <cfvo type="num" val="100"/>
        <color rgb="00C1121F"/>
        <color rgb="00F9C74F"/>
        <color rgb="001A6B3C"/>
      </colorScale>
    </cfRule>
  </conditionalFormatting>
  <conditionalFormatting sqref="F14:F53">
    <cfRule type="colorScale" priority="2">
      <colorScale>
        <cfvo type="num" val="0"/>
        <cfvo type="num" val="50"/>
        <cfvo type="num" val="100"/>
        <color rgb="00C1121F"/>
        <color rgb="00F9C74F"/>
        <color rgb="001A6B3C"/>
      </colorScale>
    </cfRule>
  </conditionalFormatting>
  <conditionalFormatting sqref="G14:G53">
    <cfRule type="colorScale" priority="3">
      <colorScale>
        <cfvo type="num" val="0"/>
        <cfvo type="num" val="50"/>
        <cfvo type="num" val="100"/>
        <color rgb="00C1121F"/>
        <color rgb="00F9C74F"/>
        <color rgb="001A6B3C"/>
      </colorScale>
    </cfRule>
  </conditionalFormatting>
  <conditionalFormatting sqref="H14:H53">
    <cfRule type="colorScale" priority="4">
      <colorScale>
        <cfvo type="num" val="0"/>
        <cfvo type="num" val="50"/>
        <cfvo type="num" val="100"/>
        <color rgb="00C1121F"/>
        <color rgb="00F9C74F"/>
        <color rgb="001A6B3C"/>
      </colorScale>
    </cfRule>
  </conditionalFormatting>
  <conditionalFormatting sqref="K14:K53">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8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29" t="inlineStr">
        <is>
          <t>QUARTERLY REVENUE TRENDS</t>
        </is>
      </c>
      <c r="B1" s="11" t="n"/>
      <c r="C1" s="11" t="n"/>
      <c r="D1" s="11" t="n"/>
      <c r="E1" s="11" t="n"/>
      <c r="F1" s="11" t="n"/>
      <c r="G1" s="11" t="n"/>
      <c r="H1" s="11" t="n"/>
      <c r="I1" s="11" t="n"/>
      <c r="J1" s="11" t="n"/>
      <c r="K1" s="11" t="n"/>
    </row>
    <row r="2" ht="22" customHeight="1">
      <c r="A2" s="30"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SODI  —  Solitron Devices, Inc.</t>
        </is>
      </c>
      <c r="C5" s="37" t="inlineStr">
        <is>
          <t>Nano Cap</t>
        </is>
      </c>
      <c r="D5" s="74" t="inlineStr">
        <is>
          <t>Mkt Cap: $70M</t>
        </is>
      </c>
      <c r="E5" s="95" t="n"/>
      <c r="F5" s="95" t="n"/>
      <c r="G5" s="95" t="n"/>
      <c r="H5" s="95" t="n"/>
      <c r="I5" s="95" t="n"/>
      <c r="J5" s="95" t="n"/>
      <c r="K5" s="95" t="n"/>
    </row>
    <row r="6" ht="16" customHeight="1">
      <c r="A6" s="96" t="inlineStr"/>
      <c r="B6" s="18" t="inlineStr">
        <is>
          <t>Quarter</t>
        </is>
      </c>
      <c r="C6" s="18" t="inlineStr">
        <is>
          <t>2024-02-28</t>
        </is>
      </c>
      <c r="D6" s="18" t="inlineStr">
        <is>
          <t>2024-05-31</t>
        </is>
      </c>
      <c r="E6" s="18" t="inlineStr">
        <is>
          <t>2024-08-31</t>
        </is>
      </c>
      <c r="F6" s="18" t="inlineStr">
        <is>
          <t>2024-11-30</t>
        </is>
      </c>
      <c r="G6" s="18" t="inlineStr">
        <is>
          <t>2025-02-28</t>
        </is>
      </c>
      <c r="H6" s="18" t="inlineStr">
        <is>
          <t>2025-05-31</t>
        </is>
      </c>
      <c r="I6" s="18" t="inlineStr">
        <is>
          <t>2025-08-31</t>
        </is>
      </c>
      <c r="J6" s="18" t="inlineStr">
        <is>
          <t>2025-11-30</t>
        </is>
      </c>
    </row>
    <row r="7" ht="16" customHeight="1">
      <c r="A7" s="96" t="inlineStr"/>
      <c r="B7" s="66" t="inlineStr">
        <is>
          <t>Revenue ($M)</t>
        </is>
      </c>
      <c r="C7" s="97" t="n">
        <v>4.004</v>
      </c>
      <c r="D7" s="97" t="n">
        <v>3.967</v>
      </c>
      <c r="E7" s="97" t="n">
        <v>3.581</v>
      </c>
      <c r="F7" s="97" t="n">
        <v>3.369</v>
      </c>
      <c r="G7" s="97" t="n">
        <v>3.132</v>
      </c>
      <c r="H7" s="97" t="n">
        <v>2.7</v>
      </c>
      <c r="I7" s="97" t="n">
        <v>3.986</v>
      </c>
      <c r="J7" s="97" t="n">
        <v>5.022</v>
      </c>
    </row>
    <row r="8" ht="16" customHeight="1">
      <c r="A8" s="96" t="inlineStr"/>
      <c r="B8" s="94" t="inlineStr">
        <is>
          <t>Gross Margin %</t>
        </is>
      </c>
      <c r="C8" s="71" t="n">
        <v>0.306</v>
      </c>
      <c r="D8" s="71" t="n">
        <v>0.422</v>
      </c>
      <c r="E8" s="71" t="n">
        <v>0.206</v>
      </c>
      <c r="F8" s="71" t="n">
        <v>0.297</v>
      </c>
      <c r="G8" s="71" t="n">
        <v>0.185</v>
      </c>
      <c r="H8" s="71" t="n">
        <v>0.144</v>
      </c>
      <c r="I8" s="71" t="n">
        <v>0.209</v>
      </c>
      <c r="J8" s="71" t="n">
        <v>0.343</v>
      </c>
    </row>
    <row r="9" ht="16" customHeight="1">
      <c r="A9" s="96" t="inlineStr"/>
      <c r="B9" s="26" t="inlineStr">
        <is>
          <t>QoQ Rev Growth</t>
        </is>
      </c>
      <c r="C9" s="49" t="n"/>
      <c r="D9" s="75" t="n">
        <v>-0.00924075924075924</v>
      </c>
      <c r="E9" s="75" t="n">
        <v>-0.09730274766826318</v>
      </c>
      <c r="F9" s="75" t="n">
        <v>-0.05920134040770735</v>
      </c>
      <c r="G9" s="75" t="n">
        <v>-0.07034728406055209</v>
      </c>
      <c r="H9" s="75" t="n">
        <v>-0.1379310344827586</v>
      </c>
      <c r="I9" s="75" t="n">
        <v>0.4762962962962963</v>
      </c>
      <c r="J9" s="75" t="n">
        <v>0.2599096838936277</v>
      </c>
    </row>
    <row r="10" ht="16" customHeight="1">
      <c r="A10" s="96" t="inlineStr"/>
      <c r="B10" s="20" t="inlineStr">
        <is>
          <t>YoY Rev Growth</t>
        </is>
      </c>
      <c r="C10" s="47" t="n"/>
      <c r="D10" s="47" t="n"/>
      <c r="E10" s="47" t="n"/>
      <c r="F10" s="47" t="n"/>
      <c r="G10" s="71" t="n">
        <v>-0.2177822177822178</v>
      </c>
      <c r="H10" s="71" t="n">
        <v>-0.3193849256365011</v>
      </c>
      <c r="I10" s="71" t="n">
        <v>0.1130969003071768</v>
      </c>
      <c r="J10" s="71" t="n">
        <v>0.4906500445235975</v>
      </c>
    </row>
    <row r="11" ht="8" customHeight="1"/>
    <row r="12" ht="18" customHeight="1">
      <c r="A12" s="94" t="inlineStr">
        <is>
          <t>INTT  —  inTEST Corporation</t>
        </is>
      </c>
      <c r="C12" s="37" t="inlineStr">
        <is>
          <t>Nano Cap</t>
        </is>
      </c>
      <c r="D12" s="74" t="inlineStr">
        <is>
          <t>Mkt Cap: $146M</t>
        </is>
      </c>
      <c r="E12" s="95" t="n"/>
      <c r="F12" s="95" t="n"/>
      <c r="G12" s="95" t="n"/>
      <c r="H12" s="95" t="n"/>
      <c r="I12" s="95" t="n"/>
      <c r="J12" s="95" t="n"/>
      <c r="K12" s="95" t="n"/>
    </row>
    <row r="13" ht="16" customHeight="1">
      <c r="A13" s="96"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6" t="inlineStr"/>
      <c r="B14" s="66" t="inlineStr">
        <is>
          <t>Revenue ($M)</t>
        </is>
      </c>
      <c r="C14" s="97" t="n">
        <v>29.824</v>
      </c>
      <c r="D14" s="97" t="n">
        <v>33.991</v>
      </c>
      <c r="E14" s="97" t="n">
        <v>30.272</v>
      </c>
      <c r="F14" s="97" t="n">
        <v>36.603</v>
      </c>
      <c r="G14" s="97" t="n">
        <v>26.637</v>
      </c>
      <c r="H14" s="97" t="n">
        <v>28.13</v>
      </c>
      <c r="I14" s="97" t="n">
        <v>26.236</v>
      </c>
      <c r="J14" s="97" t="n">
        <v>32.822</v>
      </c>
    </row>
    <row r="15" ht="16" customHeight="1">
      <c r="A15" s="96" t="inlineStr"/>
      <c r="B15" s="94" t="inlineStr">
        <is>
          <t>Gross Margin %</t>
        </is>
      </c>
      <c r="C15" s="71" t="n">
        <v>0.4379999999999999</v>
      </c>
      <c r="D15" s="71" t="n">
        <v>0.406</v>
      </c>
      <c r="E15" s="71" t="n">
        <v>0.463</v>
      </c>
      <c r="F15" s="71" t="n">
        <v>0.397</v>
      </c>
      <c r="G15" s="71" t="n">
        <v>0.415</v>
      </c>
      <c r="H15" s="71" t="n">
        <v>0.426</v>
      </c>
      <c r="I15" s="71" t="n">
        <v>0.419</v>
      </c>
      <c r="J15" s="71" t="n">
        <v>0.454</v>
      </c>
    </row>
    <row r="16" ht="16" customHeight="1">
      <c r="A16" s="96" t="inlineStr"/>
      <c r="B16" s="26" t="inlineStr">
        <is>
          <t>QoQ Rev Growth</t>
        </is>
      </c>
      <c r="C16" s="49" t="n"/>
      <c r="D16" s="75" t="n">
        <v>0.1397196888412017</v>
      </c>
      <c r="E16" s="75" t="n">
        <v>-0.1094113147597894</v>
      </c>
      <c r="F16" s="75" t="n">
        <v>0.209137156448203</v>
      </c>
      <c r="G16" s="75" t="n">
        <v>-0.2722727645274978</v>
      </c>
      <c r="H16" s="75" t="n">
        <v>0.05604985546420393</v>
      </c>
      <c r="I16" s="75" t="n">
        <v>-0.06733025239957341</v>
      </c>
      <c r="J16" s="75" t="n">
        <v>0.2510291202927276</v>
      </c>
    </row>
    <row r="17" ht="16" customHeight="1">
      <c r="A17" s="96" t="inlineStr"/>
      <c r="B17" s="20" t="inlineStr">
        <is>
          <t>YoY Rev Growth</t>
        </is>
      </c>
      <c r="C17" s="47" t="n"/>
      <c r="D17" s="47" t="n"/>
      <c r="E17" s="47" t="n"/>
      <c r="F17" s="47" t="n"/>
      <c r="G17" s="71" t="n">
        <v>-0.1068602467811159</v>
      </c>
      <c r="H17" s="71" t="n">
        <v>-0.1724279956459063</v>
      </c>
      <c r="I17" s="71" t="n">
        <v>-0.1333245243128964</v>
      </c>
      <c r="J17" s="71" t="n">
        <v>-0.1032975439171653</v>
      </c>
    </row>
    <row r="18" ht="8" customHeight="1"/>
    <row r="19" ht="18" customHeight="1">
      <c r="A19" s="94" t="inlineStr">
        <is>
          <t>RELL  —  Richardson Electronics, Ltd.</t>
        </is>
      </c>
      <c r="C19" s="37" t="inlineStr">
        <is>
          <t>Nano Cap</t>
        </is>
      </c>
      <c r="D19" s="74" t="inlineStr">
        <is>
          <t>Mkt Cap: $258M</t>
        </is>
      </c>
      <c r="E19" s="95" t="n"/>
      <c r="F19" s="95" t="n"/>
      <c r="G19" s="95" t="n"/>
      <c r="H19" s="95" t="n"/>
      <c r="I19" s="95" t="n"/>
      <c r="J19" s="95" t="n"/>
      <c r="K19" s="95" t="n"/>
    </row>
    <row r="20" ht="16" customHeight="1">
      <c r="A20" s="96" t="inlineStr"/>
      <c r="B20" s="18" t="inlineStr">
        <is>
          <t>Quarter</t>
        </is>
      </c>
      <c r="C20" s="18" t="inlineStr">
        <is>
          <t>2024-03-02</t>
        </is>
      </c>
      <c r="D20" s="18" t="inlineStr">
        <is>
          <t>2024-06-01</t>
        </is>
      </c>
      <c r="E20" s="18" t="inlineStr">
        <is>
          <t>2024-08-31</t>
        </is>
      </c>
      <c r="F20" s="18" t="inlineStr">
        <is>
          <t>2024-11-30</t>
        </is>
      </c>
      <c r="G20" s="18" t="inlineStr">
        <is>
          <t>2025-03-01</t>
        </is>
      </c>
      <c r="H20" s="18" t="inlineStr">
        <is>
          <t>2025-05-31</t>
        </is>
      </c>
      <c r="I20" s="18" t="inlineStr">
        <is>
          <t>2025-08-30</t>
        </is>
      </c>
      <c r="J20" s="18" t="inlineStr">
        <is>
          <t>2025-11-29</t>
        </is>
      </c>
    </row>
    <row r="21" ht="16" customHeight="1">
      <c r="A21" s="96" t="inlineStr"/>
      <c r="B21" s="66" t="inlineStr">
        <is>
          <t>Revenue ($M)</t>
        </is>
      </c>
      <c r="C21" s="97" t="n">
        <v>52.375</v>
      </c>
      <c r="D21" s="97" t="n">
        <v>47.374</v>
      </c>
      <c r="E21" s="97" t="n">
        <v>53.725</v>
      </c>
      <c r="F21" s="97" t="n">
        <v>49.491</v>
      </c>
      <c r="G21" s="97" t="n">
        <v>53.804</v>
      </c>
      <c r="H21" s="97" t="n">
        <v>51.889</v>
      </c>
      <c r="I21" s="97" t="n">
        <v>54.607</v>
      </c>
      <c r="J21" s="97" t="n">
        <v>52.288</v>
      </c>
    </row>
    <row r="22" ht="16" customHeight="1">
      <c r="A22" s="96" t="inlineStr"/>
      <c r="B22" s="94" t="inlineStr">
        <is>
          <t>Gross Margin %</t>
        </is>
      </c>
      <c r="C22" s="71" t="n">
        <v>0.295</v>
      </c>
      <c r="D22" s="71" t="n">
        <v>0.311</v>
      </c>
      <c r="E22" s="71" t="n">
        <v>0.306</v>
      </c>
      <c r="F22" s="71" t="n">
        <v>0.31</v>
      </c>
      <c r="G22" s="71" t="n">
        <v>0.31</v>
      </c>
      <c r="H22" s="71" t="n">
        <v>0.316</v>
      </c>
      <c r="I22" s="71" t="n">
        <v>0.31</v>
      </c>
      <c r="J22" s="71" t="n">
        <v>0.307</v>
      </c>
    </row>
    <row r="23" ht="16" customHeight="1">
      <c r="A23" s="96" t="inlineStr"/>
      <c r="B23" s="26" t="inlineStr">
        <is>
          <t>QoQ Rev Growth</t>
        </is>
      </c>
      <c r="C23" s="49" t="n"/>
      <c r="D23" s="75" t="n">
        <v>-0.09548448687350836</v>
      </c>
      <c r="E23" s="75" t="n">
        <v>0.1340608772744543</v>
      </c>
      <c r="F23" s="75" t="n">
        <v>-0.07880874825500232</v>
      </c>
      <c r="G23" s="75" t="n">
        <v>0.08714715806914389</v>
      </c>
      <c r="H23" s="75" t="n">
        <v>-0.03559214928258122</v>
      </c>
      <c r="I23" s="75" t="n">
        <v>0.05238104415193972</v>
      </c>
      <c r="J23" s="75" t="n">
        <v>-0.0424670829747102</v>
      </c>
    </row>
    <row r="24" ht="16" customHeight="1">
      <c r="A24" s="96" t="inlineStr"/>
      <c r="B24" s="20" t="inlineStr">
        <is>
          <t>YoY Rev Growth</t>
        </is>
      </c>
      <c r="C24" s="47" t="n"/>
      <c r="D24" s="47" t="n"/>
      <c r="E24" s="47" t="n"/>
      <c r="F24" s="47" t="n"/>
      <c r="G24" s="71" t="n">
        <v>0.02728400954653938</v>
      </c>
      <c r="H24" s="71" t="n">
        <v>0.09530544180352092</v>
      </c>
      <c r="I24" s="71" t="n">
        <v>0.01641693811074919</v>
      </c>
      <c r="J24" s="71" t="n">
        <v>0.05651532601887212</v>
      </c>
    </row>
    <row r="25" ht="8" customHeight="1"/>
    <row r="26" ht="18" customHeight="1">
      <c r="A26" s="94" t="inlineStr">
        <is>
          <t>RFIL  —  RF Industries, Ltd.</t>
        </is>
      </c>
      <c r="C26" s="37" t="inlineStr">
        <is>
          <t>Nano Cap</t>
        </is>
      </c>
      <c r="D26" s="74" t="inlineStr">
        <is>
          <t>Mkt Cap: $117M</t>
        </is>
      </c>
      <c r="E26" s="95" t="n"/>
      <c r="F26" s="95" t="n"/>
      <c r="G26" s="95" t="n"/>
      <c r="H26" s="95" t="n"/>
      <c r="I26" s="95" t="n"/>
      <c r="J26" s="95" t="n"/>
      <c r="K26" s="95" t="n"/>
    </row>
    <row r="27" ht="16" customHeight="1">
      <c r="A27" s="96"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6" t="inlineStr"/>
      <c r="B28" s="66" t="inlineStr">
        <is>
          <t>Revenue ($M)</t>
        </is>
      </c>
      <c r="C28" s="97" t="n">
        <v>13.458</v>
      </c>
      <c r="D28" s="97" t="n">
        <v>16.11</v>
      </c>
      <c r="E28" s="97" t="n">
        <v>16.836</v>
      </c>
      <c r="F28" s="97" t="n">
        <v>18.453</v>
      </c>
      <c r="G28" s="97" t="n">
        <v>19.2</v>
      </c>
      <c r="H28" s="97" t="n">
        <v>18.91</v>
      </c>
      <c r="I28" s="97" t="n">
        <v>19.79</v>
      </c>
      <c r="J28" s="97" t="n">
        <v>22.686</v>
      </c>
    </row>
    <row r="29" ht="16" customHeight="1">
      <c r="A29" s="96" t="inlineStr"/>
      <c r="B29" s="94" t="inlineStr">
        <is>
          <t>Gross Margin %</t>
        </is>
      </c>
      <c r="C29" s="71" t="n">
        <v>0.188</v>
      </c>
      <c r="D29" s="71" t="n">
        <v>0.26</v>
      </c>
      <c r="E29" s="71" t="n">
        <v>0.256</v>
      </c>
      <c r="F29" s="71" t="n">
        <v>0.274</v>
      </c>
      <c r="G29" s="71" t="n">
        <v>0.298</v>
      </c>
      <c r="H29" s="71" t="n">
        <v>0.315</v>
      </c>
      <c r="I29" s="71" t="n">
        <v>0.34</v>
      </c>
      <c r="J29" s="71" t="n">
        <v>0.368</v>
      </c>
    </row>
    <row r="30" ht="16" customHeight="1">
      <c r="A30" s="96" t="inlineStr"/>
      <c r="B30" s="26" t="inlineStr">
        <is>
          <t>QoQ Rev Growth</t>
        </is>
      </c>
      <c r="C30" s="49" t="n"/>
      <c r="D30" s="75" t="n">
        <v>0.1970575122603656</v>
      </c>
      <c r="E30" s="75" t="n">
        <v>0.04506517690875233</v>
      </c>
      <c r="F30" s="75" t="n">
        <v>0.09604419101924448</v>
      </c>
      <c r="G30" s="75" t="n">
        <v>0.04048122256543651</v>
      </c>
      <c r="H30" s="75" t="n">
        <v>-0.01510416666666667</v>
      </c>
      <c r="I30" s="75" t="n">
        <v>0.04653622421998942</v>
      </c>
      <c r="J30" s="75" t="n">
        <v>0.1463365336028297</v>
      </c>
    </row>
    <row r="31" ht="16" customHeight="1">
      <c r="A31" s="96" t="inlineStr"/>
      <c r="B31" s="20" t="inlineStr">
        <is>
          <t>YoY Rev Growth</t>
        </is>
      </c>
      <c r="C31" s="47" t="n"/>
      <c r="D31" s="47" t="n"/>
      <c r="E31" s="47" t="n"/>
      <c r="F31" s="47" t="n"/>
      <c r="G31" s="71" t="n">
        <v>0.4266607222469906</v>
      </c>
      <c r="H31" s="71" t="n">
        <v>0.1738050900062073</v>
      </c>
      <c r="I31" s="71" t="n">
        <v>0.1754573532905678</v>
      </c>
      <c r="J31" s="71" t="n">
        <v>0.2293935945374736</v>
      </c>
    </row>
    <row r="32" ht="8" customHeight="1"/>
    <row r="33" ht="18" customHeight="1">
      <c r="A33" s="94" t="inlineStr">
        <is>
          <t>LTRX  —  Lantronix, Inc.</t>
        </is>
      </c>
      <c r="C33" s="37" t="inlineStr">
        <is>
          <t>Nano Cap</t>
        </is>
      </c>
      <c r="D33" s="74" t="inlineStr">
        <is>
          <t>Mkt Cap: $237M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41.183</v>
      </c>
      <c r="D35" s="97" t="n">
        <v>49.075</v>
      </c>
      <c r="E35" s="97" t="n">
        <v>34.423</v>
      </c>
      <c r="F35" s="97" t="n">
        <v>31.161</v>
      </c>
      <c r="G35" s="97" t="n">
        <v>28.5</v>
      </c>
      <c r="H35" s="97" t="n">
        <v>28.839</v>
      </c>
      <c r="I35" s="97" t="n">
        <v>29.794</v>
      </c>
      <c r="J35" s="97" t="n">
        <v>29.774</v>
      </c>
    </row>
    <row r="36" ht="16" customHeight="1">
      <c r="A36" s="96" t="inlineStr"/>
      <c r="B36" s="94" t="inlineStr">
        <is>
          <t>Gross Margin %</t>
        </is>
      </c>
      <c r="C36" s="71" t="n">
        <v>0.401</v>
      </c>
      <c r="D36" s="71" t="n">
        <v>0.381</v>
      </c>
      <c r="E36" s="71" t="n">
        <v>0.421</v>
      </c>
      <c r="F36" s="71" t="n">
        <v>0.426</v>
      </c>
      <c r="G36" s="71" t="n">
        <v>0.435</v>
      </c>
      <c r="H36" s="71" t="n">
        <v>0.4</v>
      </c>
      <c r="I36" s="71" t="n">
        <v>0.448</v>
      </c>
      <c r="J36" s="71" t="n">
        <v>0.409</v>
      </c>
    </row>
    <row r="37" ht="16" customHeight="1">
      <c r="A37" s="96" t="inlineStr"/>
      <c r="B37" s="26" t="inlineStr">
        <is>
          <t>QoQ Rev Growth</t>
        </is>
      </c>
      <c r="C37" s="49" t="n"/>
      <c r="D37" s="75" t="n">
        <v>0.1916324697083748</v>
      </c>
      <c r="E37" s="75" t="n">
        <v>-0.2985634233316353</v>
      </c>
      <c r="F37" s="75" t="n">
        <v>-0.09476222293234175</v>
      </c>
      <c r="G37" s="75" t="n">
        <v>-0.08539520554539327</v>
      </c>
      <c r="H37" s="75" t="n">
        <v>0.01189473684210526</v>
      </c>
      <c r="I37" s="75" t="n">
        <v>0.03311487915669753</v>
      </c>
      <c r="J37" s="75" t="n">
        <v>-0.0006712760958582265</v>
      </c>
    </row>
    <row r="38" ht="16" customHeight="1">
      <c r="A38" s="96" t="inlineStr"/>
      <c r="B38" s="20" t="inlineStr">
        <is>
          <t>YoY Rev Growth</t>
        </is>
      </c>
      <c r="C38" s="47" t="n"/>
      <c r="D38" s="47" t="n"/>
      <c r="E38" s="47" t="n"/>
      <c r="F38" s="47" t="n"/>
      <c r="G38" s="71" t="n">
        <v>-0.3079668795376733</v>
      </c>
      <c r="H38" s="71" t="n">
        <v>-0.412348446255731</v>
      </c>
      <c r="I38" s="71" t="n">
        <v>-0.1344740435174157</v>
      </c>
      <c r="J38" s="71" t="n">
        <v>-0.04451076666345753</v>
      </c>
    </row>
    <row r="39" ht="8" customHeight="1"/>
    <row r="40" ht="18" customHeight="1">
      <c r="A40" s="94" t="inlineStr">
        <is>
          <t>GLTK  —  GlobalTech Corporation</t>
        </is>
      </c>
      <c r="C40" s="37" t="inlineStr">
        <is>
          <t>Nano Cap</t>
        </is>
      </c>
      <c r="D40" s="74" t="inlineStr">
        <is>
          <t>Mkt Cap: $227M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3.702258</v>
      </c>
      <c r="D42" s="97" t="n">
        <v>4.562739</v>
      </c>
      <c r="E42" s="97" t="n">
        <v>5.017195</v>
      </c>
      <c r="F42" s="97" t="n">
        <v>4.973089</v>
      </c>
      <c r="G42" s="97" t="n">
        <v>4.34172</v>
      </c>
      <c r="H42" s="97" t="n">
        <v>5.628068</v>
      </c>
      <c r="I42" s="97" t="n">
        <v>5.54055</v>
      </c>
      <c r="J42" s="97" t="n">
        <v>6.558261</v>
      </c>
    </row>
    <row r="43" ht="16" customHeight="1">
      <c r="A43" s="96" t="inlineStr"/>
      <c r="B43" s="94" t="inlineStr">
        <is>
          <t>Gross Margin %</t>
        </is>
      </c>
      <c r="C43" s="71" t="n">
        <v>-0.178</v>
      </c>
      <c r="D43" s="71" t="n">
        <v>0.091</v>
      </c>
      <c r="E43" s="71" t="n">
        <v>0.07400000000000001</v>
      </c>
      <c r="F43" s="71" t="n">
        <v>0.111</v>
      </c>
      <c r="G43" s="71" t="n">
        <v>0.094</v>
      </c>
      <c r="H43" s="71" t="n">
        <v>0.092</v>
      </c>
      <c r="I43" s="71" t="n">
        <v>0.131</v>
      </c>
      <c r="J43" s="71" t="n">
        <v>-0.043</v>
      </c>
    </row>
    <row r="44" ht="16" customHeight="1">
      <c r="A44" s="96" t="inlineStr"/>
      <c r="B44" s="26" t="inlineStr">
        <is>
          <t>QoQ Rev Growth</t>
        </is>
      </c>
      <c r="C44" s="49" t="n"/>
      <c r="D44" s="75" t="n">
        <v>0.2324205930542928</v>
      </c>
      <c r="E44" s="75" t="n">
        <v>0.09960157703519749</v>
      </c>
      <c r="F44" s="75" t="n">
        <v>-0.008790967861524219</v>
      </c>
      <c r="G44" s="75" t="n">
        <v>-0.1269571085496358</v>
      </c>
      <c r="H44" s="75" t="n">
        <v>0.296276130197249</v>
      </c>
      <c r="I44" s="75" t="n">
        <v>-0.01555027409050495</v>
      </c>
      <c r="J44" s="75" t="n">
        <v>0.1836841107832255</v>
      </c>
    </row>
    <row r="45" ht="16" customHeight="1">
      <c r="A45" s="96" t="inlineStr"/>
      <c r="B45" s="20" t="inlineStr">
        <is>
          <t>YoY Rev Growth</t>
        </is>
      </c>
      <c r="C45" s="47" t="n"/>
      <c r="D45" s="47" t="n"/>
      <c r="E45" s="47" t="n"/>
      <c r="F45" s="47" t="n"/>
      <c r="G45" s="71" t="n">
        <v>0.1727221603680781</v>
      </c>
      <c r="H45" s="71" t="n">
        <v>0.2334845363716838</v>
      </c>
      <c r="I45" s="71" t="n">
        <v>0.1043122701031154</v>
      </c>
      <c r="J45" s="71" t="n">
        <v>0.318749976121481</v>
      </c>
    </row>
    <row r="46" ht="8" customHeight="1"/>
    <row r="47" ht="18" customHeight="1">
      <c r="A47" s="94" t="inlineStr">
        <is>
          <t>OPXS  —  Optex Systems Holdings, Inc</t>
        </is>
      </c>
      <c r="C47" s="37" t="inlineStr">
        <is>
          <t>Nano Cap</t>
        </is>
      </c>
      <c r="D47" s="74" t="inlineStr">
        <is>
          <t>Mkt Cap: $72M</t>
        </is>
      </c>
      <c r="E47" s="95" t="n"/>
      <c r="F47" s="95" t="n"/>
      <c r="G47" s="95" t="n"/>
      <c r="H47" s="95" t="n"/>
      <c r="I47" s="95" t="n"/>
      <c r="J47" s="95" t="n"/>
      <c r="K47" s="95" t="n"/>
    </row>
    <row r="48" ht="16" customHeight="1">
      <c r="A48" s="96" t="inlineStr"/>
      <c r="B48" s="18" t="inlineStr">
        <is>
          <t>Quarter</t>
        </is>
      </c>
      <c r="C48" s="18" t="inlineStr">
        <is>
          <t>2024-03-31</t>
        </is>
      </c>
      <c r="D48" s="18" t="inlineStr">
        <is>
          <t>2024-06-30</t>
        </is>
      </c>
      <c r="E48" s="18" t="inlineStr">
        <is>
          <t>2024-09-29</t>
        </is>
      </c>
      <c r="F48" s="18" t="inlineStr">
        <is>
          <t>2024-12-29</t>
        </is>
      </c>
      <c r="G48" s="18" t="inlineStr">
        <is>
          <t>2025-03-30</t>
        </is>
      </c>
      <c r="H48" s="18" t="inlineStr">
        <is>
          <t>2025-06-29</t>
        </is>
      </c>
      <c r="I48" s="18" t="inlineStr">
        <is>
          <t>2025-09-28</t>
        </is>
      </c>
      <c r="J48" s="18" t="inlineStr">
        <is>
          <t>2025-12-28</t>
        </is>
      </c>
    </row>
    <row r="49" ht="16" customHeight="1">
      <c r="A49" s="96" t="inlineStr"/>
      <c r="B49" s="66" t="inlineStr">
        <is>
          <t>Revenue ($M)</t>
        </is>
      </c>
      <c r="C49" s="97" t="n">
        <v>8.523</v>
      </c>
      <c r="D49" s="97" t="n">
        <v>9.06</v>
      </c>
      <c r="E49" s="97" t="n">
        <v>9.443</v>
      </c>
      <c r="F49" s="97" t="n">
        <v>8.198</v>
      </c>
      <c r="G49" s="97" t="n">
        <v>10.73</v>
      </c>
      <c r="H49" s="97" t="n">
        <v>11.11</v>
      </c>
      <c r="I49" s="97" t="n">
        <v>11.299</v>
      </c>
      <c r="J49" s="97" t="n">
        <v>9.145</v>
      </c>
    </row>
    <row r="50" ht="16" customHeight="1">
      <c r="A50" s="96" t="inlineStr"/>
      <c r="B50" s="94" t="inlineStr">
        <is>
          <t>Gross Margin %</t>
        </is>
      </c>
      <c r="C50" s="71" t="n">
        <v>0.3</v>
      </c>
      <c r="D50" s="71" t="n">
        <v>0.318</v>
      </c>
      <c r="E50" s="71" t="n">
        <v>0.255</v>
      </c>
      <c r="F50" s="71" t="n">
        <v>0.26</v>
      </c>
      <c r="G50" s="71" t="n">
        <v>0.313</v>
      </c>
      <c r="H50" s="71" t="n">
        <v>0.285</v>
      </c>
      <c r="I50" s="71" t="n">
        <v>0.301</v>
      </c>
      <c r="J50" s="71" t="n">
        <v>0.229</v>
      </c>
    </row>
    <row r="51" ht="16" customHeight="1">
      <c r="A51" s="96" t="inlineStr"/>
      <c r="B51" s="26" t="inlineStr">
        <is>
          <t>QoQ Rev Growth</t>
        </is>
      </c>
      <c r="C51" s="49" t="n"/>
      <c r="D51" s="75" t="n">
        <v>0.06300598380851813</v>
      </c>
      <c r="E51" s="75" t="n">
        <v>0.04227373068432671</v>
      </c>
      <c r="F51" s="75" t="n">
        <v>-0.1318436937413957</v>
      </c>
      <c r="G51" s="75" t="n">
        <v>0.3088558184923152</v>
      </c>
      <c r="H51" s="75" t="n">
        <v>0.03541472506989748</v>
      </c>
      <c r="I51" s="75" t="n">
        <v>0.01701170117011701</v>
      </c>
      <c r="J51" s="75" t="n">
        <v>-0.1906363394990707</v>
      </c>
    </row>
    <row r="52" ht="16" customHeight="1">
      <c r="A52" s="96" t="inlineStr"/>
      <c r="B52" s="20" t="inlineStr">
        <is>
          <t>YoY Rev Growth</t>
        </is>
      </c>
      <c r="C52" s="47" t="n"/>
      <c r="D52" s="47" t="n"/>
      <c r="E52" s="47" t="n"/>
      <c r="F52" s="47" t="n"/>
      <c r="G52" s="71" t="n">
        <v>0.2589463803824944</v>
      </c>
      <c r="H52" s="71" t="n">
        <v>0.2262693156732892</v>
      </c>
      <c r="I52" s="71" t="n">
        <v>0.1965477072964101</v>
      </c>
      <c r="J52" s="71" t="n">
        <v>0.1155159795071969</v>
      </c>
    </row>
    <row r="53" ht="8" customHeight="1"/>
    <row r="54" ht="18" customHeight="1">
      <c r="A54" s="94" t="inlineStr">
        <is>
          <t>BKTI  —  BK Technologies Corporation</t>
        </is>
      </c>
      <c r="C54" s="37" t="inlineStr">
        <is>
          <t>Nano Cap</t>
        </is>
      </c>
      <c r="D54" s="74" t="inlineStr">
        <is>
          <t>Mkt Cap: $274M</t>
        </is>
      </c>
      <c r="E54" s="95" t="n"/>
      <c r="F54" s="95" t="n"/>
      <c r="G54" s="95" t="n"/>
      <c r="H54" s="95" t="n"/>
      <c r="I54" s="95" t="n"/>
      <c r="J54" s="95" t="n"/>
      <c r="K54" s="95" t="n"/>
    </row>
    <row r="55" ht="16" customHeight="1">
      <c r="A55" s="96" t="inlineStr"/>
      <c r="B55" s="18" t="inlineStr">
        <is>
          <t>Quarter</t>
        </is>
      </c>
      <c r="C55" s="18" t="inlineStr">
        <is>
          <t>2024-03-31</t>
        </is>
      </c>
      <c r="D55" s="18" t="inlineStr">
        <is>
          <t>2024-06-30</t>
        </is>
      </c>
      <c r="E55" s="18" t="inlineStr">
        <is>
          <t>2024-09-30</t>
        </is>
      </c>
      <c r="F55" s="18" t="inlineStr">
        <is>
          <t>2024-12-31</t>
        </is>
      </c>
      <c r="G55" s="18" t="inlineStr">
        <is>
          <t>2025-03-31</t>
        </is>
      </c>
      <c r="H55" s="18" t="inlineStr">
        <is>
          <t>2025-06-30</t>
        </is>
      </c>
      <c r="I55" s="18" t="inlineStr">
        <is>
          <t>2025-09-30</t>
        </is>
      </c>
      <c r="J55" s="18" t="inlineStr">
        <is>
          <t>2025-12-31</t>
        </is>
      </c>
    </row>
    <row r="56" ht="16" customHeight="1">
      <c r="A56" s="96" t="inlineStr"/>
      <c r="B56" s="66" t="inlineStr">
        <is>
          <t>Revenue ($M)</t>
        </is>
      </c>
      <c r="C56" s="97" t="n">
        <v>18.231</v>
      </c>
      <c r="D56" s="97" t="n">
        <v>20.254</v>
      </c>
      <c r="E56" s="97" t="n">
        <v>20.179</v>
      </c>
      <c r="F56" s="97" t="n">
        <v>17.928</v>
      </c>
      <c r="G56" s="97" t="n">
        <v>19.054</v>
      </c>
      <c r="H56" s="97" t="n">
        <v>21.165</v>
      </c>
      <c r="I56" s="97" t="n">
        <v>24.411</v>
      </c>
      <c r="J56" s="97" t="n">
        <v>21.509</v>
      </c>
    </row>
    <row r="57" ht="16" customHeight="1">
      <c r="A57" s="96" t="inlineStr"/>
      <c r="B57" s="94" t="inlineStr">
        <is>
          <t>Gross Margin %</t>
        </is>
      </c>
      <c r="C57" s="71" t="n">
        <v>0.345</v>
      </c>
      <c r="D57" s="71" t="n">
        <v>0.373</v>
      </c>
      <c r="E57" s="71" t="n">
        <v>0.388</v>
      </c>
      <c r="F57" s="71" t="n">
        <v>0.412</v>
      </c>
      <c r="G57" s="71" t="n">
        <v>0.47</v>
      </c>
      <c r="H57" s="71" t="n">
        <v>0.474</v>
      </c>
      <c r="I57" s="71" t="n">
        <v>0.499</v>
      </c>
      <c r="J57" s="71" t="n">
        <v>0.505</v>
      </c>
    </row>
    <row r="58" ht="16" customHeight="1">
      <c r="A58" s="96" t="inlineStr"/>
      <c r="B58" s="26" t="inlineStr">
        <is>
          <t>QoQ Rev Growth</t>
        </is>
      </c>
      <c r="C58" s="49" t="n"/>
      <c r="D58" s="75" t="n">
        <v>0.1109648401075092</v>
      </c>
      <c r="E58" s="75" t="n">
        <v>-0.003702972252394589</v>
      </c>
      <c r="F58" s="75" t="n">
        <v>-0.1115516130630854</v>
      </c>
      <c r="G58" s="75" t="n">
        <v>0.06280678268630076</v>
      </c>
      <c r="H58" s="75" t="n">
        <v>0.110790385220951</v>
      </c>
      <c r="I58" s="75" t="n">
        <v>0.1533664068036853</v>
      </c>
      <c r="J58" s="75" t="n">
        <v>-0.1188808324116177</v>
      </c>
    </row>
    <row r="59" ht="16" customHeight="1">
      <c r="A59" s="96" t="inlineStr"/>
      <c r="B59" s="20" t="inlineStr">
        <is>
          <t>YoY Rev Growth</t>
        </is>
      </c>
      <c r="C59" s="47" t="n"/>
      <c r="D59" s="47" t="n"/>
      <c r="E59" s="47" t="n"/>
      <c r="F59" s="47" t="n"/>
      <c r="G59" s="71" t="n">
        <v>0.04514288848664363</v>
      </c>
      <c r="H59" s="71" t="n">
        <v>0.04497876962575294</v>
      </c>
      <c r="I59" s="71" t="n">
        <v>0.2097229793349522</v>
      </c>
      <c r="J59" s="71" t="n">
        <v>0.1997434181169121</v>
      </c>
    </row>
    <row r="60" ht="8" customHeight="1"/>
    <row r="61" ht="18" customHeight="1">
      <c r="A61" s="94" t="inlineStr">
        <is>
          <t>ASYS  —  Amtech Systems, Inc.</t>
        </is>
      </c>
      <c r="C61" s="37" t="inlineStr">
        <is>
          <t>Nano Cap</t>
        </is>
      </c>
      <c r="D61" s="74" t="inlineStr">
        <is>
          <t>Mkt Cap: $269M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25.433</v>
      </c>
      <c r="D63" s="97" t="n">
        <v>26.749</v>
      </c>
      <c r="E63" s="97" t="n">
        <v>24.112</v>
      </c>
      <c r="F63" s="97" t="n">
        <v>24.385</v>
      </c>
      <c r="G63" s="97" t="n">
        <v>15.58</v>
      </c>
      <c r="H63" s="97" t="n">
        <v>19.557</v>
      </c>
      <c r="I63" s="97" t="n">
        <v>19.842</v>
      </c>
      <c r="J63" s="97" t="n">
        <v>18.973</v>
      </c>
    </row>
    <row r="64" ht="16" customHeight="1">
      <c r="A64" s="96" t="inlineStr"/>
      <c r="B64" s="94" t="inlineStr">
        <is>
          <t>Gross Margin %</t>
        </is>
      </c>
      <c r="C64" s="71" t="n">
        <v>0.332</v>
      </c>
      <c r="D64" s="71" t="n">
        <v>0.365</v>
      </c>
      <c r="E64" s="71" t="n">
        <v>0.407</v>
      </c>
      <c r="F64" s="71" t="n">
        <v>0.384</v>
      </c>
      <c r="G64" s="71" t="n">
        <v>-0.021</v>
      </c>
      <c r="H64" s="71" t="n">
        <v>0.467</v>
      </c>
      <c r="I64" s="71" t="n">
        <v>0.444</v>
      </c>
      <c r="J64" s="71" t="n">
        <v>0.448</v>
      </c>
    </row>
    <row r="65" ht="16" customHeight="1">
      <c r="A65" s="96" t="inlineStr"/>
      <c r="B65" s="26" t="inlineStr">
        <is>
          <t>QoQ Rev Growth</t>
        </is>
      </c>
      <c r="C65" s="49" t="n"/>
      <c r="D65" s="75" t="n">
        <v>0.05174379742853773</v>
      </c>
      <c r="E65" s="75" t="n">
        <v>-0.09858312460278888</v>
      </c>
      <c r="F65" s="75" t="n">
        <v>0.01132216323822163</v>
      </c>
      <c r="G65" s="75" t="n">
        <v>-0.3610826327660447</v>
      </c>
      <c r="H65" s="75" t="n">
        <v>0.2552631578947369</v>
      </c>
      <c r="I65" s="75" t="n">
        <v>0.01457278723730633</v>
      </c>
      <c r="J65" s="75" t="n">
        <v>-0.04379598830763028</v>
      </c>
    </row>
    <row r="66" ht="16" customHeight="1">
      <c r="A66" s="96" t="inlineStr"/>
      <c r="B66" s="20" t="inlineStr">
        <is>
          <t>YoY Rev Growth</t>
        </is>
      </c>
      <c r="C66" s="47" t="n"/>
      <c r="D66" s="47" t="n"/>
      <c r="E66" s="47" t="n"/>
      <c r="F66" s="47" t="n"/>
      <c r="G66" s="71" t="n">
        <v>-0.3874100577989227</v>
      </c>
      <c r="H66" s="71" t="n">
        <v>-0.2688698642939923</v>
      </c>
      <c r="I66" s="71" t="n">
        <v>-0.1770902455209025</v>
      </c>
      <c r="J66" s="71" t="n">
        <v>-0.2219397170391634</v>
      </c>
    </row>
    <row r="67" ht="8" customHeight="1"/>
    <row r="68" ht="18" customHeight="1">
      <c r="A68" s="94" t="inlineStr">
        <is>
          <t>QUIK  —  QuickLogic Corporation</t>
        </is>
      </c>
      <c r="C68" s="37" t="inlineStr">
        <is>
          <t>Nano Cap</t>
        </is>
      </c>
      <c r="D68" s="74" t="inlineStr">
        <is>
          <t>Mkt Cap: $197M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2024-09-29</t>
        </is>
      </c>
      <c r="F69" s="18" t="inlineStr">
        <is>
          <t>2024-12-31</t>
        </is>
      </c>
      <c r="G69" s="18" t="inlineStr">
        <is>
          <t>2025-03-30</t>
        </is>
      </c>
      <c r="H69" s="18" t="inlineStr">
        <is>
          <t>2025-06-29</t>
        </is>
      </c>
      <c r="I69" s="18" t="inlineStr">
        <is>
          <t>2025-09-28</t>
        </is>
      </c>
      <c r="J69" s="18" t="inlineStr">
        <is>
          <t>2025-12-28</t>
        </is>
      </c>
    </row>
    <row r="70" ht="16" customHeight="1">
      <c r="A70" s="96" t="inlineStr"/>
      <c r="B70" s="66" t="inlineStr">
        <is>
          <t>Revenue ($M)</t>
        </is>
      </c>
      <c r="C70" s="97" t="n">
        <v>5.669</v>
      </c>
      <c r="D70" s="97" t="n">
        <v>4.096</v>
      </c>
      <c r="E70" s="97" t="n">
        <v>4.273</v>
      </c>
      <c r="F70" s="97" t="n">
        <v>5.705</v>
      </c>
      <c r="G70" s="97" t="n">
        <v>4.325</v>
      </c>
      <c r="H70" s="97" t="n">
        <v>3.687</v>
      </c>
      <c r="I70" s="97" t="n">
        <v>2.029</v>
      </c>
      <c r="J70" s="97" t="n">
        <v>3.733</v>
      </c>
    </row>
    <row r="71" ht="16" customHeight="1">
      <c r="A71" s="96" t="inlineStr"/>
      <c r="B71" s="94" t="inlineStr">
        <is>
          <t>Gross Margin %</t>
        </is>
      </c>
      <c r="C71" s="71" t="n">
        <v>0.6709999999999999</v>
      </c>
      <c r="D71" s="71" t="n">
        <v>0.547</v>
      </c>
      <c r="E71" s="71" t="n">
        <v>0.5579999999999999</v>
      </c>
      <c r="F71" s="71" t="n">
        <v>0.598</v>
      </c>
      <c r="G71" s="71" t="n">
        <v>0.434</v>
      </c>
      <c r="H71" s="71" t="n">
        <v>0.259</v>
      </c>
      <c r="I71" s="71" t="n">
        <v>-0.233</v>
      </c>
      <c r="J71" s="71" t="n">
        <v>0.181</v>
      </c>
    </row>
    <row r="72" ht="16" customHeight="1">
      <c r="A72" s="96" t="inlineStr"/>
      <c r="B72" s="26" t="inlineStr">
        <is>
          <t>QoQ Rev Growth</t>
        </is>
      </c>
      <c r="C72" s="49" t="n"/>
      <c r="D72" s="75" t="n">
        <v>-0.2774739813018169</v>
      </c>
      <c r="E72" s="75" t="n">
        <v>0.043212890625</v>
      </c>
      <c r="F72" s="75" t="n">
        <v>0.3351275450503159</v>
      </c>
      <c r="G72" s="75" t="n">
        <v>-0.2418930762489045</v>
      </c>
      <c r="H72" s="75" t="n">
        <v>-0.147514450867052</v>
      </c>
      <c r="I72" s="75" t="n">
        <v>-0.4496880933007866</v>
      </c>
      <c r="J72" s="75" t="n">
        <v>0.8398225726959093</v>
      </c>
    </row>
    <row r="73" ht="16" customHeight="1">
      <c r="A73" s="96" t="inlineStr"/>
      <c r="B73" s="20" t="inlineStr">
        <is>
          <t>YoY Rev Growth</t>
        </is>
      </c>
      <c r="C73" s="47" t="n"/>
      <c r="D73" s="47" t="n"/>
      <c r="E73" s="47" t="n"/>
      <c r="F73" s="47" t="n"/>
      <c r="G73" s="71" t="n">
        <v>-0.2370788498853413</v>
      </c>
      <c r="H73" s="71" t="n">
        <v>-0.099853515625</v>
      </c>
      <c r="I73" s="71" t="n">
        <v>-0.5251579686402995</v>
      </c>
      <c r="J73" s="71" t="n">
        <v>-0.3456617002629273</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SWBI  —  Smith &amp; Wesson Brands, Inc.</t>
        </is>
      </c>
      <c r="C76" s="37" t="inlineStr">
        <is>
          <t>Small Cap</t>
        </is>
      </c>
      <c r="D76" s="74" t="inlineStr">
        <is>
          <t>Mkt Cap: $588M</t>
        </is>
      </c>
      <c r="E76" s="95" t="n"/>
      <c r="F76" s="95" t="n"/>
      <c r="G76" s="95" t="n"/>
      <c r="H76" s="95" t="n"/>
      <c r="I76" s="95" t="n"/>
      <c r="J76" s="95" t="n"/>
      <c r="K76" s="95" t="n"/>
    </row>
    <row r="77" ht="16" customHeight="1">
      <c r="A77" s="96"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6" t="inlineStr"/>
      <c r="B78" s="66" t="inlineStr">
        <is>
          <t>Revenue ($M)</t>
        </is>
      </c>
      <c r="C78" s="97" t="n">
        <v>159.147</v>
      </c>
      <c r="D78" s="97" t="n">
        <v>88.334</v>
      </c>
      <c r="E78" s="97" t="n">
        <v>129.679</v>
      </c>
      <c r="F78" s="97" t="n">
        <v>115.885</v>
      </c>
      <c r="G78" s="97" t="n">
        <v>140.762</v>
      </c>
      <c r="H78" s="97" t="n">
        <v>85.077</v>
      </c>
      <c r="I78" s="97" t="n">
        <v>124.67</v>
      </c>
      <c r="J78" s="97" t="n">
        <v>135.71</v>
      </c>
    </row>
    <row r="79" ht="16" customHeight="1">
      <c r="A79" s="96" t="inlineStr"/>
      <c r="B79" s="94" t="inlineStr">
        <is>
          <t>Gross Margin %</t>
        </is>
      </c>
      <c r="C79" s="71" t="n">
        <v>0.356</v>
      </c>
      <c r="D79" s="71" t="n">
        <v>0.274</v>
      </c>
      <c r="E79" s="71" t="n">
        <v>0.266</v>
      </c>
      <c r="F79" s="71" t="n">
        <v>0.241</v>
      </c>
      <c r="G79" s="71" t="n">
        <v>0.288</v>
      </c>
      <c r="H79" s="71" t="n">
        <v>0.259</v>
      </c>
      <c r="I79" s="71" t="n">
        <v>0.243</v>
      </c>
      <c r="J79" s="71" t="n">
        <v>0.262</v>
      </c>
    </row>
    <row r="80" ht="16" customHeight="1">
      <c r="A80" s="96" t="inlineStr"/>
      <c r="B80" s="26" t="inlineStr">
        <is>
          <t>QoQ Rev Growth</t>
        </is>
      </c>
      <c r="C80" s="49" t="n"/>
      <c r="D80" s="75" t="n">
        <v>-0.4449534078556303</v>
      </c>
      <c r="E80" s="75" t="n">
        <v>0.4680530712975751</v>
      </c>
      <c r="F80" s="75" t="n">
        <v>-0.1063703452370854</v>
      </c>
      <c r="G80" s="75" t="n">
        <v>0.2146697156663934</v>
      </c>
      <c r="H80" s="75" t="n">
        <v>-0.3955968230062091</v>
      </c>
      <c r="I80" s="75" t="n">
        <v>0.465378421900161</v>
      </c>
      <c r="J80" s="75" t="n">
        <v>0.08855378198443892</v>
      </c>
    </row>
    <row r="81" ht="16" customHeight="1">
      <c r="A81" s="96" t="inlineStr"/>
      <c r="B81" s="20" t="inlineStr">
        <is>
          <t>YoY Rev Growth</t>
        </is>
      </c>
      <c r="C81" s="47" t="n"/>
      <c r="D81" s="47" t="n"/>
      <c r="E81" s="47" t="n"/>
      <c r="F81" s="47" t="n"/>
      <c r="G81" s="71" t="n">
        <v>-0.1155221273413888</v>
      </c>
      <c r="H81" s="71" t="n">
        <v>-0.03687141983834084</v>
      </c>
      <c r="I81" s="71" t="n">
        <v>-0.03862614609921421</v>
      </c>
      <c r="J81" s="71" t="n">
        <v>0.1710747724036761</v>
      </c>
    </row>
    <row r="82" ht="8" customHeight="1"/>
    <row r="83" ht="18" customHeight="1">
      <c r="A83" s="94" t="inlineStr">
        <is>
          <t>PKE  —  Park Aerospace Corp.</t>
        </is>
      </c>
      <c r="C83" s="37" t="inlineStr">
        <is>
          <t>Small Cap</t>
        </is>
      </c>
      <c r="D83" s="74" t="inlineStr">
        <is>
          <t>Mkt Cap: $685M</t>
        </is>
      </c>
      <c r="E83" s="95" t="n"/>
      <c r="F83" s="95" t="n"/>
      <c r="G83" s="95" t="n"/>
      <c r="H83" s="95" t="n"/>
      <c r="I83" s="95" t="n"/>
      <c r="J83" s="95" t="n"/>
      <c r="K83" s="95" t="n"/>
    </row>
    <row r="84" ht="16" customHeight="1">
      <c r="A84" s="96" t="inlineStr"/>
      <c r="B84" s="18" t="inlineStr">
        <is>
          <t>Quarter</t>
        </is>
      </c>
      <c r="C84" s="18" t="inlineStr">
        <is>
          <t>2024-02-28</t>
        </is>
      </c>
      <c r="D84" s="18" t="inlineStr">
        <is>
          <t>2024-06-02</t>
        </is>
      </c>
      <c r="E84" s="18" t="inlineStr">
        <is>
          <t>2024-09-01</t>
        </is>
      </c>
      <c r="F84" s="18" t="inlineStr">
        <is>
          <t>2024-12-01</t>
        </is>
      </c>
      <c r="G84" s="18" t="inlineStr">
        <is>
          <t>2025-03-02</t>
        </is>
      </c>
      <c r="H84" s="18" t="inlineStr">
        <is>
          <t>2025-06-01</t>
        </is>
      </c>
      <c r="I84" s="18" t="inlineStr">
        <is>
          <t>2025-08-31</t>
        </is>
      </c>
      <c r="J84" s="18" t="inlineStr">
        <is>
          <t>2025-11-30</t>
        </is>
      </c>
    </row>
    <row r="85" ht="16" customHeight="1">
      <c r="A85" s="96" t="inlineStr"/>
      <c r="B85" s="66" t="inlineStr">
        <is>
          <t>Revenue ($M)</t>
        </is>
      </c>
      <c r="C85" s="97" t="n">
        <v>16.333</v>
      </c>
      <c r="D85" s="97" t="n">
        <v>13.97</v>
      </c>
      <c r="E85" s="97" t="n">
        <v>16.709</v>
      </c>
      <c r="F85" s="97" t="n">
        <v>14.408</v>
      </c>
      <c r="G85" s="97" t="n">
        <v>16.939</v>
      </c>
      <c r="H85" s="97" t="n">
        <v>15.4</v>
      </c>
      <c r="I85" s="97" t="n">
        <v>16.381</v>
      </c>
      <c r="J85" s="97" t="n">
        <v>17.333</v>
      </c>
    </row>
    <row r="86" ht="16" customHeight="1">
      <c r="A86" s="96" t="inlineStr"/>
      <c r="B86" s="94" t="inlineStr">
        <is>
          <t>Gross Margin %</t>
        </is>
      </c>
      <c r="C86" s="71" t="n">
        <v>0.273</v>
      </c>
      <c r="D86" s="71" t="n">
        <v>0.293</v>
      </c>
      <c r="E86" s="71" t="n">
        <v>0.285</v>
      </c>
      <c r="F86" s="71" t="n">
        <v>0.266</v>
      </c>
      <c r="G86" s="71" t="n">
        <v>0.293</v>
      </c>
      <c r="H86" s="71" t="n">
        <v>0.306</v>
      </c>
      <c r="I86" s="71" t="n">
        <v>0.312</v>
      </c>
      <c r="J86" s="71" t="n">
        <v>0.341</v>
      </c>
    </row>
    <row r="87" ht="16" customHeight="1">
      <c r="A87" s="96" t="inlineStr"/>
      <c r="B87" s="26" t="inlineStr">
        <is>
          <t>QoQ Rev Growth</t>
        </is>
      </c>
      <c r="C87" s="49" t="n"/>
      <c r="D87" s="75" t="n">
        <v>-0.1446764219677953</v>
      </c>
      <c r="E87" s="75" t="n">
        <v>0.1960629921259842</v>
      </c>
      <c r="F87" s="75" t="n">
        <v>-0.1377102160512299</v>
      </c>
      <c r="G87" s="75" t="n">
        <v>0.1756662965019434</v>
      </c>
      <c r="H87" s="75" t="n">
        <v>-0.09085542239801642</v>
      </c>
      <c r="I87" s="75" t="n">
        <v>0.0637012987012987</v>
      </c>
      <c r="J87" s="75" t="n">
        <v>0.05811611012758684</v>
      </c>
    </row>
    <row r="88" ht="16" customHeight="1">
      <c r="A88" s="96" t="inlineStr"/>
      <c r="B88" s="20" t="inlineStr">
        <is>
          <t>YoY Rev Growth</t>
        </is>
      </c>
      <c r="C88" s="47" t="n"/>
      <c r="D88" s="47" t="n"/>
      <c r="E88" s="47" t="n"/>
      <c r="F88" s="47" t="n"/>
      <c r="G88" s="71" t="n">
        <v>0.03710279801628605</v>
      </c>
      <c r="H88" s="71" t="n">
        <v>0.1023622047244094</v>
      </c>
      <c r="I88" s="71" t="n">
        <v>-0.01963013944580765</v>
      </c>
      <c r="J88" s="71" t="n">
        <v>0.2030122154358689</v>
      </c>
    </row>
    <row r="89" ht="8" customHeight="1"/>
    <row r="90" ht="18" customHeight="1">
      <c r="A90" s="94" t="inlineStr">
        <is>
          <t>NPKI  —  NPK International Inc.</t>
        </is>
      </c>
      <c r="C90" s="37" t="inlineStr">
        <is>
          <t>Small Cap</t>
        </is>
      </c>
      <c r="D90" s="74" t="inlineStr">
        <is>
          <t>Mkt Cap: $1153M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48.967</v>
      </c>
      <c r="D92" s="97" t="n">
        <v>66.791</v>
      </c>
      <c r="E92" s="97" t="n">
        <v>44.207</v>
      </c>
      <c r="F92" s="97" t="n">
        <v>57.524</v>
      </c>
      <c r="G92" s="97" t="n">
        <v>64.777</v>
      </c>
      <c r="H92" s="97" t="n">
        <v>68.233</v>
      </c>
      <c r="I92" s="97" t="n">
        <v>68.83799999999999</v>
      </c>
      <c r="J92" s="97" t="n">
        <v>75.19499999999999</v>
      </c>
    </row>
    <row r="93" ht="16" customHeight="1">
      <c r="A93" s="96" t="inlineStr"/>
      <c r="B93" s="94" t="inlineStr">
        <is>
          <t>Gross Margin %</t>
        </is>
      </c>
      <c r="C93" s="71" t="n">
        <v>0.36</v>
      </c>
      <c r="D93" s="71" t="n">
        <v>0.363</v>
      </c>
      <c r="E93" s="71" t="n">
        <v>0.275</v>
      </c>
      <c r="F93" s="71" t="n">
        <v>0.392</v>
      </c>
      <c r="G93" s="71" t="n">
        <v>0.39</v>
      </c>
      <c r="H93" s="71" t="n">
        <v>0.362</v>
      </c>
      <c r="I93" s="71" t="n">
        <v>0.313</v>
      </c>
      <c r="J93" s="71" t="n">
        <v>0.369</v>
      </c>
    </row>
    <row r="94" ht="16" customHeight="1">
      <c r="A94" s="96" t="inlineStr"/>
      <c r="B94" s="26" t="inlineStr">
        <is>
          <t>QoQ Rev Growth</t>
        </is>
      </c>
      <c r="C94" s="49" t="n"/>
      <c r="D94" s="75" t="n">
        <v>0.3640002450630016</v>
      </c>
      <c r="E94" s="75" t="n">
        <v>-0.338129388690093</v>
      </c>
      <c r="F94" s="75" t="n">
        <v>0.3012418847693804</v>
      </c>
      <c r="G94" s="75" t="n">
        <v>0.1260865030248244</v>
      </c>
      <c r="H94" s="75" t="n">
        <v>0.05335227009586736</v>
      </c>
      <c r="I94" s="75" t="n">
        <v>0.008866677414154442</v>
      </c>
      <c r="J94" s="75" t="n">
        <v>0.09234725006537087</v>
      </c>
    </row>
    <row r="95" ht="16" customHeight="1">
      <c r="A95" s="96" t="inlineStr"/>
      <c r="B95" s="20" t="inlineStr">
        <is>
          <t>YoY Rev Growth</t>
        </is>
      </c>
      <c r="C95" s="47" t="n"/>
      <c r="D95" s="47" t="n"/>
      <c r="E95" s="47" t="n"/>
      <c r="F95" s="47" t="n"/>
      <c r="G95" s="71" t="n">
        <v>0.3228705046255642</v>
      </c>
      <c r="H95" s="71" t="n">
        <v>0.02158973514395652</v>
      </c>
      <c r="I95" s="71" t="n">
        <v>0.5571742031804918</v>
      </c>
      <c r="J95" s="71" t="n">
        <v>0.3071935192267575</v>
      </c>
    </row>
    <row r="96" ht="8" customHeight="1"/>
    <row r="97" ht="18" customHeight="1">
      <c r="A97" s="94" t="inlineStr">
        <is>
          <t>LXFR  —  Luxfer Holdings PLC</t>
        </is>
      </c>
      <c r="C97" s="37" t="inlineStr">
        <is>
          <t>Small Cap</t>
        </is>
      </c>
      <c r="D97" s="74" t="inlineStr">
        <is>
          <t>Mkt Cap: $464M</t>
        </is>
      </c>
      <c r="E97" s="95" t="n"/>
      <c r="F97" s="95" t="n"/>
      <c r="G97" s="95" t="n"/>
      <c r="H97" s="95" t="n"/>
      <c r="I97" s="95" t="n"/>
      <c r="J97" s="95" t="n"/>
      <c r="K97" s="95" t="n"/>
    </row>
    <row r="98" ht="16" customHeight="1">
      <c r="A98" s="96" t="inlineStr"/>
      <c r="B98" s="18" t="inlineStr">
        <is>
          <t>Quarter</t>
        </is>
      </c>
      <c r="C98" s="18" t="inlineStr">
        <is>
          <t>2024-03-31</t>
        </is>
      </c>
      <c r="D98" s="18" t="inlineStr">
        <is>
          <t>2024-06-30</t>
        </is>
      </c>
      <c r="E98" s="18" t="inlineStr">
        <is>
          <t>2024-09-29</t>
        </is>
      </c>
      <c r="F98" s="18" t="inlineStr">
        <is>
          <t>2024-12-31</t>
        </is>
      </c>
      <c r="G98" s="18" t="inlineStr">
        <is>
          <t>2025-03-30</t>
        </is>
      </c>
      <c r="H98" s="18" t="inlineStr">
        <is>
          <t>2025-06-29</t>
        </is>
      </c>
      <c r="I98" s="18" t="inlineStr">
        <is>
          <t>2025-09-28</t>
        </is>
      </c>
      <c r="J98" s="18" t="inlineStr">
        <is>
          <t>2025-12-31</t>
        </is>
      </c>
    </row>
    <row r="99" ht="16" customHeight="1">
      <c r="A99" s="96" t="inlineStr"/>
      <c r="B99" s="66" t="inlineStr">
        <is>
          <t>Revenue ($M)</t>
        </is>
      </c>
      <c r="C99" s="97" t="n">
        <v>89.40000000000001</v>
      </c>
      <c r="D99" s="97" t="n">
        <v>99.7</v>
      </c>
      <c r="E99" s="97" t="n">
        <v>99.40000000000001</v>
      </c>
      <c r="F99" s="97" t="n">
        <v>103.4</v>
      </c>
      <c r="G99" s="97" t="n">
        <v>97</v>
      </c>
      <c r="H99" s="97" t="n">
        <v>104</v>
      </c>
      <c r="I99" s="97" t="n">
        <v>92.90000000000001</v>
      </c>
      <c r="J99" s="97" t="n">
        <v>90.7</v>
      </c>
    </row>
    <row r="100" ht="16" customHeight="1">
      <c r="A100" s="96" t="inlineStr"/>
      <c r="B100" s="94" t="inlineStr">
        <is>
          <t>Gross Margin %</t>
        </is>
      </c>
      <c r="C100" s="71" t="n">
        <v>0.206</v>
      </c>
      <c r="D100" s="71" t="n">
        <v>0.221</v>
      </c>
      <c r="E100" s="71" t="n">
        <v>0.225</v>
      </c>
      <c r="F100" s="71" t="n">
        <v>0.221</v>
      </c>
      <c r="G100" s="71" t="n">
        <v>0.221</v>
      </c>
      <c r="H100" s="71" t="n">
        <v>0.231</v>
      </c>
      <c r="I100" s="71" t="n">
        <v>0.234</v>
      </c>
      <c r="J100" s="71" t="n">
        <v>0.244</v>
      </c>
    </row>
    <row r="101" ht="16" customHeight="1">
      <c r="A101" s="96" t="inlineStr"/>
      <c r="B101" s="26" t="inlineStr">
        <is>
          <t>QoQ Rev Growth</t>
        </is>
      </c>
      <c r="C101" s="49" t="n"/>
      <c r="D101" s="75" t="n">
        <v>0.1152125279642058</v>
      </c>
      <c r="E101" s="75" t="n">
        <v>-0.003009027081243731</v>
      </c>
      <c r="F101" s="75" t="n">
        <v>0.04024144869215292</v>
      </c>
      <c r="G101" s="75" t="n">
        <v>-0.06189555125725339</v>
      </c>
      <c r="H101" s="75" t="n">
        <v>0.07216494845360824</v>
      </c>
      <c r="I101" s="75" t="n">
        <v>-0.1067307692307692</v>
      </c>
      <c r="J101" s="75" t="n">
        <v>-0.02368137782561894</v>
      </c>
    </row>
    <row r="102" ht="16" customHeight="1">
      <c r="A102" s="96" t="inlineStr"/>
      <c r="B102" s="20" t="inlineStr">
        <is>
          <t>YoY Rev Growth</t>
        </is>
      </c>
      <c r="C102" s="47" t="n"/>
      <c r="D102" s="47" t="n"/>
      <c r="E102" s="47" t="n"/>
      <c r="F102" s="47" t="n"/>
      <c r="G102" s="71" t="n">
        <v>0.08501118568232663</v>
      </c>
      <c r="H102" s="71" t="n">
        <v>0.04312938816449348</v>
      </c>
      <c r="I102" s="71" t="n">
        <v>-0.06539235412474849</v>
      </c>
      <c r="J102" s="71" t="n">
        <v>-0.1228239845261122</v>
      </c>
    </row>
    <row r="103" ht="8" customHeight="1"/>
    <row r="104" ht="18" customHeight="1">
      <c r="A104" s="94" t="inlineStr">
        <is>
          <t>CLFD  —  Clearfield, Inc.</t>
        </is>
      </c>
      <c r="C104" s="37" t="inlineStr">
        <is>
          <t>Small Cap</t>
        </is>
      </c>
      <c r="D104" s="74" t="inlineStr">
        <is>
          <t>Mkt Cap: $395M</t>
        </is>
      </c>
      <c r="E104" s="95" t="n"/>
      <c r="F104" s="95" t="n"/>
      <c r="G104" s="95" t="n"/>
      <c r="H104" s="95" t="n"/>
      <c r="I104" s="95" t="n"/>
      <c r="J104" s="95" t="n"/>
      <c r="K104" s="95" t="n"/>
    </row>
    <row r="105" ht="16" customHeight="1">
      <c r="A105" s="96" t="inlineStr"/>
      <c r="B105" s="18" t="inlineStr">
        <is>
          <t>Quarter</t>
        </is>
      </c>
      <c r="C105" s="18" t="inlineStr">
        <is>
          <t>2024-03-31</t>
        </is>
      </c>
      <c r="D105" s="18" t="inlineStr">
        <is>
          <t>2024-06-30</t>
        </is>
      </c>
      <c r="E105" s="18" t="inlineStr">
        <is>
          <t>2024-09-30</t>
        </is>
      </c>
      <c r="F105" s="18" t="inlineStr">
        <is>
          <t>2024-12-31</t>
        </is>
      </c>
      <c r="G105" s="18" t="inlineStr">
        <is>
          <t>2025-03-31</t>
        </is>
      </c>
      <c r="H105" s="18" t="inlineStr">
        <is>
          <t>2025-06-30</t>
        </is>
      </c>
      <c r="I105" s="18" t="inlineStr">
        <is>
          <t>2025-09-30</t>
        </is>
      </c>
      <c r="J105" s="18" t="inlineStr">
        <is>
          <t>2025-12-31</t>
        </is>
      </c>
    </row>
    <row r="106" ht="16" customHeight="1">
      <c r="A106" s="96" t="inlineStr"/>
      <c r="B106" s="66" t="inlineStr">
        <is>
          <t>Revenue ($M)</t>
        </is>
      </c>
      <c r="C106" s="97" t="n">
        <v>36.91</v>
      </c>
      <c r="D106" s="97" t="n">
        <v>48.793</v>
      </c>
      <c r="E106" s="97" t="n">
        <v>46.772</v>
      </c>
      <c r="F106" s="97" t="n">
        <v>29.698</v>
      </c>
      <c r="G106" s="97" t="n">
        <v>47.168</v>
      </c>
      <c r="H106" s="97" t="n">
        <v>49.903</v>
      </c>
      <c r="I106" s="97" t="n">
        <v>17.587</v>
      </c>
      <c r="J106" s="97" t="n">
        <v>34.341</v>
      </c>
    </row>
    <row r="107" ht="16" customHeight="1">
      <c r="A107" s="96" t="inlineStr"/>
      <c r="B107" s="94" t="inlineStr">
        <is>
          <t>Gross Margin %</t>
        </is>
      </c>
      <c r="C107" s="71" t="n">
        <v>0.077</v>
      </c>
      <c r="D107" s="71" t="n">
        <v>0.219</v>
      </c>
      <c r="E107" s="71" t="n">
        <v>0.228</v>
      </c>
      <c r="F107" s="71" t="n">
        <v>0.292</v>
      </c>
      <c r="G107" s="71" t="n">
        <v>0.301</v>
      </c>
      <c r="H107" s="71" t="n">
        <v>0.305</v>
      </c>
      <c r="I107" s="71" t="n">
        <v>0.735</v>
      </c>
      <c r="J107" s="71" t="n">
        <v>0.332</v>
      </c>
    </row>
    <row r="108" ht="16" customHeight="1">
      <c r="A108" s="96" t="inlineStr"/>
      <c r="B108" s="26" t="inlineStr">
        <is>
          <t>QoQ Rev Growth</t>
        </is>
      </c>
      <c r="C108" s="49" t="n"/>
      <c r="D108" s="75" t="n">
        <v>0.3219452722839339</v>
      </c>
      <c r="E108" s="75" t="n">
        <v>-0.04141987580185683</v>
      </c>
      <c r="F108" s="75" t="n">
        <v>-0.3650474642948773</v>
      </c>
      <c r="G108" s="75" t="n">
        <v>0.5882551013536265</v>
      </c>
      <c r="H108" s="75" t="n">
        <v>0.05798422659430122</v>
      </c>
      <c r="I108" s="75" t="n">
        <v>-0.6475762980181552</v>
      </c>
      <c r="J108" s="75" t="n">
        <v>0.9526354693807926</v>
      </c>
    </row>
    <row r="109" ht="16" customHeight="1">
      <c r="A109" s="96" t="inlineStr"/>
      <c r="B109" s="20" t="inlineStr">
        <is>
          <t>YoY Rev Growth</t>
        </is>
      </c>
      <c r="C109" s="47" t="n"/>
      <c r="D109" s="47" t="n"/>
      <c r="E109" s="47" t="n"/>
      <c r="F109" s="47" t="n"/>
      <c r="G109" s="71" t="n">
        <v>0.2779192630723381</v>
      </c>
      <c r="H109" s="71" t="n">
        <v>0.02274916483921874</v>
      </c>
      <c r="I109" s="71" t="n">
        <v>-0.6239844351321303</v>
      </c>
      <c r="J109" s="71" t="n">
        <v>0.1563404943093811</v>
      </c>
    </row>
    <row r="110" ht="8" customHeight="1"/>
    <row r="111" ht="18" customHeight="1">
      <c r="A111" s="94" t="inlineStr">
        <is>
          <t>ARRY  —  Array Technologies, Inc.</t>
        </is>
      </c>
      <c r="C111" s="37" t="inlineStr">
        <is>
          <t>Small Cap</t>
        </is>
      </c>
      <c r="D111" s="74" t="inlineStr">
        <is>
          <t>Mkt Cap: $742M</t>
        </is>
      </c>
      <c r="E111" s="95" t="n"/>
      <c r="F111" s="95" t="n"/>
      <c r="G111" s="95" t="n"/>
      <c r="H111" s="95" t="n"/>
      <c r="I111" s="95" t="n"/>
      <c r="J111" s="95" t="n"/>
      <c r="K111" s="95" t="n"/>
    </row>
    <row r="112" ht="16" customHeight="1">
      <c r="A112" s="96" t="inlineStr"/>
      <c r="B112" s="18" t="inlineStr">
        <is>
          <t>Quarter</t>
        </is>
      </c>
      <c r="C112" s="18" t="inlineStr">
        <is>
          <t>2024-03-31</t>
        </is>
      </c>
      <c r="D112" s="18" t="inlineStr">
        <is>
          <t>2024-06-30</t>
        </is>
      </c>
      <c r="E112" s="18" t="inlineStr">
        <is>
          <t>2024-09-30</t>
        </is>
      </c>
      <c r="F112" s="18" t="inlineStr">
        <is>
          <t>2024-12-31</t>
        </is>
      </c>
      <c r="G112" s="18" t="inlineStr">
        <is>
          <t>2025-03-31</t>
        </is>
      </c>
      <c r="H112" s="18" t="inlineStr">
        <is>
          <t>2025-06-30</t>
        </is>
      </c>
      <c r="I112" s="18" t="inlineStr">
        <is>
          <t>2025-09-30</t>
        </is>
      </c>
      <c r="J112" s="18" t="inlineStr">
        <is>
          <t>2025-12-31</t>
        </is>
      </c>
    </row>
    <row r="113" ht="16" customHeight="1">
      <c r="A113" s="96" t="inlineStr"/>
      <c r="B113" s="66" t="inlineStr">
        <is>
          <t>Revenue ($M)</t>
        </is>
      </c>
      <c r="C113" s="97" t="n">
        <v>153.403</v>
      </c>
      <c r="D113" s="97" t="n">
        <v>255.766</v>
      </c>
      <c r="E113" s="97" t="n">
        <v>231.406</v>
      </c>
      <c r="F113" s="97" t="n">
        <v>275.232</v>
      </c>
      <c r="G113" s="97" t="n">
        <v>302.363</v>
      </c>
      <c r="H113" s="97" t="n">
        <v>362.243</v>
      </c>
      <c r="I113" s="97" t="n">
        <v>393.491</v>
      </c>
      <c r="J113" s="97" t="n">
        <v>226.044</v>
      </c>
    </row>
    <row r="114" ht="16" customHeight="1">
      <c r="A114" s="96" t="inlineStr"/>
      <c r="B114" s="94" t="inlineStr">
        <is>
          <t>Gross Margin %</t>
        </is>
      </c>
      <c r="C114" s="71" t="n">
        <v>0.359</v>
      </c>
      <c r="D114" s="71" t="n">
        <v>0.336</v>
      </c>
      <c r="E114" s="71" t="n">
        <v>0.338</v>
      </c>
      <c r="F114" s="71" t="n">
        <v>0.285</v>
      </c>
      <c r="G114" s="71" t="n">
        <v>0.253</v>
      </c>
      <c r="H114" s="71" t="n">
        <v>0.268</v>
      </c>
      <c r="I114" s="71" t="n">
        <v>0.269</v>
      </c>
      <c r="J114" s="71" t="n">
        <v>0.08599999999999999</v>
      </c>
    </row>
    <row r="115" ht="16" customHeight="1">
      <c r="A115" s="96" t="inlineStr"/>
      <c r="B115" s="26" t="inlineStr">
        <is>
          <t>QoQ Rev Growth</t>
        </is>
      </c>
      <c r="C115" s="49" t="n"/>
      <c r="D115" s="75" t="n">
        <v>0.6672816046622295</v>
      </c>
      <c r="E115" s="75" t="n">
        <v>-0.09524330833652636</v>
      </c>
      <c r="F115" s="75" t="n">
        <v>0.1893900763160851</v>
      </c>
      <c r="G115" s="75" t="n">
        <v>0.09857502034647134</v>
      </c>
      <c r="H115" s="75" t="n">
        <v>0.1980401041132678</v>
      </c>
      <c r="I115" s="75" t="n">
        <v>0.08626253647413476</v>
      </c>
      <c r="J115" s="75" t="n">
        <v>-0.4255421343817267</v>
      </c>
    </row>
    <row r="116" ht="16" customHeight="1">
      <c r="A116" s="96" t="inlineStr"/>
      <c r="B116" s="20" t="inlineStr">
        <is>
          <t>YoY Rev Growth</t>
        </is>
      </c>
      <c r="C116" s="47" t="n"/>
      <c r="D116" s="47" t="n"/>
      <c r="E116" s="47" t="n"/>
      <c r="F116" s="47" t="n"/>
      <c r="G116" s="71" t="n">
        <v>0.9710370722867219</v>
      </c>
      <c r="H116" s="71" t="n">
        <v>0.4163063112376156</v>
      </c>
      <c r="I116" s="71" t="n">
        <v>0.7004355980398088</v>
      </c>
      <c r="J116" s="71" t="n">
        <v>-0.1787146843390303</v>
      </c>
    </row>
    <row r="117" ht="8" customHeight="1"/>
    <row r="118" ht="18" customHeight="1">
      <c r="A118" s="94" t="inlineStr">
        <is>
          <t>EVLV  —  Evolv Technologies Holdings, Inc.</t>
        </is>
      </c>
      <c r="C118" s="37" t="inlineStr">
        <is>
          <t>Small Cap</t>
        </is>
      </c>
      <c r="D118" s="74" t="inlineStr">
        <is>
          <t>Mkt Cap: $913M</t>
        </is>
      </c>
      <c r="E118" s="95" t="n"/>
      <c r="F118" s="95" t="n"/>
      <c r="G118" s="95" t="n"/>
      <c r="H118" s="95" t="n"/>
      <c r="I118" s="95" t="n"/>
      <c r="J118" s="95" t="n"/>
      <c r="K118" s="95" t="n"/>
    </row>
    <row r="119" ht="16" customHeight="1">
      <c r="A119" s="96"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6" t="inlineStr"/>
      <c r="B120" s="66" t="inlineStr">
        <is>
          <t>Revenue ($M)</t>
        </is>
      </c>
      <c r="C120" s="97" t="n">
        <v>22.181</v>
      </c>
      <c r="D120" s="97" t="n">
        <v>25.54</v>
      </c>
      <c r="E120" s="97" t="n">
        <v>27.36</v>
      </c>
      <c r="F120" s="97" t="n">
        <v>29.1</v>
      </c>
      <c r="G120" s="97" t="n">
        <v>32.007</v>
      </c>
      <c r="H120" s="97" t="n">
        <v>32.544</v>
      </c>
      <c r="I120" s="97" t="n">
        <v>42.85</v>
      </c>
      <c r="J120" s="97" t="n">
        <v>38.504</v>
      </c>
    </row>
    <row r="121" ht="16" customHeight="1">
      <c r="A121" s="96" t="inlineStr"/>
      <c r="B121" s="94" t="inlineStr">
        <is>
          <t>Gross Margin %</t>
        </is>
      </c>
      <c r="C121" s="71" t="n">
        <v>0.5479999999999999</v>
      </c>
      <c r="D121" s="71" t="n">
        <v>0.5670000000000001</v>
      </c>
      <c r="E121" s="71" t="n">
        <v>0.578</v>
      </c>
      <c r="F121" s="71" t="n">
        <v>0.575</v>
      </c>
      <c r="G121" s="71" t="n">
        <v>0.598</v>
      </c>
      <c r="H121" s="71" t="n">
        <v>0.498</v>
      </c>
      <c r="I121" s="71" t="n">
        <v>0.4970000000000001</v>
      </c>
      <c r="J121" s="71" t="n">
        <v>0.484</v>
      </c>
    </row>
    <row r="122" ht="16" customHeight="1">
      <c r="A122" s="96" t="inlineStr"/>
      <c r="B122" s="26" t="inlineStr">
        <is>
          <t>QoQ Rev Growth</t>
        </is>
      </c>
      <c r="C122" s="49" t="n"/>
      <c r="D122" s="75" t="n">
        <v>0.1514359136197647</v>
      </c>
      <c r="E122" s="75" t="n">
        <v>0.07126076742364917</v>
      </c>
      <c r="F122" s="75" t="n">
        <v>0.06359649122807018</v>
      </c>
      <c r="G122" s="75" t="n">
        <v>0.09989690721649484</v>
      </c>
      <c r="H122" s="75" t="n">
        <v>0.01677757990439591</v>
      </c>
      <c r="I122" s="75" t="n">
        <v>0.3166789577187807</v>
      </c>
      <c r="J122" s="75" t="n">
        <v>-0.1014235705950992</v>
      </c>
    </row>
    <row r="123" ht="16" customHeight="1">
      <c r="A123" s="96" t="inlineStr"/>
      <c r="B123" s="20" t="inlineStr">
        <is>
          <t>YoY Rev Growth</t>
        </is>
      </c>
      <c r="C123" s="47" t="n"/>
      <c r="D123" s="47" t="n"/>
      <c r="E123" s="47" t="n"/>
      <c r="F123" s="47" t="n"/>
      <c r="G123" s="71" t="n">
        <v>0.4429917496956855</v>
      </c>
      <c r="H123" s="71" t="n">
        <v>0.2742364917776038</v>
      </c>
      <c r="I123" s="71" t="n">
        <v>0.5661549707602339</v>
      </c>
      <c r="J123" s="71" t="n">
        <v>0.3231615120274914</v>
      </c>
    </row>
    <row r="124" ht="8" customHeight="1"/>
    <row r="125" ht="18" customHeight="1">
      <c r="A125" s="94" t="inlineStr">
        <is>
          <t>GHM  —  Graham Corporation</t>
        </is>
      </c>
      <c r="C125" s="37" t="inlineStr">
        <is>
          <t>Small Cap</t>
        </is>
      </c>
      <c r="D125" s="74" t="inlineStr">
        <is>
          <t>Mkt Cap: $1047M</t>
        </is>
      </c>
      <c r="E125" s="95" t="n"/>
      <c r="F125" s="95" t="n"/>
      <c r="G125" s="95" t="n"/>
      <c r="H125" s="95" t="n"/>
      <c r="I125" s="95" t="n"/>
      <c r="J125" s="95" t="n"/>
      <c r="K125" s="95" t="n"/>
    </row>
    <row r="126" ht="16" customHeight="1">
      <c r="A126" s="96"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6" t="inlineStr"/>
      <c r="B127" s="66" t="inlineStr">
        <is>
          <t>Revenue ($M)</t>
        </is>
      </c>
      <c r="C127" s="97" t="n">
        <v>49.07</v>
      </c>
      <c r="D127" s="97" t="n">
        <v>49.951</v>
      </c>
      <c r="E127" s="97" t="n">
        <v>53.563</v>
      </c>
      <c r="F127" s="97" t="n">
        <v>47.037</v>
      </c>
      <c r="G127" s="97" t="n">
        <v>59.345</v>
      </c>
      <c r="H127" s="97" t="n">
        <v>55.487</v>
      </c>
      <c r="I127" s="97" t="n">
        <v>66.027</v>
      </c>
      <c r="J127" s="97" t="n">
        <v>56.701</v>
      </c>
    </row>
    <row r="128" ht="16" customHeight="1">
      <c r="A128" s="96" t="inlineStr"/>
      <c r="B128" s="94" t="inlineStr">
        <is>
          <t>Gross Margin %</t>
        </is>
      </c>
      <c r="C128" s="71" t="n">
        <v>0.259</v>
      </c>
      <c r="D128" s="71" t="n">
        <v>0.248</v>
      </c>
      <c r="E128" s="71" t="n">
        <v>0.239</v>
      </c>
      <c r="F128" s="71" t="n">
        <v>0.248</v>
      </c>
      <c r="G128" s="71" t="n">
        <v>0.27</v>
      </c>
      <c r="H128" s="71" t="n">
        <v>0.265</v>
      </c>
      <c r="I128" s="71" t="n">
        <v>0.217</v>
      </c>
      <c r="J128" s="71" t="n">
        <v>0.23</v>
      </c>
    </row>
    <row r="129" ht="16" customHeight="1">
      <c r="A129" s="96" t="inlineStr"/>
      <c r="B129" s="26" t="inlineStr">
        <is>
          <t>QoQ Rev Growth</t>
        </is>
      </c>
      <c r="C129" s="49" t="n"/>
      <c r="D129" s="75" t="n">
        <v>0.01795394334624006</v>
      </c>
      <c r="E129" s="75" t="n">
        <v>0.07231086464735441</v>
      </c>
      <c r="F129" s="75" t="n">
        <v>-0.1218378358195023</v>
      </c>
      <c r="G129" s="75" t="n">
        <v>0.2616663477687778</v>
      </c>
      <c r="H129" s="75" t="n">
        <v>-0.06500968910607464</v>
      </c>
      <c r="I129" s="75" t="n">
        <v>0.189954403734208</v>
      </c>
      <c r="J129" s="75" t="n">
        <v>-0.1412452481560574</v>
      </c>
    </row>
    <row r="130" ht="16" customHeight="1">
      <c r="A130" s="96" t="inlineStr"/>
      <c r="B130" s="20" t="inlineStr">
        <is>
          <t>YoY Rev Growth</t>
        </is>
      </c>
      <c r="C130" s="47" t="n"/>
      <c r="D130" s="47" t="n"/>
      <c r="E130" s="47" t="n"/>
      <c r="F130" s="47" t="n"/>
      <c r="G130" s="71" t="n">
        <v>0.2093947422050133</v>
      </c>
      <c r="H130" s="71" t="n">
        <v>0.110828612039799</v>
      </c>
      <c r="I130" s="71" t="n">
        <v>0.2326979444765976</v>
      </c>
      <c r="J130" s="71" t="n">
        <v>0.2054552798860471</v>
      </c>
    </row>
    <row r="131" ht="8" customHeight="1"/>
    <row r="132" ht="18" customHeight="1">
      <c r="A132" s="94" t="inlineStr">
        <is>
          <t>NNDM  —  Nano Dimension Ltd.</t>
        </is>
      </c>
      <c r="C132" s="37" t="inlineStr">
        <is>
          <t>Small Cap</t>
        </is>
      </c>
      <c r="D132" s="74" t="inlineStr">
        <is>
          <t>Mkt Cap: $327M</t>
        </is>
      </c>
      <c r="E132" s="95" t="n"/>
      <c r="F132" s="95" t="n"/>
      <c r="G132" s="95" t="n"/>
      <c r="H132" s="95" t="n"/>
      <c r="I132" s="95" t="n"/>
      <c r="J132" s="95" t="n"/>
      <c r="K132" s="95" t="n"/>
    </row>
    <row r="133" ht="16" customHeight="1">
      <c r="A133" s="96"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6" t="inlineStr"/>
      <c r="B134" s="66" t="inlineStr">
        <is>
          <t>Revenue ($M)</t>
        </is>
      </c>
      <c r="C134" s="97" t="n">
        <v>13.364</v>
      </c>
      <c r="D134" s="97" t="n">
        <v>14.986</v>
      </c>
      <c r="E134" s="97" t="n">
        <v>14.856</v>
      </c>
      <c r="F134" s="97" t="n">
        <v>14.569</v>
      </c>
      <c r="G134" s="97" t="n">
        <v>14.401</v>
      </c>
      <c r="H134" s="97" t="n">
        <v>25.837</v>
      </c>
      <c r="I134" s="97" t="n">
        <v>26.884</v>
      </c>
      <c r="J134" s="97" t="n">
        <v>35.315</v>
      </c>
    </row>
    <row r="135" ht="16" customHeight="1">
      <c r="A135" s="96" t="inlineStr"/>
      <c r="B135" s="94" t="inlineStr">
        <is>
          <t>Gross Margin %</t>
        </is>
      </c>
      <c r="C135" s="71" t="n">
        <v>0.462</v>
      </c>
      <c r="D135" s="71" t="n">
        <v>0.447</v>
      </c>
      <c r="E135" s="71" t="n">
        <v>0.48</v>
      </c>
      <c r="F135" s="71" t="n">
        <v>0.333</v>
      </c>
      <c r="G135" s="71" t="n">
        <v>0.406</v>
      </c>
      <c r="H135" s="71" t="n">
        <v>0.273</v>
      </c>
      <c r="I135" s="71" t="n">
        <v>0.303</v>
      </c>
      <c r="J135" s="71" t="n">
        <v>0.377</v>
      </c>
    </row>
    <row r="136" ht="16" customHeight="1">
      <c r="A136" s="96" t="inlineStr"/>
      <c r="B136" s="26" t="inlineStr">
        <is>
          <t>QoQ Rev Growth</t>
        </is>
      </c>
      <c r="C136" s="49" t="n"/>
      <c r="D136" s="75" t="n">
        <v>0.1213708470517809</v>
      </c>
      <c r="E136" s="75" t="n">
        <v>-0.008674763112238089</v>
      </c>
      <c r="F136" s="75" t="n">
        <v>-0.01931879375336564</v>
      </c>
      <c r="G136" s="75" t="n">
        <v>-0.01153133365364816</v>
      </c>
      <c r="H136" s="75" t="n">
        <v>0.794111520033331</v>
      </c>
      <c r="I136" s="75" t="n">
        <v>0.04052328056662925</v>
      </c>
      <c r="J136" s="75" t="n">
        <v>0.3136066061597976</v>
      </c>
    </row>
    <row r="137" ht="16" customHeight="1">
      <c r="A137" s="96" t="inlineStr"/>
      <c r="B137" s="20" t="inlineStr">
        <is>
          <t>YoY Rev Growth</t>
        </is>
      </c>
      <c r="C137" s="47" t="n"/>
      <c r="D137" s="47" t="n"/>
      <c r="E137" s="47" t="n"/>
      <c r="F137" s="47" t="n"/>
      <c r="G137" s="71" t="n">
        <v>0.07759652798563305</v>
      </c>
      <c r="H137" s="71" t="n">
        <v>0.7240758040838116</v>
      </c>
      <c r="I137" s="71" t="n">
        <v>0.8096392030156165</v>
      </c>
      <c r="J137" s="71" t="n">
        <v>1.423982428443956</v>
      </c>
    </row>
    <row r="138" ht="8" customHeight="1"/>
    <row r="139" ht="18" customHeight="1">
      <c r="A139" s="94" t="inlineStr">
        <is>
          <t>ADTN  —  ADTRAN Holdings Inc.</t>
        </is>
      </c>
      <c r="C139" s="37" t="inlineStr">
        <is>
          <t>Small Cap</t>
        </is>
      </c>
      <c r="D139" s="74" t="inlineStr">
        <is>
          <t>Mkt Cap: $608M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226.173</v>
      </c>
      <c r="D141" s="97" t="n">
        <v>225.991</v>
      </c>
      <c r="E141" s="97" t="n">
        <v>227.704</v>
      </c>
      <c r="F141" s="97" t="n">
        <v>242.852</v>
      </c>
      <c r="G141" s="97" t="n">
        <v>247.744</v>
      </c>
      <c r="H141" s="97" t="n">
        <v>265.068</v>
      </c>
      <c r="I141" s="97" t="n">
        <v>279.435</v>
      </c>
      <c r="J141" s="97" t="n">
        <v>291.56</v>
      </c>
    </row>
    <row r="142" ht="16" customHeight="1">
      <c r="A142" s="96" t="inlineStr"/>
      <c r="B142" s="94" t="inlineStr">
        <is>
          <t>Gross Margin %</t>
        </is>
      </c>
      <c r="C142" s="71" t="n">
        <v>0.311</v>
      </c>
      <c r="D142" s="71" t="n">
        <v>0.361</v>
      </c>
      <c r="E142" s="71" t="n">
        <v>0.374</v>
      </c>
      <c r="F142" s="71" t="n">
        <v>0.376</v>
      </c>
      <c r="G142" s="71" t="n">
        <v>0.384</v>
      </c>
      <c r="H142" s="71" t="n">
        <v>0.373</v>
      </c>
      <c r="I142" s="71" t="n">
        <v>0.383</v>
      </c>
      <c r="J142" s="71" t="n">
        <v>0.39</v>
      </c>
    </row>
    <row r="143" ht="16" customHeight="1">
      <c r="A143" s="96" t="inlineStr"/>
      <c r="B143" s="26" t="inlineStr">
        <is>
          <t>QoQ Rev Growth</t>
        </is>
      </c>
      <c r="C143" s="49" t="n"/>
      <c r="D143" s="75" t="n">
        <v>-0.000804693752127796</v>
      </c>
      <c r="E143" s="75" t="n">
        <v>0.007579947874030382</v>
      </c>
      <c r="F143" s="75" t="n">
        <v>0.06652496223166919</v>
      </c>
      <c r="G143" s="75" t="n">
        <v>0.02014395598965625</v>
      </c>
      <c r="H143" s="75" t="n">
        <v>0.06992702144148799</v>
      </c>
      <c r="I143" s="75" t="n">
        <v>0.05420118611073385</v>
      </c>
      <c r="J143" s="75" t="n">
        <v>0.04339112852720668</v>
      </c>
    </row>
    <row r="144" ht="16" customHeight="1">
      <c r="A144" s="96" t="inlineStr"/>
      <c r="B144" s="20" t="inlineStr">
        <is>
          <t>YoY Rev Growth</t>
        </is>
      </c>
      <c r="C144" s="47" t="n"/>
      <c r="D144" s="47" t="n"/>
      <c r="E144" s="47" t="n"/>
      <c r="F144" s="47" t="n"/>
      <c r="G144" s="71" t="n">
        <v>0.09537389520411367</v>
      </c>
      <c r="H144" s="71" t="n">
        <v>0.1729139656004</v>
      </c>
      <c r="I144" s="71" t="n">
        <v>0.2271852931876471</v>
      </c>
      <c r="J144" s="71" t="n">
        <v>0.2005666002338873</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CALX  —  Calix, Inc.</t>
        </is>
      </c>
      <c r="C147" s="37" t="inlineStr">
        <is>
          <t>Breakout</t>
        </is>
      </c>
      <c r="D147" s="74" t="inlineStr">
        <is>
          <t>Mkt Cap: $2220M</t>
        </is>
      </c>
      <c r="E147" s="95" t="n"/>
      <c r="F147" s="95" t="n"/>
      <c r="G147" s="95" t="n"/>
      <c r="H147" s="95" t="n"/>
      <c r="I147" s="95" t="n"/>
      <c r="J147" s="95" t="n"/>
      <c r="K147" s="95" t="n"/>
    </row>
    <row r="148" ht="16" customHeight="1">
      <c r="A148" s="96" t="inlineStr"/>
      <c r="B148" s="18" t="inlineStr">
        <is>
          <t>Quarter</t>
        </is>
      </c>
      <c r="C148" s="18" t="inlineStr">
        <is>
          <t>2024-03-30</t>
        </is>
      </c>
      <c r="D148" s="18" t="inlineStr">
        <is>
          <t>2024-06-29</t>
        </is>
      </c>
      <c r="E148" s="18" t="inlineStr">
        <is>
          <t>2024-09-28</t>
        </is>
      </c>
      <c r="F148" s="18" t="inlineStr">
        <is>
          <t>2024-12-31</t>
        </is>
      </c>
      <c r="G148" s="18" t="inlineStr">
        <is>
          <t>2025-03-29</t>
        </is>
      </c>
      <c r="H148" s="18" t="inlineStr">
        <is>
          <t>2025-06-28</t>
        </is>
      </c>
      <c r="I148" s="18" t="inlineStr">
        <is>
          <t>2025-09-27</t>
        </is>
      </c>
      <c r="J148" s="18" t="inlineStr">
        <is>
          <t>2025-12-31</t>
        </is>
      </c>
    </row>
    <row r="149" ht="16" customHeight="1">
      <c r="A149" s="96" t="inlineStr"/>
      <c r="B149" s="66" t="inlineStr">
        <is>
          <t>Revenue ($M)</t>
        </is>
      </c>
      <c r="C149" s="97" t="n">
        <v>226.31</v>
      </c>
      <c r="D149" s="97" t="n">
        <v>198.139</v>
      </c>
      <c r="E149" s="97" t="n">
        <v>200.945</v>
      </c>
      <c r="F149" s="97" t="n">
        <v>206.124</v>
      </c>
      <c r="G149" s="97" t="n">
        <v>220.242</v>
      </c>
      <c r="H149" s="97" t="n">
        <v>241.882</v>
      </c>
      <c r="I149" s="97" t="n">
        <v>265.437</v>
      </c>
      <c r="J149" s="97" t="n">
        <v>272.449</v>
      </c>
    </row>
    <row r="150" ht="16" customHeight="1">
      <c r="A150" s="96" t="inlineStr"/>
      <c r="B150" s="94" t="inlineStr">
        <is>
          <t>Gross Margin %</t>
        </is>
      </c>
      <c r="C150" s="71" t="n">
        <v>0.542</v>
      </c>
      <c r="D150" s="71" t="n">
        <v>0.5429999999999999</v>
      </c>
      <c r="E150" s="71" t="n">
        <v>0.5479999999999999</v>
      </c>
      <c r="F150" s="71" t="n">
        <v>0.55</v>
      </c>
      <c r="G150" s="71" t="n">
        <v>0.5570000000000001</v>
      </c>
      <c r="H150" s="71" t="n">
        <v>0.5629999999999999</v>
      </c>
      <c r="I150" s="71" t="n">
        <v>0.573</v>
      </c>
      <c r="J150" s="71" t="n">
        <v>0.5770000000000001</v>
      </c>
    </row>
    <row r="151" ht="16" customHeight="1">
      <c r="A151" s="96" t="inlineStr"/>
      <c r="B151" s="26" t="inlineStr">
        <is>
          <t>QoQ Rev Growth</t>
        </is>
      </c>
      <c r="C151" s="49" t="n"/>
      <c r="D151" s="75" t="n">
        <v>-0.1244796959922231</v>
      </c>
      <c r="E151" s="75" t="n">
        <v>0.01416177531934652</v>
      </c>
      <c r="F151" s="75" t="n">
        <v>0.02577322152827888</v>
      </c>
      <c r="G151" s="75" t="n">
        <v>0.06849275193572801</v>
      </c>
      <c r="H151" s="75" t="n">
        <v>0.09825555525285821</v>
      </c>
      <c r="I151" s="75" t="n">
        <v>0.09738219462382484</v>
      </c>
      <c r="J151" s="75" t="n">
        <v>0.02641681453602927</v>
      </c>
    </row>
    <row r="152" ht="16" customHeight="1">
      <c r="A152" s="96" t="inlineStr"/>
      <c r="B152" s="20" t="inlineStr">
        <is>
          <t>YoY Rev Growth</t>
        </is>
      </c>
      <c r="C152" s="47" t="n"/>
      <c r="D152" s="47" t="n"/>
      <c r="E152" s="47" t="n"/>
      <c r="F152" s="47" t="n"/>
      <c r="G152" s="71" t="n">
        <v>-0.02681277893155406</v>
      </c>
      <c r="H152" s="71" t="n">
        <v>0.2207692579451799</v>
      </c>
      <c r="I152" s="71" t="n">
        <v>0.3209435417651596</v>
      </c>
      <c r="J152" s="71" t="n">
        <v>0.3217723312181017</v>
      </c>
    </row>
    <row r="153" ht="8" customHeight="1"/>
    <row r="154" ht="18" customHeight="1">
      <c r="A154" s="94" t="inlineStr">
        <is>
          <t>ADEA  —  Adeia Inc.</t>
        </is>
      </c>
      <c r="C154" s="37" t="inlineStr">
        <is>
          <t>Breakout</t>
        </is>
      </c>
      <c r="D154" s="74" t="inlineStr">
        <is>
          <t>Mkt Cap: $2999M</t>
        </is>
      </c>
      <c r="E154" s="95" t="n"/>
      <c r="F154" s="95" t="n"/>
      <c r="G154" s="95" t="n"/>
      <c r="H154" s="95" t="n"/>
      <c r="I154" s="95" t="n"/>
      <c r="J154" s="95" t="n"/>
      <c r="K154" s="95" t="n"/>
    </row>
    <row r="155" ht="16" customHeight="1">
      <c r="A155" s="96" t="inlineStr"/>
      <c r="B155" s="18" t="inlineStr">
        <is>
          <t>Quarter</t>
        </is>
      </c>
      <c r="C155" s="18" t="inlineStr">
        <is>
          <t>2024-03-31</t>
        </is>
      </c>
      <c r="D155" s="18" t="inlineStr">
        <is>
          <t>2024-06-30</t>
        </is>
      </c>
      <c r="E155" s="18" t="inlineStr">
        <is>
          <t>2024-09-30</t>
        </is>
      </c>
      <c r="F155" s="18" t="inlineStr">
        <is>
          <t>2024-12-31</t>
        </is>
      </c>
      <c r="G155" s="18" t="inlineStr">
        <is>
          <t>2025-03-31</t>
        </is>
      </c>
      <c r="H155" s="18" t="inlineStr">
        <is>
          <t>2025-06-30</t>
        </is>
      </c>
      <c r="I155" s="18" t="inlineStr">
        <is>
          <t>2025-09-30</t>
        </is>
      </c>
      <c r="J155" s="18" t="inlineStr">
        <is>
          <t>2025-12-31</t>
        </is>
      </c>
    </row>
    <row r="156" ht="16" customHeight="1">
      <c r="A156" s="96" t="inlineStr"/>
      <c r="B156" s="66" t="inlineStr">
        <is>
          <t>Revenue ($M)</t>
        </is>
      </c>
      <c r="C156" s="97" t="n">
        <v>83.405</v>
      </c>
      <c r="D156" s="97" t="n">
        <v>87.34999999999999</v>
      </c>
      <c r="E156" s="97" t="n">
        <v>86.101</v>
      </c>
      <c r="F156" s="97" t="n">
        <v>119.168</v>
      </c>
      <c r="G156" s="97" t="n">
        <v>87.67</v>
      </c>
      <c r="H156" s="97" t="n">
        <v>85.735</v>
      </c>
      <c r="I156" s="97" t="n">
        <v>87.339</v>
      </c>
      <c r="J156" s="97" t="n">
        <v>182.642</v>
      </c>
    </row>
    <row r="157" ht="16" customHeight="1">
      <c r="A157" s="96" t="inlineStr"/>
      <c r="B157" s="94" t="inlineStr">
        <is>
          <t>Gross Margin %</t>
        </is>
      </c>
      <c r="C157" s="71" t="n">
        <v>0.716</v>
      </c>
      <c r="D157" s="71" t="n">
        <v>0.765</v>
      </c>
      <c r="E157" s="71" t="n">
        <v>0.836</v>
      </c>
      <c r="F157" s="71" t="n">
        <v>0.879</v>
      </c>
      <c r="G157" s="71" t="n">
        <v>0.8340000000000001</v>
      </c>
      <c r="H157" s="71" t="n">
        <v>0.8290000000000001</v>
      </c>
      <c r="I157" s="71" t="n">
        <v>0.8320000000000001</v>
      </c>
      <c r="J157" s="71" t="n">
        <v>0.922</v>
      </c>
    </row>
    <row r="158" ht="16" customHeight="1">
      <c r="A158" s="96" t="inlineStr"/>
      <c r="B158" s="26" t="inlineStr">
        <is>
          <t>QoQ Rev Growth</t>
        </is>
      </c>
      <c r="C158" s="49" t="n"/>
      <c r="D158" s="75" t="n">
        <v>0.04729932258257898</v>
      </c>
      <c r="E158" s="75" t="n">
        <v>-0.01429879793932456</v>
      </c>
      <c r="F158" s="75" t="n">
        <v>0.3840489657495267</v>
      </c>
      <c r="G158" s="75" t="n">
        <v>-0.2643159237379162</v>
      </c>
      <c r="H158" s="75" t="n">
        <v>-0.02207140412912056</v>
      </c>
      <c r="I158" s="75" t="n">
        <v>0.01870881203709104</v>
      </c>
      <c r="J158" s="75" t="n">
        <v>1.091184923115676</v>
      </c>
    </row>
    <row r="159" ht="16" customHeight="1">
      <c r="A159" s="96" t="inlineStr"/>
      <c r="B159" s="20" t="inlineStr">
        <is>
          <t>YoY Rev Growth</t>
        </is>
      </c>
      <c r="C159" s="47" t="n"/>
      <c r="D159" s="47" t="n"/>
      <c r="E159" s="47" t="n"/>
      <c r="F159" s="47" t="n"/>
      <c r="G159" s="71" t="n">
        <v>0.05113602302020263</v>
      </c>
      <c r="H159" s="71" t="n">
        <v>-0.01848883800801374</v>
      </c>
      <c r="I159" s="71" t="n">
        <v>0.0143784625033391</v>
      </c>
      <c r="J159" s="71" t="n">
        <v>0.5326429914070892</v>
      </c>
    </row>
    <row r="160" ht="8" customHeight="1"/>
    <row r="161" ht="18" customHeight="1">
      <c r="A161" s="94" t="inlineStr">
        <is>
          <t>DCI  —  Donaldson Company, Inc.</t>
        </is>
      </c>
      <c r="C161" s="37" t="inlineStr">
        <is>
          <t>Breakout</t>
        </is>
      </c>
      <c r="D161" s="74" t="inlineStr">
        <is>
          <t>Mkt Cap: $10619M</t>
        </is>
      </c>
      <c r="E161" s="95" t="n"/>
      <c r="F161" s="95" t="n"/>
      <c r="G161" s="95" t="n"/>
      <c r="H161" s="95" t="n"/>
      <c r="I161" s="95" t="n"/>
      <c r="J161" s="95" t="n"/>
      <c r="K161" s="95" t="n"/>
    </row>
    <row r="162" ht="16" customHeight="1">
      <c r="A162" s="96" t="inlineStr"/>
      <c r="B162" s="18" t="inlineStr">
        <is>
          <t>Quarter</t>
        </is>
      </c>
      <c r="C162" s="18" t="inlineStr">
        <is>
          <t>2024-04-30</t>
        </is>
      </c>
      <c r="D162" s="18" t="inlineStr">
        <is>
          <t>2024-07-31</t>
        </is>
      </c>
      <c r="E162" s="18" t="inlineStr">
        <is>
          <t>2024-10-31</t>
        </is>
      </c>
      <c r="F162" s="18" t="inlineStr">
        <is>
          <t>2025-01-31</t>
        </is>
      </c>
      <c r="G162" s="18" t="inlineStr">
        <is>
          <t>2025-04-30</t>
        </is>
      </c>
      <c r="H162" s="18" t="inlineStr">
        <is>
          <t>2025-07-31</t>
        </is>
      </c>
      <c r="I162" s="18" t="inlineStr">
        <is>
          <t>2025-10-31</t>
        </is>
      </c>
      <c r="J162" s="18" t="inlineStr">
        <is>
          <t>2026-01-31</t>
        </is>
      </c>
    </row>
    <row r="163" ht="16" customHeight="1">
      <c r="A163" s="96" t="inlineStr"/>
      <c r="B163" s="66" t="inlineStr">
        <is>
          <t>Revenue ($M)</t>
        </is>
      </c>
      <c r="C163" s="97" t="n">
        <v>927.9</v>
      </c>
      <c r="D163" s="97" t="n">
        <v>935.4</v>
      </c>
      <c r="E163" s="97" t="n">
        <v>900.1</v>
      </c>
      <c r="F163" s="97" t="n">
        <v>870</v>
      </c>
      <c r="G163" s="97" t="n">
        <v>940.1</v>
      </c>
      <c r="H163" s="97" t="n">
        <v>980.7</v>
      </c>
      <c r="I163" s="97" t="n">
        <v>935.4</v>
      </c>
      <c r="J163" s="97" t="n">
        <v>896.3</v>
      </c>
    </row>
    <row r="164" ht="16" customHeight="1">
      <c r="A164" s="96" t="inlineStr"/>
      <c r="B164" s="94" t="inlineStr">
        <is>
          <t>Gross Margin %</t>
        </is>
      </c>
      <c r="C164" s="71" t="n">
        <v>0.352</v>
      </c>
      <c r="D164" s="71" t="n">
        <v>0.358</v>
      </c>
      <c r="E164" s="71" t="n">
        <v>0.355</v>
      </c>
      <c r="F164" s="71" t="n">
        <v>0.352</v>
      </c>
      <c r="G164" s="71" t="n">
        <v>0.342</v>
      </c>
      <c r="H164" s="71" t="n">
        <v>0.345</v>
      </c>
      <c r="I164" s="71" t="n">
        <v>0.352</v>
      </c>
      <c r="J164" s="71" t="n">
        <v>0.334</v>
      </c>
    </row>
    <row r="165" ht="16" customHeight="1">
      <c r="A165" s="96" t="inlineStr"/>
      <c r="B165" s="26" t="inlineStr">
        <is>
          <t>QoQ Rev Growth</t>
        </is>
      </c>
      <c r="C165" s="49" t="n"/>
      <c r="D165" s="75" t="n">
        <v>0.008082767539605561</v>
      </c>
      <c r="E165" s="75" t="n">
        <v>-0.03773786615351721</v>
      </c>
      <c r="F165" s="75" t="n">
        <v>-0.03344072880791023</v>
      </c>
      <c r="G165" s="75" t="n">
        <v>0.08057471264367816</v>
      </c>
      <c r="H165" s="75" t="n">
        <v>0.04318689501116903</v>
      </c>
      <c r="I165" s="75" t="n">
        <v>-0.04619149587029673</v>
      </c>
      <c r="J165" s="75" t="n">
        <v>-0.04180029933718196</v>
      </c>
    </row>
    <row r="166" ht="16" customHeight="1">
      <c r="A166" s="96" t="inlineStr"/>
      <c r="B166" s="20" t="inlineStr">
        <is>
          <t>YoY Rev Growth</t>
        </is>
      </c>
      <c r="C166" s="47" t="n"/>
      <c r="D166" s="47" t="n"/>
      <c r="E166" s="47" t="n"/>
      <c r="F166" s="47" t="n"/>
      <c r="G166" s="71" t="n">
        <v>0.01314796853109171</v>
      </c>
      <c r="H166" s="71" t="n">
        <v>0.04842847979474022</v>
      </c>
      <c r="I166" s="71" t="n">
        <v>0.03921786468170203</v>
      </c>
      <c r="J166" s="71" t="n">
        <v>0.03022988505747127</v>
      </c>
    </row>
    <row r="167" ht="8" customHeight="1"/>
    <row r="168" ht="18" customHeight="1">
      <c r="A168" s="94" t="inlineStr">
        <is>
          <t>CACI  —  CACI International Inc</t>
        </is>
      </c>
      <c r="C168" s="37" t="inlineStr">
        <is>
          <t>Breakout</t>
        </is>
      </c>
      <c r="D168" s="74" t="inlineStr">
        <is>
          <t>Mkt Cap: $13630M</t>
        </is>
      </c>
      <c r="E168" s="95" t="n"/>
      <c r="F168" s="95" t="n"/>
      <c r="G168" s="95" t="n"/>
      <c r="H168" s="95" t="n"/>
      <c r="I168" s="95" t="n"/>
      <c r="J168" s="95" t="n"/>
      <c r="K168" s="95" t="n"/>
    </row>
    <row r="169" ht="16" customHeight="1">
      <c r="A169" s="96" t="inlineStr"/>
      <c r="B169" s="18" t="inlineStr">
        <is>
          <t>Quarter</t>
        </is>
      </c>
      <c r="C169" s="18" t="inlineStr">
        <is>
          <t>2024-03-31</t>
        </is>
      </c>
      <c r="D169" s="18" t="inlineStr">
        <is>
          <t>2024-06-30</t>
        </is>
      </c>
      <c r="E169" s="18" t="inlineStr">
        <is>
          <t>2024-09-30</t>
        </is>
      </c>
      <c r="F169" s="18" t="inlineStr">
        <is>
          <t>2024-12-31</t>
        </is>
      </c>
      <c r="G169" s="18" t="inlineStr">
        <is>
          <t>2025-03-31</t>
        </is>
      </c>
      <c r="H169" s="18" t="inlineStr">
        <is>
          <t>2025-06-30</t>
        </is>
      </c>
      <c r="I169" s="18" t="inlineStr">
        <is>
          <t>2025-09-30</t>
        </is>
      </c>
      <c r="J169" s="18" t="inlineStr">
        <is>
          <t>2025-12-31</t>
        </is>
      </c>
    </row>
    <row r="170" ht="16" customHeight="1">
      <c r="A170" s="96" t="inlineStr"/>
      <c r="B170" s="66" t="inlineStr">
        <is>
          <t>Revenue ($M)</t>
        </is>
      </c>
      <c r="C170" s="97" t="n">
        <v>1937.456</v>
      </c>
      <c r="D170" s="97" t="n">
        <v>2038.295</v>
      </c>
      <c r="E170" s="97" t="n">
        <v>2056.889</v>
      </c>
      <c r="F170" s="97" t="n">
        <v>2099.809</v>
      </c>
      <c r="G170" s="97" t="n">
        <v>2166.982</v>
      </c>
      <c r="H170" s="97" t="n">
        <v>2304.144</v>
      </c>
      <c r="I170" s="97" t="n">
        <v>2287.623</v>
      </c>
      <c r="J170" s="97" t="n">
        <v>2220.097</v>
      </c>
    </row>
    <row r="171" ht="16" customHeight="1">
      <c r="A171" s="96" t="inlineStr"/>
      <c r="B171" s="94" t="inlineStr">
        <is>
          <t>Gross Margin %</t>
        </is>
      </c>
      <c r="C171" s="71" t="n">
        <v>0.094</v>
      </c>
      <c r="D171" s="71" t="n">
        <v>0.09699999999999999</v>
      </c>
      <c r="E171" s="71" t="n">
        <v>0.08699999999999999</v>
      </c>
      <c r="F171" s="71" t="n">
        <v>0.08599999999999999</v>
      </c>
      <c r="G171" s="71" t="n">
        <v>0.091</v>
      </c>
      <c r="H171" s="71" t="n">
        <v>0.09</v>
      </c>
      <c r="I171" s="71" t="n">
        <v>0.09300000000000001</v>
      </c>
      <c r="J171" s="71" t="n">
        <v>0.09300000000000001</v>
      </c>
    </row>
    <row r="172" ht="16" customHeight="1">
      <c r="A172" s="96" t="inlineStr"/>
      <c r="B172" s="26" t="inlineStr">
        <is>
          <t>QoQ Rev Growth</t>
        </is>
      </c>
      <c r="C172" s="49" t="n"/>
      <c r="D172" s="75" t="n">
        <v>0.05204711745711903</v>
      </c>
      <c r="E172" s="75" t="n">
        <v>0.00912233018282437</v>
      </c>
      <c r="F172" s="75" t="n">
        <v>0.02086646386849266</v>
      </c>
      <c r="G172" s="75" t="n">
        <v>0.03199005242857803</v>
      </c>
      <c r="H172" s="75" t="n">
        <v>0.06329632641157149</v>
      </c>
      <c r="I172" s="75" t="n">
        <v>-0.007170124783867675</v>
      </c>
      <c r="J172" s="75" t="n">
        <v>-0.02951797564546256</v>
      </c>
    </row>
    <row r="173" ht="16" customHeight="1">
      <c r="A173" s="96" t="inlineStr"/>
      <c r="B173" s="20" t="inlineStr">
        <is>
          <t>YoY Rev Growth</t>
        </is>
      </c>
      <c r="C173" s="47" t="n"/>
      <c r="D173" s="47" t="n"/>
      <c r="E173" s="47" t="n"/>
      <c r="F173" s="47" t="n"/>
      <c r="G173" s="71" t="n">
        <v>0.1184677226218299</v>
      </c>
      <c r="H173" s="71" t="n">
        <v>0.1304271462177948</v>
      </c>
      <c r="I173" s="71" t="n">
        <v>0.1121762039662811</v>
      </c>
      <c r="J173" s="71" t="n">
        <v>0.05728521022626343</v>
      </c>
    </row>
    <row r="174" ht="8" customHeight="1"/>
    <row r="175" ht="18" customHeight="1">
      <c r="A175" s="94" t="inlineStr">
        <is>
          <t>BRC  —  Brady Corporation</t>
        </is>
      </c>
      <c r="C175" s="37" t="inlineStr">
        <is>
          <t>Breakout</t>
        </is>
      </c>
      <c r="D175" s="74" t="inlineStr">
        <is>
          <t>Mkt Cap: $4140M</t>
        </is>
      </c>
      <c r="E175" s="95" t="n"/>
      <c r="F175" s="95" t="n"/>
      <c r="G175" s="95" t="n"/>
      <c r="H175" s="95" t="n"/>
      <c r="I175" s="95" t="n"/>
      <c r="J175" s="95" t="n"/>
      <c r="K175" s="95" t="n"/>
    </row>
    <row r="176" ht="16" customHeight="1">
      <c r="A176" s="96" t="inlineStr"/>
      <c r="B176" s="18" t="inlineStr">
        <is>
          <t>Quarter</t>
        </is>
      </c>
      <c r="C176" s="18" t="inlineStr">
        <is>
          <t>2024-04-30</t>
        </is>
      </c>
      <c r="D176" s="18" t="inlineStr">
        <is>
          <t>2024-07-31</t>
        </is>
      </c>
      <c r="E176" s="18" t="inlineStr">
        <is>
          <t>2024-10-31</t>
        </is>
      </c>
      <c r="F176" s="18" t="inlineStr">
        <is>
          <t>2025-01-31</t>
        </is>
      </c>
      <c r="G176" s="18" t="inlineStr">
        <is>
          <t>2025-04-30</t>
        </is>
      </c>
      <c r="H176" s="18" t="inlineStr">
        <is>
          <t>2025-07-31</t>
        </is>
      </c>
      <c r="I176" s="18" t="inlineStr">
        <is>
          <t>2025-10-31</t>
        </is>
      </c>
      <c r="J176" s="18" t="inlineStr">
        <is>
          <t>2026-01-31</t>
        </is>
      </c>
    </row>
    <row r="177" ht="16" customHeight="1">
      <c r="A177" s="96" t="inlineStr"/>
      <c r="B177" s="66" t="inlineStr">
        <is>
          <t>Revenue ($M)</t>
        </is>
      </c>
      <c r="C177" s="97" t="n">
        <v>343.384</v>
      </c>
      <c r="D177" s="97" t="n">
        <v>343.402</v>
      </c>
      <c r="E177" s="97" t="n">
        <v>377.065</v>
      </c>
      <c r="F177" s="97" t="n">
        <v>356.675</v>
      </c>
      <c r="G177" s="97" t="n">
        <v>382.59</v>
      </c>
      <c r="H177" s="97" t="n">
        <v>397.275</v>
      </c>
      <c r="I177" s="97" t="n">
        <v>405.287</v>
      </c>
      <c r="J177" s="97" t="n">
        <v>384.137</v>
      </c>
    </row>
    <row r="178" ht="16" customHeight="1">
      <c r="A178" s="96" t="inlineStr"/>
      <c r="B178" s="94" t="inlineStr">
        <is>
          <t>Gross Margin %</t>
        </is>
      </c>
      <c r="C178" s="71" t="n">
        <v>0.515</v>
      </c>
      <c r="D178" s="71" t="n">
        <v>0.516</v>
      </c>
      <c r="E178" s="71" t="n">
        <v>0.503</v>
      </c>
      <c r="F178" s="71" t="n">
        <v>0.493</v>
      </c>
      <c r="G178" s="71" t="n">
        <v>0.51</v>
      </c>
      <c r="H178" s="71" t="n">
        <v>0.504</v>
      </c>
      <c r="I178" s="71" t="n">
        <v>0.515</v>
      </c>
      <c r="J178" s="71" t="n">
        <v>0.506</v>
      </c>
    </row>
    <row r="179" ht="16" customHeight="1">
      <c r="A179" s="96" t="inlineStr"/>
      <c r="B179" s="26" t="inlineStr">
        <is>
          <t>QoQ Rev Growth</t>
        </is>
      </c>
      <c r="C179" s="49" t="n"/>
      <c r="D179" s="75" t="n">
        <v>5.241944878037416e-05</v>
      </c>
      <c r="E179" s="75" t="n">
        <v>0.09802796722208956</v>
      </c>
      <c r="F179" s="75" t="n">
        <v>-0.05407555726466259</v>
      </c>
      <c r="G179" s="75" t="n">
        <v>0.07265718090698815</v>
      </c>
      <c r="H179" s="75" t="n">
        <v>0.03838312553908884</v>
      </c>
      <c r="I179" s="75" t="n">
        <v>0.02016739034673715</v>
      </c>
      <c r="J179" s="75" t="n">
        <v>-0.05218524156955442</v>
      </c>
    </row>
    <row r="180" ht="16" customHeight="1">
      <c r="A180" s="96" t="inlineStr"/>
      <c r="B180" s="20" t="inlineStr">
        <is>
          <t>YoY Rev Growth</t>
        </is>
      </c>
      <c r="C180" s="47" t="n"/>
      <c r="D180" s="47" t="n"/>
      <c r="E180" s="47" t="n"/>
      <c r="F180" s="47" t="n"/>
      <c r="G180" s="71" t="n">
        <v>0.1141753838268527</v>
      </c>
      <c r="H180" s="71" t="n">
        <v>0.1568802744305508</v>
      </c>
      <c r="I180" s="71" t="n">
        <v>0.07484651187461047</v>
      </c>
      <c r="J180" s="71" t="n">
        <v>0.07699446274619752</v>
      </c>
    </row>
    <row r="181" ht="8" customHeight="1"/>
    <row r="182" ht="18" customHeight="1">
      <c r="A182" s="94" t="inlineStr">
        <is>
          <t>MRCY  —  Mercury Systems, Inc.</t>
        </is>
      </c>
      <c r="C182" s="37" t="inlineStr">
        <is>
          <t>Breakout</t>
        </is>
      </c>
      <c r="D182" s="74" t="inlineStr">
        <is>
          <t>Mkt Cap: $5093M</t>
        </is>
      </c>
      <c r="E182" s="95" t="n"/>
      <c r="F182" s="95" t="n"/>
      <c r="G182" s="95" t="n"/>
      <c r="H182" s="95" t="n"/>
      <c r="I182" s="95" t="n"/>
      <c r="J182" s="95" t="n"/>
      <c r="K182" s="95" t="n"/>
    </row>
    <row r="183" ht="16" customHeight="1">
      <c r="A183" s="96" t="inlineStr"/>
      <c r="B183" s="18" t="inlineStr">
        <is>
          <t>Quarter</t>
        </is>
      </c>
      <c r="C183" s="18" t="inlineStr">
        <is>
          <t>2024-03-29</t>
        </is>
      </c>
      <c r="D183" s="18" t="inlineStr">
        <is>
          <t>2024-06-30</t>
        </is>
      </c>
      <c r="E183" s="18" t="inlineStr">
        <is>
          <t>2024-09-27</t>
        </is>
      </c>
      <c r="F183" s="18" t="inlineStr">
        <is>
          <t>2024-12-27</t>
        </is>
      </c>
      <c r="G183" s="18" t="inlineStr">
        <is>
          <t>2025-03-28</t>
        </is>
      </c>
      <c r="H183" s="18" t="inlineStr">
        <is>
          <t>2025-06-27</t>
        </is>
      </c>
      <c r="I183" s="18" t="inlineStr">
        <is>
          <t>2025-09-26</t>
        </is>
      </c>
      <c r="J183" s="18" t="inlineStr">
        <is>
          <t>2025-12-26</t>
        </is>
      </c>
    </row>
    <row r="184" ht="16" customHeight="1">
      <c r="A184" s="96" t="inlineStr"/>
      <c r="B184" s="66" t="inlineStr">
        <is>
          <t>Revenue ($M)</t>
        </is>
      </c>
      <c r="C184" s="97" t="n">
        <v>204.431</v>
      </c>
      <c r="D184" s="97" t="n">
        <v>248.563</v>
      </c>
      <c r="E184" s="97" t="n">
        <v>204.431</v>
      </c>
      <c r="F184" s="97" t="n">
        <v>223.125</v>
      </c>
      <c r="G184" s="97" t="n">
        <v>211.358</v>
      </c>
      <c r="H184" s="97" t="n">
        <v>273.106</v>
      </c>
      <c r="I184" s="97" t="n">
        <v>225.209</v>
      </c>
      <c r="J184" s="97" t="n">
        <v>232.872</v>
      </c>
    </row>
    <row r="185" ht="16" customHeight="1">
      <c r="A185" s="96" t="inlineStr"/>
      <c r="B185" s="94" t="inlineStr">
        <is>
          <t>Gross Margin %</t>
        </is>
      </c>
      <c r="C185" s="71" t="n">
        <v>0.253</v>
      </c>
      <c r="D185" s="71" t="n">
        <v>0.295</v>
      </c>
      <c r="E185" s="71" t="n">
        <v>0.253</v>
      </c>
      <c r="F185" s="71" t="n">
        <v>0.273</v>
      </c>
      <c r="G185" s="71" t="n">
        <v>0.27</v>
      </c>
      <c r="H185" s="71" t="n">
        <v>0.31</v>
      </c>
      <c r="I185" s="71" t="n">
        <v>0.279</v>
      </c>
      <c r="J185" s="71" t="n">
        <v>0.26</v>
      </c>
    </row>
    <row r="186" ht="16" customHeight="1">
      <c r="A186" s="96" t="inlineStr"/>
      <c r="B186" s="26" t="inlineStr">
        <is>
          <t>QoQ Rev Growth</t>
        </is>
      </c>
      <c r="C186" s="49" t="n"/>
      <c r="D186" s="75" t="n">
        <v>0.2158772397532664</v>
      </c>
      <c r="E186" s="75" t="n">
        <v>-0.1775485490599969</v>
      </c>
      <c r="F186" s="75" t="n">
        <v>0.09144405691896043</v>
      </c>
      <c r="G186" s="75" t="n">
        <v>-0.05273725490196078</v>
      </c>
      <c r="H186" s="75" t="n">
        <v>0.2921488659052414</v>
      </c>
      <c r="I186" s="75" t="n">
        <v>-0.1753787906527136</v>
      </c>
      <c r="J186" s="75" t="n">
        <v>0.03402617124537652</v>
      </c>
    </row>
    <row r="187" ht="16" customHeight="1">
      <c r="A187" s="96" t="inlineStr"/>
      <c r="B187" s="20" t="inlineStr">
        <is>
          <t>YoY Rev Growth</t>
        </is>
      </c>
      <c r="C187" s="47" t="n"/>
      <c r="D187" s="47" t="n"/>
      <c r="E187" s="47" t="n"/>
      <c r="F187" s="47" t="n"/>
      <c r="G187" s="71" t="n">
        <v>0.03388429347799502</v>
      </c>
      <c r="H187" s="71" t="n">
        <v>0.09873955496192112</v>
      </c>
      <c r="I187" s="71" t="n">
        <v>0.1016382055559088</v>
      </c>
      <c r="J187" s="71" t="n">
        <v>0.04368403361344537</v>
      </c>
    </row>
    <row r="188" ht="8" customHeight="1"/>
    <row r="189" ht="18" customHeight="1">
      <c r="A189" s="94" t="inlineStr">
        <is>
          <t>CE  —  Celanese Corporation</t>
        </is>
      </c>
      <c r="C189" s="37" t="inlineStr">
        <is>
          <t>Breakout</t>
        </is>
      </c>
      <c r="D189" s="74" t="inlineStr">
        <is>
          <t>Mkt Cap: $4874M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2611</v>
      </c>
      <c r="D191" s="97" t="n">
        <v>2651</v>
      </c>
      <c r="E191" s="97" t="n">
        <v>2648</v>
      </c>
      <c r="F191" s="97" t="n">
        <v>2370</v>
      </c>
      <c r="G191" s="97" t="n">
        <v>2389</v>
      </c>
      <c r="H191" s="97" t="n">
        <v>2532</v>
      </c>
      <c r="I191" s="97" t="n">
        <v>2419</v>
      </c>
      <c r="J191" s="97" t="n">
        <v>2204</v>
      </c>
    </row>
    <row r="192" ht="16" customHeight="1">
      <c r="A192" s="96" t="inlineStr"/>
      <c r="B192" s="94" t="inlineStr">
        <is>
          <t>Gross Margin %</t>
        </is>
      </c>
      <c r="C192" s="71" t="n">
        <v>0.212</v>
      </c>
      <c r="D192" s="71" t="n">
        <v>0.242</v>
      </c>
      <c r="E192" s="71" t="n">
        <v>0.235</v>
      </c>
      <c r="F192" s="71" t="n">
        <v>0.227</v>
      </c>
      <c r="G192" s="71" t="n">
        <v>0.199</v>
      </c>
      <c r="H192" s="71" t="n">
        <v>0.211</v>
      </c>
      <c r="I192" s="71" t="n">
        <v>0.215</v>
      </c>
      <c r="J192" s="71" t="n">
        <v>0.174</v>
      </c>
    </row>
    <row r="193" ht="16" customHeight="1">
      <c r="A193" s="96" t="inlineStr"/>
      <c r="B193" s="26" t="inlineStr">
        <is>
          <t>QoQ Rev Growth</t>
        </is>
      </c>
      <c r="C193" s="49" t="n"/>
      <c r="D193" s="75" t="n">
        <v>0.01531980084258905</v>
      </c>
      <c r="E193" s="75" t="n">
        <v>-0.001131648434552999</v>
      </c>
      <c r="F193" s="75" t="n">
        <v>-0.1049848942598187</v>
      </c>
      <c r="G193" s="75" t="n">
        <v>0.008016877637130802</v>
      </c>
      <c r="H193" s="75" t="n">
        <v>0.05985768103809125</v>
      </c>
      <c r="I193" s="75" t="n">
        <v>-0.04462875197472354</v>
      </c>
      <c r="J193" s="75" t="n">
        <v>-0.0888797023563456</v>
      </c>
    </row>
    <row r="194" ht="16" customHeight="1">
      <c r="A194" s="96" t="inlineStr"/>
      <c r="B194" s="20" t="inlineStr">
        <is>
          <t>YoY Rev Growth</t>
        </is>
      </c>
      <c r="C194" s="47" t="n"/>
      <c r="D194" s="47" t="n"/>
      <c r="E194" s="47" t="n"/>
      <c r="F194" s="47" t="n"/>
      <c r="G194" s="71" t="n">
        <v>-0.0850248946763692</v>
      </c>
      <c r="H194" s="71" t="n">
        <v>-0.04488872123726895</v>
      </c>
      <c r="I194" s="71" t="n">
        <v>-0.08648036253776435</v>
      </c>
      <c r="J194" s="71" t="n">
        <v>-0.070042194092827</v>
      </c>
    </row>
    <row r="195" ht="8" customHeight="1"/>
    <row r="196" ht="18" customHeight="1">
      <c r="A196" s="94" t="inlineStr">
        <is>
          <t>RUN  —  Sunrun Inc.</t>
        </is>
      </c>
      <c r="C196" s="37" t="inlineStr">
        <is>
          <t>Breakout</t>
        </is>
      </c>
      <c r="D196" s="74" t="inlineStr">
        <is>
          <t>Mkt Cap: $2189M</t>
        </is>
      </c>
      <c r="E196" s="95" t="n"/>
      <c r="F196" s="95" t="n"/>
      <c r="G196" s="95" t="n"/>
      <c r="H196" s="95" t="n"/>
      <c r="I196" s="95" t="n"/>
      <c r="J196" s="95" t="n"/>
      <c r="K196" s="95" t="n"/>
    </row>
    <row r="197" ht="16" customHeight="1">
      <c r="A197" s="96"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2025-06-30</t>
        </is>
      </c>
      <c r="I197" s="18" t="inlineStr">
        <is>
          <t>2025-09-30</t>
        </is>
      </c>
      <c r="J197" s="18" t="inlineStr">
        <is>
          <t>2025-12-31</t>
        </is>
      </c>
    </row>
    <row r="198" ht="16" customHeight="1">
      <c r="A198" s="96" t="inlineStr"/>
      <c r="B198" s="66" t="inlineStr">
        <is>
          <t>Revenue ($M)</t>
        </is>
      </c>
      <c r="C198" s="97" t="n">
        <v>458.188</v>
      </c>
      <c r="D198" s="97" t="n">
        <v>523.866</v>
      </c>
      <c r="E198" s="97" t="n">
        <v>537.173</v>
      </c>
      <c r="F198" s="97" t="n">
        <v>518.492</v>
      </c>
      <c r="G198" s="97" t="n">
        <v>504.271</v>
      </c>
      <c r="H198" s="97" t="n">
        <v>569.336</v>
      </c>
      <c r="I198" s="97" t="n">
        <v>724.557</v>
      </c>
      <c r="J198" s="97" t="n">
        <v>1158.833</v>
      </c>
    </row>
    <row r="199" ht="16" customHeight="1">
      <c r="A199" s="96" t="inlineStr"/>
      <c r="B199" s="94" t="inlineStr">
        <is>
          <t>Gross Margin %</t>
        </is>
      </c>
      <c r="C199" s="71" t="n">
        <v>0.07099999999999999</v>
      </c>
      <c r="D199" s="71" t="n">
        <v>0.181</v>
      </c>
      <c r="E199" s="71" t="n">
        <v>0.193</v>
      </c>
      <c r="F199" s="71" t="n">
        <v>0.188</v>
      </c>
      <c r="G199" s="71" t="n">
        <v>0.196</v>
      </c>
      <c r="H199" s="71" t="n">
        <v>0.166</v>
      </c>
      <c r="I199" s="71" t="n">
        <v>0.336</v>
      </c>
      <c r="J199" s="71" t="n">
        <v>0.353</v>
      </c>
    </row>
    <row r="200" ht="16" customHeight="1">
      <c r="A200" s="96" t="inlineStr"/>
      <c r="B200" s="26" t="inlineStr">
        <is>
          <t>QoQ Rev Growth</t>
        </is>
      </c>
      <c r="C200" s="49" t="n"/>
      <c r="D200" s="75" t="n">
        <v>0.1433429072782351</v>
      </c>
      <c r="E200" s="75" t="n">
        <v>0.0254015339800636</v>
      </c>
      <c r="F200" s="75" t="n">
        <v>-0.0347765058928874</v>
      </c>
      <c r="G200" s="75" t="n">
        <v>-0.02742761701241292</v>
      </c>
      <c r="H200" s="75" t="n">
        <v>0.1290278441552261</v>
      </c>
      <c r="I200" s="75" t="n">
        <v>0.2726351398822488</v>
      </c>
      <c r="J200" s="75" t="n">
        <v>0.5993676135900972</v>
      </c>
    </row>
    <row r="201" ht="16" customHeight="1">
      <c r="A201" s="96" t="inlineStr"/>
      <c r="B201" s="20" t="inlineStr">
        <is>
          <t>YoY Rev Growth</t>
        </is>
      </c>
      <c r="C201" s="47" t="n"/>
      <c r="D201" s="47" t="n"/>
      <c r="E201" s="47" t="n"/>
      <c r="F201" s="47" t="n"/>
      <c r="G201" s="71" t="n">
        <v>0.1005766192043441</v>
      </c>
      <c r="H201" s="71" t="n">
        <v>0.0867970053410605</v>
      </c>
      <c r="I201" s="71" t="n">
        <v>0.3488336159859114</v>
      </c>
      <c r="J201" s="71" t="n">
        <v>1.235006518904824</v>
      </c>
    </row>
    <row r="202" ht="8" customHeight="1"/>
    <row r="203" ht="18" customHeight="1">
      <c r="A203" s="94" t="inlineStr">
        <is>
          <t>LYFT  —  Lyft, Inc.</t>
        </is>
      </c>
      <c r="C203" s="37" t="inlineStr">
        <is>
          <t>Breakout</t>
        </is>
      </c>
      <c r="D203" s="74" t="inlineStr">
        <is>
          <t>Mkt Cap: $6122M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2024-09-30</t>
        </is>
      </c>
      <c r="F204" s="18" t="inlineStr">
        <is>
          <t>2024-12-31</t>
        </is>
      </c>
      <c r="G204" s="18" t="inlineStr">
        <is>
          <t>2025-03-31</t>
        </is>
      </c>
      <c r="H204" s="18" t="inlineStr">
        <is>
          <t>2025-06-30</t>
        </is>
      </c>
      <c r="I204" s="18" t="inlineStr">
        <is>
          <t>2025-09-30</t>
        </is>
      </c>
      <c r="J204" s="18" t="inlineStr">
        <is>
          <t>2025-12-31</t>
        </is>
      </c>
    </row>
    <row r="205" ht="16" customHeight="1">
      <c r="A205" s="96" t="inlineStr"/>
      <c r="B205" s="66" t="inlineStr">
        <is>
          <t>Revenue ($M)</t>
        </is>
      </c>
      <c r="C205" s="97" t="n">
        <v>1277.201</v>
      </c>
      <c r="D205" s="97" t="n">
        <v>1435.846</v>
      </c>
      <c r="E205" s="97" t="n">
        <v>1522.692</v>
      </c>
      <c r="F205" s="97" t="n">
        <v>1550.277</v>
      </c>
      <c r="G205" s="97" t="n">
        <v>1450.172</v>
      </c>
      <c r="H205" s="97" t="n">
        <v>1588.183</v>
      </c>
      <c r="I205" s="97" t="n">
        <v>1685.195</v>
      </c>
      <c r="J205" s="97" t="n">
        <v>1592.711</v>
      </c>
    </row>
    <row r="206" ht="16" customHeight="1">
      <c r="A206" s="96" t="inlineStr"/>
      <c r="B206" s="94" t="inlineStr">
        <is>
          <t>Gross Margin %</t>
        </is>
      </c>
      <c r="C206" s="71" t="n">
        <v>0.409</v>
      </c>
      <c r="D206" s="71" t="n">
        <v>0.429</v>
      </c>
      <c r="E206" s="71" t="n">
        <v>0.417</v>
      </c>
      <c r="F206" s="71" t="n">
        <v>0.436</v>
      </c>
      <c r="G206" s="71" t="n">
        <v>0.405</v>
      </c>
      <c r="H206" s="71" t="n">
        <v>0.411</v>
      </c>
      <c r="I206" s="71" t="n">
        <v>0.45</v>
      </c>
      <c r="J206" s="71" t="n">
        <v>0.39</v>
      </c>
    </row>
    <row r="207" ht="16" customHeight="1">
      <c r="A207" s="96" t="inlineStr"/>
      <c r="B207" s="26" t="inlineStr">
        <is>
          <t>QoQ Rev Growth</t>
        </is>
      </c>
      <c r="C207" s="49" t="n"/>
      <c r="D207" s="75" t="n">
        <v>0.1242130252012017</v>
      </c>
      <c r="E207" s="75" t="n">
        <v>0.06048420234481971</v>
      </c>
      <c r="F207" s="75" t="n">
        <v>0.01811594202898551</v>
      </c>
      <c r="G207" s="75" t="n">
        <v>-0.06457233126725095</v>
      </c>
      <c r="H207" s="75" t="n">
        <v>0.095168711021865</v>
      </c>
      <c r="I207" s="75" t="n">
        <v>0.06108364086506404</v>
      </c>
      <c r="J207" s="75" t="n">
        <v>-0.05488029575212364</v>
      </c>
    </row>
    <row r="208" ht="16" customHeight="1">
      <c r="A208" s="96" t="inlineStr"/>
      <c r="B208" s="20" t="inlineStr">
        <is>
          <t>YoY Rev Growth</t>
        </is>
      </c>
      <c r="C208" s="47" t="n"/>
      <c r="D208" s="47" t="n"/>
      <c r="E208" s="47" t="n"/>
      <c r="F208" s="47" t="n"/>
      <c r="G208" s="71" t="n">
        <v>0.1354297405028652</v>
      </c>
      <c r="H208" s="71" t="n">
        <v>0.1060956397830965</v>
      </c>
      <c r="I208" s="71" t="n">
        <v>0.1067208601608204</v>
      </c>
      <c r="J208" s="71" t="n">
        <v>0.02737188257324336</v>
      </c>
    </row>
    <row r="209" ht="8" customHeight="1"/>
    <row r="210" ht="18" customHeight="1">
      <c r="A210" s="94" t="inlineStr">
        <is>
          <t>KN  —  Knowles Corporation</t>
        </is>
      </c>
      <c r="C210" s="37" t="inlineStr">
        <is>
          <t>Breakout</t>
        </is>
      </c>
      <c r="D210" s="74" t="inlineStr">
        <is>
          <t>Mkt Cap: $3043M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133.3</v>
      </c>
      <c r="D212" s="97" t="n">
        <v>135.2</v>
      </c>
      <c r="E212" s="97" t="n">
        <v>142.5</v>
      </c>
      <c r="F212" s="97" t="n">
        <v>142.5</v>
      </c>
      <c r="G212" s="97" t="n">
        <v>132.199999</v>
      </c>
      <c r="H212" s="97" t="n">
        <v>145.9</v>
      </c>
      <c r="I212" s="97" t="n">
        <v>152.9</v>
      </c>
      <c r="J212" s="97" t="n">
        <v>162.2</v>
      </c>
    </row>
    <row r="213" ht="16" customHeight="1">
      <c r="A213" s="96" t="inlineStr"/>
      <c r="B213" s="94" t="inlineStr">
        <is>
          <t>Gross Margin %</t>
        </is>
      </c>
      <c r="C213" s="71" t="n">
        <v>0.3720000000000001</v>
      </c>
      <c r="D213" s="71" t="n">
        <v>0.402</v>
      </c>
      <c r="E213" s="71" t="n">
        <v>0.411</v>
      </c>
      <c r="F213" s="71" t="n">
        <v>0.402</v>
      </c>
      <c r="G213" s="71" t="n">
        <v>0.384</v>
      </c>
      <c r="H213" s="71" t="n">
        <v>0.408</v>
      </c>
      <c r="I213" s="71" t="n">
        <v>0.4320000000000001</v>
      </c>
      <c r="J213" s="71" t="n">
        <v>0.422</v>
      </c>
    </row>
    <row r="214" ht="16" customHeight="1">
      <c r="A214" s="96" t="inlineStr"/>
      <c r="B214" s="26" t="inlineStr">
        <is>
          <t>QoQ Rev Growth</t>
        </is>
      </c>
      <c r="C214" s="49" t="n"/>
      <c r="D214" s="75" t="n">
        <v>0.01425356339084771</v>
      </c>
      <c r="E214" s="75" t="n">
        <v>0.05399408284023668</v>
      </c>
      <c r="F214" s="75" t="n">
        <v>0</v>
      </c>
      <c r="G214" s="75" t="n">
        <v>-0.07228070877192982</v>
      </c>
      <c r="H214" s="75" t="n">
        <v>0.1036308706779945</v>
      </c>
      <c r="I214" s="75" t="n">
        <v>0.04797806716929404</v>
      </c>
      <c r="J214" s="75" t="n">
        <v>0.06082406801831262</v>
      </c>
    </row>
    <row r="215" ht="16" customHeight="1">
      <c r="A215" s="96" t="inlineStr"/>
      <c r="B215" s="20" t="inlineStr">
        <is>
          <t>YoY Rev Growth</t>
        </is>
      </c>
      <c r="C215" s="47" t="n"/>
      <c r="D215" s="47" t="n"/>
      <c r="E215" s="47" t="n"/>
      <c r="F215" s="47" t="n"/>
      <c r="G215" s="71" t="n">
        <v>-0.008252070517629407</v>
      </c>
      <c r="H215" s="71" t="n">
        <v>0.07914201183431953</v>
      </c>
      <c r="I215" s="71" t="n">
        <v>0.07298245614035087</v>
      </c>
      <c r="J215" s="71" t="n">
        <v>0.1382456140350877</v>
      </c>
    </row>
    <row r="216" ht="8" customHeight="1"/>
    <row r="217" ht="22" customHeight="1">
      <c r="A217" s="16" t="inlineStr">
        <is>
          <t xml:space="preserve">  Vital Link</t>
        </is>
      </c>
      <c r="B217" s="17" t="n"/>
      <c r="C217" s="17" t="n"/>
      <c r="D217" s="17" t="n"/>
      <c r="E217" s="17" t="n"/>
      <c r="F217" s="17" t="n"/>
      <c r="G217" s="17" t="n"/>
      <c r="H217" s="17" t="n"/>
      <c r="I217" s="17" t="n"/>
      <c r="J217" s="17" t="n"/>
      <c r="K217" s="17" t="n"/>
    </row>
    <row r="218" ht="18" customHeight="1">
      <c r="A218" s="94" t="inlineStr">
        <is>
          <t>CW  —  Curtiss-Wright Corporation</t>
        </is>
      </c>
      <c r="C218" s="37" t="inlineStr">
        <is>
          <t>Vital Link</t>
        </is>
      </c>
      <c r="D218" s="74" t="inlineStr">
        <is>
          <t>Mkt Cap: $21288M</t>
        </is>
      </c>
      <c r="E218" s="95" t="n"/>
      <c r="F218" s="95" t="n"/>
      <c r="G218" s="95" t="n"/>
      <c r="H218" s="95" t="n"/>
      <c r="I218" s="95" t="n"/>
      <c r="J218" s="95" t="n"/>
      <c r="K218" s="95" t="n"/>
    </row>
    <row r="219" ht="16" customHeight="1">
      <c r="A219" s="96" t="inlineStr"/>
      <c r="B219" s="18" t="inlineStr">
        <is>
          <t>Quarter</t>
        </is>
      </c>
      <c r="C219" s="18" t="inlineStr">
        <is>
          <t>2024-03-31</t>
        </is>
      </c>
      <c r="D219" s="18" t="inlineStr">
        <is>
          <t>2024-06-30</t>
        </is>
      </c>
      <c r="E219" s="18" t="inlineStr">
        <is>
          <t>2024-09-30</t>
        </is>
      </c>
      <c r="F219" s="18" t="inlineStr">
        <is>
          <t>2024-12-31</t>
        </is>
      </c>
      <c r="G219" s="18" t="inlineStr">
        <is>
          <t>2025-03-31</t>
        </is>
      </c>
      <c r="H219" s="18" t="inlineStr">
        <is>
          <t>2025-06-30</t>
        </is>
      </c>
      <c r="I219" s="18" t="inlineStr">
        <is>
          <t>2025-09-30</t>
        </is>
      </c>
      <c r="J219" s="18" t="inlineStr">
        <is>
          <t>2025-12-31</t>
        </is>
      </c>
    </row>
    <row r="220" ht="16" customHeight="1">
      <c r="A220" s="96" t="inlineStr"/>
      <c r="B220" s="66" t="inlineStr">
        <is>
          <t>Revenue ($M)</t>
        </is>
      </c>
      <c r="C220" s="97" t="n">
        <v>713.167</v>
      </c>
      <c r="D220" s="97" t="n">
        <v>784.7910000000001</v>
      </c>
      <c r="E220" s="97" t="n">
        <v>798.918</v>
      </c>
      <c r="F220" s="97" t="n">
        <v>824.313</v>
      </c>
      <c r="G220" s="97" t="n">
        <v>805.645</v>
      </c>
      <c r="H220" s="97" t="n">
        <v>876.576</v>
      </c>
      <c r="I220" s="97" t="n">
        <v>869.17</v>
      </c>
      <c r="J220" s="97" t="n">
        <v>946.981</v>
      </c>
    </row>
    <row r="221" ht="16" customHeight="1">
      <c r="A221" s="96" t="inlineStr"/>
      <c r="B221" s="94" t="inlineStr">
        <is>
          <t>Gross Margin %</t>
        </is>
      </c>
      <c r="C221" s="71" t="n">
        <v>0.356</v>
      </c>
      <c r="D221" s="71" t="n">
        <v>0.362</v>
      </c>
      <c r="E221" s="71" t="n">
        <v>0.373</v>
      </c>
      <c r="F221" s="71" t="n">
        <v>0.385</v>
      </c>
      <c r="G221" s="71" t="n">
        <v>0.363</v>
      </c>
      <c r="H221" s="71" t="n">
        <v>0.3720000000000001</v>
      </c>
      <c r="I221" s="71" t="n">
        <v>0.377</v>
      </c>
      <c r="J221" s="71" t="n">
        <v>0.375</v>
      </c>
    </row>
    <row r="222" ht="16" customHeight="1">
      <c r="A222" s="96" t="inlineStr"/>
      <c r="B222" s="26" t="inlineStr">
        <is>
          <t>QoQ Rev Growth</t>
        </is>
      </c>
      <c r="C222" s="49" t="n"/>
      <c r="D222" s="75" t="n">
        <v>0.1004308948675415</v>
      </c>
      <c r="E222" s="75" t="n">
        <v>0.01800097095914709</v>
      </c>
      <c r="F222" s="75" t="n">
        <v>0.03178674156797068</v>
      </c>
      <c r="G222" s="75" t="n">
        <v>-0.02264673734370318</v>
      </c>
      <c r="H222" s="75" t="n">
        <v>0.08804250010860863</v>
      </c>
      <c r="I222" s="75" t="n">
        <v>-0.008448782535684299</v>
      </c>
      <c r="J222" s="75" t="n">
        <v>0.08952333835728339</v>
      </c>
    </row>
    <row r="223" ht="16" customHeight="1">
      <c r="A223" s="96" t="inlineStr"/>
      <c r="B223" s="20" t="inlineStr">
        <is>
          <t>YoY Rev Growth</t>
        </is>
      </c>
      <c r="C223" s="47" t="n"/>
      <c r="D223" s="47" t="n"/>
      <c r="E223" s="47" t="n"/>
      <c r="F223" s="47" t="n"/>
      <c r="G223" s="71" t="n">
        <v>0.1296722927448971</v>
      </c>
      <c r="H223" s="71" t="n">
        <v>0.1169547051380559</v>
      </c>
      <c r="I223" s="71" t="n">
        <v>0.08793393064119222</v>
      </c>
      <c r="J223" s="71" t="n">
        <v>0.1488124049966457</v>
      </c>
    </row>
    <row r="224" ht="8" customHeight="1"/>
    <row r="225" ht="18" customHeight="1">
      <c r="A225" s="94" t="inlineStr">
        <is>
          <t>ON  —  ON Semiconductor Corporation</t>
        </is>
      </c>
      <c r="C225" s="37" t="inlineStr">
        <is>
          <t>Vital Link</t>
        </is>
      </c>
      <c r="D225" s="74" t="inlineStr">
        <is>
          <t>Mkt Cap: $28326M</t>
        </is>
      </c>
      <c r="E225" s="95" t="n"/>
      <c r="F225" s="95" t="n"/>
      <c r="G225" s="95" t="n"/>
      <c r="H225" s="95" t="n"/>
      <c r="I225" s="95" t="n"/>
      <c r="J225" s="95" t="n"/>
      <c r="K225" s="95" t="n"/>
    </row>
    <row r="226" ht="16" customHeight="1">
      <c r="A226" s="96" t="inlineStr"/>
      <c r="B226" s="18" t="inlineStr">
        <is>
          <t>Quarter</t>
        </is>
      </c>
      <c r="C226" s="18" t="inlineStr">
        <is>
          <t>2024-03-29</t>
        </is>
      </c>
      <c r="D226" s="18" t="inlineStr">
        <is>
          <t>2024-06-28</t>
        </is>
      </c>
      <c r="E226" s="18" t="inlineStr">
        <is>
          <t>2024-09-27</t>
        </is>
      </c>
      <c r="F226" s="18" t="inlineStr">
        <is>
          <t>2024-12-31</t>
        </is>
      </c>
      <c r="G226" s="18" t="inlineStr">
        <is>
          <t>2025-04-04</t>
        </is>
      </c>
      <c r="H226" s="18" t="inlineStr">
        <is>
          <t>2025-07-04</t>
        </is>
      </c>
      <c r="I226" s="18" t="inlineStr">
        <is>
          <t>2025-10-03</t>
        </is>
      </c>
      <c r="J226" s="18" t="inlineStr">
        <is>
          <t>2025-12-31</t>
        </is>
      </c>
    </row>
    <row r="227" ht="16" customHeight="1">
      <c r="A227" s="96" t="inlineStr"/>
      <c r="B227" s="66" t="inlineStr">
        <is>
          <t>Revenue ($M)</t>
        </is>
      </c>
      <c r="C227" s="97" t="n">
        <v>1862.7</v>
      </c>
      <c r="D227" s="97" t="n">
        <v>1735.2</v>
      </c>
      <c r="E227" s="97" t="n">
        <v>1761.9</v>
      </c>
      <c r="F227" s="97" t="n">
        <v>1722.5</v>
      </c>
      <c r="G227" s="97" t="n">
        <v>1445.7</v>
      </c>
      <c r="H227" s="97" t="n">
        <v>1468.7</v>
      </c>
      <c r="I227" s="97" t="n">
        <v>1550.9</v>
      </c>
      <c r="J227" s="97" t="n">
        <v>1530.1</v>
      </c>
    </row>
    <row r="228" ht="16" customHeight="1">
      <c r="A228" s="96" t="inlineStr"/>
      <c r="B228" s="94" t="inlineStr">
        <is>
          <t>Gross Margin %</t>
        </is>
      </c>
      <c r="C228" s="71" t="n">
        <v>0.458</v>
      </c>
      <c r="D228" s="71" t="n">
        <v>0.452</v>
      </c>
      <c r="E228" s="71" t="n">
        <v>0.454</v>
      </c>
      <c r="F228" s="71" t="n">
        <v>0.452</v>
      </c>
      <c r="G228" s="71" t="n">
        <v>0.203</v>
      </c>
      <c r="H228" s="71" t="n">
        <v>0.376</v>
      </c>
      <c r="I228" s="71" t="n">
        <v>0.379</v>
      </c>
      <c r="J228" s="71" t="n">
        <v>0.349</v>
      </c>
    </row>
    <row r="229" ht="16" customHeight="1">
      <c r="A229" s="96" t="inlineStr"/>
      <c r="B229" s="26" t="inlineStr">
        <is>
          <t>QoQ Rev Growth</t>
        </is>
      </c>
      <c r="C229" s="49" t="n"/>
      <c r="D229" s="75" t="n">
        <v>-0.06844902560798841</v>
      </c>
      <c r="E229" s="75" t="n">
        <v>0.01538727524204703</v>
      </c>
      <c r="F229" s="75" t="n">
        <v>-0.02236222260060162</v>
      </c>
      <c r="G229" s="75" t="n">
        <v>-0.1606966618287373</v>
      </c>
      <c r="H229" s="75" t="n">
        <v>0.01590924811509995</v>
      </c>
      <c r="I229" s="75" t="n">
        <v>0.05596786273575271</v>
      </c>
      <c r="J229" s="75" t="n">
        <v>-0.01341156747694887</v>
      </c>
    </row>
    <row r="230" ht="16" customHeight="1">
      <c r="A230" s="96" t="inlineStr"/>
      <c r="B230" s="20" t="inlineStr">
        <is>
          <t>YoY Rev Growth</t>
        </is>
      </c>
      <c r="C230" s="47" t="n"/>
      <c r="D230" s="47" t="n"/>
      <c r="E230" s="47" t="n"/>
      <c r="F230" s="47" t="n"/>
      <c r="G230" s="71" t="n">
        <v>-0.2238685778708327</v>
      </c>
      <c r="H230" s="71" t="n">
        <v>-0.1535846011987091</v>
      </c>
      <c r="I230" s="71" t="n">
        <v>-0.1197570804245417</v>
      </c>
      <c r="J230" s="71" t="n">
        <v>-0.1116981132075472</v>
      </c>
    </row>
    <row r="231" ht="8" customHeight="1"/>
    <row r="232" ht="18" customHeight="1">
      <c r="A232" s="94" t="inlineStr">
        <is>
          <t>TDY  —  Teledyne Technologies Incorporated</t>
        </is>
      </c>
      <c r="C232" s="37" t="inlineStr">
        <is>
          <t>Vital Link</t>
        </is>
      </c>
      <c r="D232" s="74" t="inlineStr">
        <is>
          <t>Mkt Cap: $28081M</t>
        </is>
      </c>
      <c r="E232" s="95" t="n"/>
      <c r="F232" s="95" t="n"/>
      <c r="G232" s="95" t="n"/>
      <c r="H232" s="95" t="n"/>
      <c r="I232" s="95" t="n"/>
      <c r="J232" s="95" t="n"/>
      <c r="K232" s="95" t="n"/>
    </row>
    <row r="233" ht="16" customHeight="1">
      <c r="A233" s="96" t="inlineStr"/>
      <c r="B233" s="18" t="inlineStr">
        <is>
          <t>Quarter</t>
        </is>
      </c>
      <c r="C233" s="18" t="inlineStr">
        <is>
          <t>2024-03-31</t>
        </is>
      </c>
      <c r="D233" s="18" t="inlineStr">
        <is>
          <t>2024-06-30</t>
        </is>
      </c>
      <c r="E233" s="18" t="inlineStr">
        <is>
          <t>2024-09-29</t>
        </is>
      </c>
      <c r="F233" s="18" t="inlineStr">
        <is>
          <t>2024-12-31</t>
        </is>
      </c>
      <c r="G233" s="18" t="inlineStr">
        <is>
          <t>2025-03-30</t>
        </is>
      </c>
      <c r="H233" s="18" t="inlineStr">
        <is>
          <t>2025-06-29</t>
        </is>
      </c>
      <c r="I233" s="18" t="inlineStr">
        <is>
          <t>2025-09-28</t>
        </is>
      </c>
      <c r="J233" s="18" t="inlineStr">
        <is>
          <t>2025-12-28</t>
        </is>
      </c>
    </row>
    <row r="234" ht="16" customHeight="1">
      <c r="A234" s="96" t="inlineStr"/>
      <c r="B234" s="66" t="inlineStr">
        <is>
          <t>Revenue ($M)</t>
        </is>
      </c>
      <c r="C234" s="97" t="n">
        <v>1350.1</v>
      </c>
      <c r="D234" s="97" t="n">
        <v>1374.1</v>
      </c>
      <c r="E234" s="97" t="n">
        <v>1443.5</v>
      </c>
      <c r="F234" s="97" t="n">
        <v>1502.3</v>
      </c>
      <c r="G234" s="97" t="n">
        <v>1449.9</v>
      </c>
      <c r="H234" s="97" t="n">
        <v>1513.7</v>
      </c>
      <c r="I234" s="97" t="n">
        <v>1539.5</v>
      </c>
      <c r="J234" s="97" t="n">
        <v>1612.3</v>
      </c>
    </row>
    <row r="235" ht="16" customHeight="1">
      <c r="A235" s="96" t="inlineStr"/>
      <c r="B235" s="94" t="inlineStr">
        <is>
          <t>Gross Margin %</t>
        </is>
      </c>
      <c r="C235" s="71" t="n">
        <v>0.43</v>
      </c>
      <c r="D235" s="71" t="n">
        <v>0.431</v>
      </c>
      <c r="E235" s="71" t="n">
        <v>0.429</v>
      </c>
      <c r="F235" s="71" t="n">
        <v>0.428</v>
      </c>
      <c r="G235" s="71" t="n">
        <v>0.427</v>
      </c>
      <c r="H235" s="71" t="n">
        <v>0.426</v>
      </c>
      <c r="I235" s="71" t="n">
        <v>0.428</v>
      </c>
      <c r="J235" s="71" t="n">
        <v>0.294</v>
      </c>
    </row>
    <row r="236" ht="16" customHeight="1">
      <c r="A236" s="96" t="inlineStr"/>
      <c r="B236" s="26" t="inlineStr">
        <is>
          <t>QoQ Rev Growth</t>
        </is>
      </c>
      <c r="C236" s="49" t="n"/>
      <c r="D236" s="75" t="n">
        <v>0.01777646100288868</v>
      </c>
      <c r="E236" s="75" t="n">
        <v>0.05050578560512335</v>
      </c>
      <c r="F236" s="75" t="n">
        <v>0.04073432629026671</v>
      </c>
      <c r="G236" s="75" t="n">
        <v>-0.03487985089529388</v>
      </c>
      <c r="H236" s="75" t="n">
        <v>0.04400303469204773</v>
      </c>
      <c r="I236" s="75" t="n">
        <v>0.01704432846667107</v>
      </c>
      <c r="J236" s="75" t="n">
        <v>0.0472880805456317</v>
      </c>
    </row>
    <row r="237" ht="16" customHeight="1">
      <c r="A237" s="96" t="inlineStr"/>
      <c r="B237" s="20" t="inlineStr">
        <is>
          <t>YoY Rev Growth</t>
        </is>
      </c>
      <c r="C237" s="47" t="n"/>
      <c r="D237" s="47" t="n"/>
      <c r="E237" s="47" t="n"/>
      <c r="F237" s="47" t="n"/>
      <c r="G237" s="71" t="n">
        <v>0.07392045033701207</v>
      </c>
      <c r="H237" s="71" t="n">
        <v>0.1015937704679427</v>
      </c>
      <c r="I237" s="71" t="n">
        <v>0.06650502251472117</v>
      </c>
      <c r="J237" s="71" t="n">
        <v>0.07322106103973906</v>
      </c>
    </row>
    <row r="238" ht="8" customHeight="1"/>
    <row r="239" ht="18" customHeight="1">
      <c r="A239" s="94" t="inlineStr">
        <is>
          <t>PPG  —  PPG Industries, Inc.</t>
        </is>
      </c>
      <c r="C239" s="37" t="inlineStr">
        <is>
          <t>Vital Link</t>
        </is>
      </c>
      <c r="D239" s="74" t="inlineStr">
        <is>
          <t>Mkt Cap: $24524M</t>
        </is>
      </c>
      <c r="E239" s="95" t="n"/>
      <c r="F239" s="95" t="n"/>
      <c r="G239" s="95" t="n"/>
      <c r="H239" s="95" t="n"/>
      <c r="I239" s="95" t="n"/>
      <c r="J239" s="95" t="n"/>
      <c r="K239" s="95" t="n"/>
    </row>
    <row r="240" ht="16" customHeight="1">
      <c r="A240" s="96" t="inlineStr"/>
      <c r="B240" s="18" t="inlineStr">
        <is>
          <t>Quarter</t>
        </is>
      </c>
      <c r="C240" s="18" t="inlineStr">
        <is>
          <t>2024-03-31</t>
        </is>
      </c>
      <c r="D240" s="18" t="inlineStr">
        <is>
          <t>2024-06-30</t>
        </is>
      </c>
      <c r="E240" s="18" t="inlineStr">
        <is>
          <t>2024-09-30</t>
        </is>
      </c>
      <c r="F240" s="18" t="inlineStr">
        <is>
          <t>2024-12-31</t>
        </is>
      </c>
      <c r="G240" s="18" t="inlineStr">
        <is>
          <t>2025-03-31</t>
        </is>
      </c>
      <c r="H240" s="18" t="inlineStr">
        <is>
          <t>2025-06-30</t>
        </is>
      </c>
      <c r="I240" s="18" t="inlineStr">
        <is>
          <t>2025-09-30</t>
        </is>
      </c>
      <c r="J240" s="18" t="inlineStr">
        <is>
          <t>2025-12-31</t>
        </is>
      </c>
    </row>
    <row r="241" ht="16" customHeight="1">
      <c r="A241" s="96" t="inlineStr"/>
      <c r="B241" s="66" t="inlineStr">
        <is>
          <t>Revenue ($M)</t>
        </is>
      </c>
      <c r="C241" s="97" t="n">
        <v>4311</v>
      </c>
      <c r="D241" s="97" t="n">
        <v>4235</v>
      </c>
      <c r="E241" s="97" t="n">
        <v>4575</v>
      </c>
      <c r="F241" s="97" t="n">
        <v>2165</v>
      </c>
      <c r="G241" s="97" t="n">
        <v>3684</v>
      </c>
      <c r="H241" s="97" t="n">
        <v>4195</v>
      </c>
      <c r="I241" s="97" t="n">
        <v>4082</v>
      </c>
      <c r="J241" s="97" t="n">
        <v>3914</v>
      </c>
    </row>
    <row r="242" ht="16" customHeight="1">
      <c r="A242" s="96" t="inlineStr"/>
      <c r="B242" s="94" t="inlineStr">
        <is>
          <t>Gross Margin %</t>
        </is>
      </c>
      <c r="C242" s="71" t="n">
        <v>0.433</v>
      </c>
      <c r="D242" s="71" t="n">
        <v>0.421</v>
      </c>
      <c r="E242" s="71" t="n">
        <v>0.418</v>
      </c>
      <c r="F242" s="71" t="n">
        <v>0.349</v>
      </c>
      <c r="G242" s="71" t="n">
        <v>0.419</v>
      </c>
      <c r="H242" s="71" t="n">
        <v>0.42</v>
      </c>
      <c r="I242" s="71" t="n">
        <v>0.406</v>
      </c>
      <c r="J242" s="71" t="n">
        <v>0.374</v>
      </c>
    </row>
    <row r="243" ht="16" customHeight="1">
      <c r="A243" s="96" t="inlineStr"/>
      <c r="B243" s="26" t="inlineStr">
        <is>
          <t>QoQ Rev Growth</t>
        </is>
      </c>
      <c r="C243" s="49" t="n"/>
      <c r="D243" s="75" t="n">
        <v>-0.01762932034330782</v>
      </c>
      <c r="E243" s="75" t="n">
        <v>0.08028335301062574</v>
      </c>
      <c r="F243" s="75" t="n">
        <v>-0.526775956284153</v>
      </c>
      <c r="G243" s="75" t="n">
        <v>0.7016166281755196</v>
      </c>
      <c r="H243" s="75" t="n">
        <v>0.1387079261672096</v>
      </c>
      <c r="I243" s="75" t="n">
        <v>-0.02693682955899881</v>
      </c>
      <c r="J243" s="75" t="n">
        <v>-0.041156295933366</v>
      </c>
    </row>
    <row r="244" ht="16" customHeight="1">
      <c r="A244" s="96" t="inlineStr"/>
      <c r="B244" s="20" t="inlineStr">
        <is>
          <t>YoY Rev Growth</t>
        </is>
      </c>
      <c r="C244" s="47" t="n"/>
      <c r="D244" s="47" t="n"/>
      <c r="E244" s="47" t="n"/>
      <c r="F244" s="47" t="n"/>
      <c r="G244" s="71" t="n">
        <v>-0.1454418928322895</v>
      </c>
      <c r="H244" s="71" t="n">
        <v>-0.009445100354191263</v>
      </c>
      <c r="I244" s="71" t="n">
        <v>-0.1077595628415301</v>
      </c>
      <c r="J244" s="71" t="n">
        <v>0.8078521939953811</v>
      </c>
    </row>
    <row r="245" ht="8" customHeight="1"/>
    <row r="246" ht="18" customHeight="1">
      <c r="A246" s="94" t="inlineStr">
        <is>
          <t>HUBB  —  Hubbell Incorporated</t>
        </is>
      </c>
      <c r="C246" s="37" t="inlineStr">
        <is>
          <t>Vital Link</t>
        </is>
      </c>
      <c r="D246" s="74" t="inlineStr">
        <is>
          <t>Mkt Cap: $24553M</t>
        </is>
      </c>
      <c r="E246" s="95" t="n"/>
      <c r="F246" s="95" t="n"/>
      <c r="G246" s="95" t="n"/>
      <c r="H246" s="95" t="n"/>
      <c r="I246" s="95" t="n"/>
      <c r="J246" s="95" t="n"/>
      <c r="K246" s="95" t="n"/>
    </row>
    <row r="247" ht="16" customHeight="1">
      <c r="A247" s="96" t="inlineStr"/>
      <c r="B247" s="18" t="inlineStr">
        <is>
          <t>Quarter</t>
        </is>
      </c>
      <c r="C247" s="18" t="inlineStr">
        <is>
          <t>2024-03-31</t>
        </is>
      </c>
      <c r="D247" s="18" t="inlineStr">
        <is>
          <t>2024-06-30</t>
        </is>
      </c>
      <c r="E247" s="18" t="inlineStr">
        <is>
          <t>2024-09-30</t>
        </is>
      </c>
      <c r="F247" s="18" t="inlineStr">
        <is>
          <t>2024-12-31</t>
        </is>
      </c>
      <c r="G247" s="18" t="inlineStr">
        <is>
          <t>2025-03-31</t>
        </is>
      </c>
      <c r="H247" s="18" t="inlineStr">
        <is>
          <t>2025-06-30</t>
        </is>
      </c>
      <c r="I247" s="18" t="inlineStr">
        <is>
          <t>2025-09-30</t>
        </is>
      </c>
      <c r="J247" s="18" t="inlineStr">
        <is>
          <t>2025-12-31</t>
        </is>
      </c>
    </row>
    <row r="248" ht="16" customHeight="1">
      <c r="A248" s="96" t="inlineStr"/>
      <c r="B248" s="66" t="inlineStr">
        <is>
          <t>Revenue ($M)</t>
        </is>
      </c>
      <c r="C248" s="97" t="n">
        <v>1399.1</v>
      </c>
      <c r="D248" s="97" t="n">
        <v>1452.5</v>
      </c>
      <c r="E248" s="97" t="n">
        <v>1442.6</v>
      </c>
      <c r="F248" s="97" t="n">
        <v>1334.3</v>
      </c>
      <c r="G248" s="97" t="n">
        <v>1365.2</v>
      </c>
      <c r="H248" s="97" t="n">
        <v>1484.3</v>
      </c>
      <c r="I248" s="97" t="n">
        <v>1502.4</v>
      </c>
      <c r="J248" s="97" t="n">
        <v>1492.7</v>
      </c>
    </row>
    <row r="249" ht="16" customHeight="1">
      <c r="A249" s="96" t="inlineStr"/>
      <c r="B249" s="94" t="inlineStr">
        <is>
          <t>Gross Margin %</t>
        </is>
      </c>
      <c r="C249" s="71" t="n">
        <v>0.32</v>
      </c>
      <c r="D249" s="71" t="n">
        <v>0.354</v>
      </c>
      <c r="E249" s="71" t="n">
        <v>0.351</v>
      </c>
      <c r="F249" s="71" t="n">
        <v>0.338</v>
      </c>
      <c r="G249" s="71" t="n">
        <v>0.331</v>
      </c>
      <c r="H249" s="71" t="n">
        <v>0.3720000000000001</v>
      </c>
      <c r="I249" s="71" t="n">
        <v>0.362</v>
      </c>
      <c r="J249" s="71" t="n">
        <v>0.354</v>
      </c>
    </row>
    <row r="250" ht="16" customHeight="1">
      <c r="A250" s="96" t="inlineStr"/>
      <c r="B250" s="26" t="inlineStr">
        <is>
          <t>QoQ Rev Growth</t>
        </is>
      </c>
      <c r="C250" s="49" t="n"/>
      <c r="D250" s="75" t="n">
        <v>0.0381673933242799</v>
      </c>
      <c r="E250" s="75" t="n">
        <v>-0.006815834767641997</v>
      </c>
      <c r="F250" s="75" t="n">
        <v>-0.07507278524885623</v>
      </c>
      <c r="G250" s="75" t="n">
        <v>0.02315821029753429</v>
      </c>
      <c r="H250" s="75" t="n">
        <v>0.08723996484031643</v>
      </c>
      <c r="I250" s="75" t="n">
        <v>0.01219430034359631</v>
      </c>
      <c r="J250" s="75" t="n">
        <v>-0.006456336528221513</v>
      </c>
    </row>
    <row r="251" ht="16" customHeight="1">
      <c r="A251" s="96" t="inlineStr"/>
      <c r="B251" s="20" t="inlineStr">
        <is>
          <t>YoY Rev Growth</t>
        </is>
      </c>
      <c r="C251" s="47" t="n"/>
      <c r="D251" s="47" t="n"/>
      <c r="E251" s="47" t="n"/>
      <c r="F251" s="47" t="n"/>
      <c r="G251" s="71" t="n">
        <v>-0.02422986205417768</v>
      </c>
      <c r="H251" s="71" t="n">
        <v>0.02189328743545611</v>
      </c>
      <c r="I251" s="71" t="n">
        <v>0.04145293220573964</v>
      </c>
      <c r="J251" s="71" t="n">
        <v>0.1187139323990107</v>
      </c>
    </row>
    <row r="252" ht="8" customHeight="1"/>
    <row r="253" ht="18" customHeight="1">
      <c r="A253" s="94" t="inlineStr">
        <is>
          <t>HON  —  Honeywell International Inc.</t>
        </is>
      </c>
      <c r="C253" s="37" t="inlineStr">
        <is>
          <t>Vital Link</t>
        </is>
      </c>
      <c r="D253" s="74" t="inlineStr">
        <is>
          <t>Mkt Cap: $66114M</t>
        </is>
      </c>
      <c r="E253" s="95" t="n"/>
      <c r="F253" s="95" t="n"/>
      <c r="G253" s="95" t="n"/>
      <c r="H253" s="95" t="n"/>
      <c r="I253" s="95" t="n"/>
      <c r="J253" s="95" t="n"/>
      <c r="K253" s="95" t="n"/>
    </row>
    <row r="254" ht="16" customHeight="1">
      <c r="A254" s="96" t="inlineStr"/>
      <c r="B254" s="18" t="inlineStr">
        <is>
          <t>Quarter</t>
        </is>
      </c>
      <c r="C254" s="18" t="inlineStr">
        <is>
          <t>2024-03-31</t>
        </is>
      </c>
      <c r="D254" s="18" t="inlineStr">
        <is>
          <t>2024-06-30</t>
        </is>
      </c>
      <c r="E254" s="18" t="inlineStr">
        <is>
          <t>2024-09-30</t>
        </is>
      </c>
      <c r="F254" s="18" t="inlineStr">
        <is>
          <t>2024-12-31</t>
        </is>
      </c>
      <c r="G254" s="18" t="inlineStr">
        <is>
          <t>2025-03-31</t>
        </is>
      </c>
      <c r="H254" s="18" t="inlineStr">
        <is>
          <t>2025-06-30</t>
        </is>
      </c>
      <c r="I254" s="18" t="inlineStr">
        <is>
          <t>2025-09-30</t>
        </is>
      </c>
      <c r="J254" s="18" t="inlineStr">
        <is>
          <t>2025-12-31</t>
        </is>
      </c>
    </row>
    <row r="255" ht="16" customHeight="1">
      <c r="A255" s="96" t="inlineStr"/>
      <c r="B255" s="66" t="inlineStr">
        <is>
          <t>Revenue ($M)</t>
        </is>
      </c>
      <c r="C255" s="97" t="n">
        <v>9105</v>
      </c>
      <c r="D255" s="97" t="n">
        <v>9577</v>
      </c>
      <c r="E255" s="97" t="n">
        <v>9728</v>
      </c>
      <c r="F255" s="97" t="n">
        <v>10088</v>
      </c>
      <c r="G255" s="97" t="n">
        <v>9822</v>
      </c>
      <c r="H255" s="97" t="n">
        <v>10352</v>
      </c>
      <c r="I255" s="97" t="n">
        <v>10408</v>
      </c>
      <c r="J255" s="97" t="n">
        <v>6860</v>
      </c>
    </row>
    <row r="256" ht="16" customHeight="1">
      <c r="A256" s="96" t="inlineStr"/>
      <c r="B256" s="94" t="inlineStr">
        <is>
          <t>Gross Margin %</t>
        </is>
      </c>
      <c r="C256" s="71" t="n">
        <v>0.387</v>
      </c>
      <c r="D256" s="71" t="n">
        <v>0.389</v>
      </c>
      <c r="E256" s="71" t="n">
        <v>0.385</v>
      </c>
      <c r="F256" s="71" t="n">
        <v>0.364</v>
      </c>
      <c r="G256" s="71" t="n">
        <v>0.385</v>
      </c>
      <c r="H256" s="71" t="n">
        <v>0.389</v>
      </c>
      <c r="I256" s="71" t="n">
        <v>0.341</v>
      </c>
      <c r="J256" s="71" t="n">
        <v>0.361</v>
      </c>
    </row>
    <row r="257" ht="16" customHeight="1">
      <c r="A257" s="96" t="inlineStr"/>
      <c r="B257" s="26" t="inlineStr">
        <is>
          <t>QoQ Rev Growth</t>
        </is>
      </c>
      <c r="C257" s="49" t="n"/>
      <c r="D257" s="75" t="n">
        <v>0.05183964854475563</v>
      </c>
      <c r="E257" s="75" t="n">
        <v>0.01576694163099092</v>
      </c>
      <c r="F257" s="75" t="n">
        <v>0.03700657894736842</v>
      </c>
      <c r="G257" s="75" t="n">
        <v>-0.02636796193497224</v>
      </c>
      <c r="H257" s="75" t="n">
        <v>0.05396049684382</v>
      </c>
      <c r="I257" s="75" t="n">
        <v>0.005409582689335394</v>
      </c>
      <c r="J257" s="75" t="n">
        <v>-0.340891621829362</v>
      </c>
    </row>
    <row r="258" ht="16" customHeight="1">
      <c r="A258" s="96" t="inlineStr"/>
      <c r="B258" s="20" t="inlineStr">
        <is>
          <t>YoY Rev Growth</t>
        </is>
      </c>
      <c r="C258" s="47" t="n"/>
      <c r="D258" s="47" t="n"/>
      <c r="E258" s="47" t="n"/>
      <c r="F258" s="47" t="n"/>
      <c r="G258" s="71" t="n">
        <v>0.07874794069192752</v>
      </c>
      <c r="H258" s="71" t="n">
        <v>0.08092304479482093</v>
      </c>
      <c r="I258" s="71" t="n">
        <v>0.06990131578947369</v>
      </c>
      <c r="J258" s="71" t="n">
        <v>-0.3199841395717684</v>
      </c>
    </row>
    <row r="259" ht="8" customHeight="1"/>
    <row r="260" ht="18" customHeight="1">
      <c r="A260" s="94" t="inlineStr">
        <is>
          <t>LHX  —  L3Harris Technologies, Inc.</t>
        </is>
      </c>
      <c r="C260" s="37" t="inlineStr">
        <is>
          <t>Vital Link</t>
        </is>
      </c>
      <c r="D260" s="74" t="inlineStr">
        <is>
          <t>Mkt Cap: $47419M</t>
        </is>
      </c>
      <c r="E260" s="95" t="n"/>
      <c r="F260" s="95" t="n"/>
      <c r="G260" s="95" t="n"/>
      <c r="H260" s="95" t="n"/>
      <c r="I260" s="95" t="n"/>
      <c r="J260" s="95" t="n"/>
      <c r="K260" s="95" t="n"/>
    </row>
    <row r="261" ht="16" customHeight="1">
      <c r="A261" s="96" t="inlineStr"/>
      <c r="B261" s="18" t="inlineStr">
        <is>
          <t>Quarter</t>
        </is>
      </c>
      <c r="C261" s="18" t="inlineStr">
        <is>
          <t>2024-03-29</t>
        </is>
      </c>
      <c r="D261" s="18" t="inlineStr">
        <is>
          <t>2024-06-28</t>
        </is>
      </c>
      <c r="E261" s="18" t="inlineStr">
        <is>
          <t>2024-09-27</t>
        </is>
      </c>
      <c r="F261" s="18" t="inlineStr">
        <is>
          <t>2025-01-03</t>
        </is>
      </c>
      <c r="G261" s="18" t="inlineStr">
        <is>
          <t>2025-03-28</t>
        </is>
      </c>
      <c r="H261" s="18" t="inlineStr">
        <is>
          <t>2025-06-27</t>
        </is>
      </c>
      <c r="I261" s="18" t="inlineStr">
        <is>
          <t>2025-10-03</t>
        </is>
      </c>
      <c r="J261" s="18" t="inlineStr">
        <is>
          <t>2026-01-02</t>
        </is>
      </c>
    </row>
    <row r="262" ht="16" customHeight="1">
      <c r="A262" s="96" t="inlineStr"/>
      <c r="B262" s="66" t="inlineStr">
        <is>
          <t>Revenue ($M)</t>
        </is>
      </c>
      <c r="C262" s="97" t="n">
        <v>5211</v>
      </c>
      <c r="D262" s="97" t="n">
        <v>5299</v>
      </c>
      <c r="E262" s="97" t="n">
        <v>5292</v>
      </c>
      <c r="F262" s="97" t="n">
        <v>5523</v>
      </c>
      <c r="G262" s="97" t="n">
        <v>5132</v>
      </c>
      <c r="H262" s="97" t="n">
        <v>5426</v>
      </c>
      <c r="I262" s="97" t="n">
        <v>5659</v>
      </c>
      <c r="J262" s="97" t="n">
        <v>5648</v>
      </c>
    </row>
    <row r="263" ht="16" customHeight="1">
      <c r="A263" s="96" t="inlineStr"/>
      <c r="B263" s="94" t="inlineStr">
        <is>
          <t>Gross Margin %</t>
        </is>
      </c>
      <c r="C263" s="71" t="n">
        <v>0.259</v>
      </c>
      <c r="D263" s="71" t="n">
        <v>0.257</v>
      </c>
      <c r="E263" s="71" t="n">
        <v>0.268</v>
      </c>
      <c r="F263" s="71" t="n">
        <v>0.253</v>
      </c>
      <c r="G263" s="71" t="n">
        <v>0.263</v>
      </c>
      <c r="H263" s="71" t="n">
        <v>0.246</v>
      </c>
      <c r="I263" s="71" t="n">
        <v>0.264</v>
      </c>
      <c r="J263" s="71" t="n">
        <v>0.256</v>
      </c>
    </row>
    <row r="264" ht="16" customHeight="1">
      <c r="A264" s="96" t="inlineStr"/>
      <c r="B264" s="26" t="inlineStr">
        <is>
          <t>QoQ Rev Growth</t>
        </is>
      </c>
      <c r="C264" s="49" t="n"/>
      <c r="D264" s="75" t="n">
        <v>0.01688735367491844</v>
      </c>
      <c r="E264" s="75" t="n">
        <v>-0.001321003963011889</v>
      </c>
      <c r="F264" s="75" t="n">
        <v>0.04365079365079365</v>
      </c>
      <c r="G264" s="75" t="n">
        <v>-0.07079485786710121</v>
      </c>
      <c r="H264" s="75" t="n">
        <v>0.05728760717069369</v>
      </c>
      <c r="I264" s="75" t="n">
        <v>0.04294139329155916</v>
      </c>
      <c r="J264" s="75" t="n">
        <v>-0.001943806326206043</v>
      </c>
    </row>
    <row r="265" ht="16" customHeight="1">
      <c r="A265" s="96" t="inlineStr"/>
      <c r="B265" s="20" t="inlineStr">
        <is>
          <t>YoY Rev Growth</t>
        </is>
      </c>
      <c r="C265" s="47" t="n"/>
      <c r="D265" s="47" t="n"/>
      <c r="E265" s="47" t="n"/>
      <c r="F265" s="47" t="n"/>
      <c r="G265" s="71" t="n">
        <v>-0.01516023795816542</v>
      </c>
      <c r="H265" s="71" t="n">
        <v>0.02396678618607284</v>
      </c>
      <c r="I265" s="71" t="n">
        <v>0.06934996220710507</v>
      </c>
      <c r="J265" s="71" t="n">
        <v>0.02263262719536484</v>
      </c>
    </row>
    <row r="266" ht="8" customHeight="1"/>
    <row r="267" ht="18" customHeight="1">
      <c r="A267" s="94" t="inlineStr">
        <is>
          <t>FTAI  —  FTAI Aviation Ltd.</t>
        </is>
      </c>
      <c r="C267" s="37" t="inlineStr">
        <is>
          <t>Vital Link</t>
        </is>
      </c>
      <c r="D267" s="74" t="inlineStr">
        <is>
          <t>Mkt Cap: $20414M</t>
        </is>
      </c>
      <c r="E267" s="95" t="n"/>
      <c r="F267" s="95" t="n"/>
      <c r="G267" s="95" t="n"/>
      <c r="H267" s="95" t="n"/>
      <c r="I267" s="95" t="n"/>
      <c r="J267" s="95" t="n"/>
      <c r="K267" s="95" t="n"/>
    </row>
    <row r="268" ht="16" customHeight="1">
      <c r="A268" s="96" t="inlineStr"/>
      <c r="B268" s="18" t="inlineStr">
        <is>
          <t>Quarter</t>
        </is>
      </c>
      <c r="C268" s="18" t="inlineStr">
        <is>
          <t>2024-03-31</t>
        </is>
      </c>
      <c r="D268" s="18" t="inlineStr">
        <is>
          <t>2024-06-30</t>
        </is>
      </c>
      <c r="E268" s="18" t="inlineStr">
        <is>
          <t>2024-09-30</t>
        </is>
      </c>
      <c r="F268" s="18" t="inlineStr">
        <is>
          <t>2024-12-31</t>
        </is>
      </c>
      <c r="G268" s="18" t="inlineStr">
        <is>
          <t>2025-03-31</t>
        </is>
      </c>
      <c r="H268" s="18" t="inlineStr">
        <is>
          <t>2025-06-30</t>
        </is>
      </c>
      <c r="I268" s="18" t="inlineStr">
        <is>
          <t>2025-09-30</t>
        </is>
      </c>
      <c r="J268" s="18" t="inlineStr">
        <is>
          <t>2025-12-31</t>
        </is>
      </c>
    </row>
    <row r="269" ht="16" customHeight="1">
      <c r="A269" s="96" t="inlineStr"/>
      <c r="B269" s="66" t="inlineStr">
        <is>
          <t>Revenue ($M)</t>
        </is>
      </c>
      <c r="C269" s="97" t="n">
        <v>330.67</v>
      </c>
      <c r="D269" s="97" t="n">
        <v>447.38</v>
      </c>
      <c r="E269" s="97" t="n">
        <v>469.514</v>
      </c>
      <c r="F269" s="97" t="n">
        <v>502.934</v>
      </c>
      <c r="G269" s="97" t="n">
        <v>502.08</v>
      </c>
      <c r="H269" s="97" t="n">
        <v>676.237</v>
      </c>
      <c r="I269" s="97" t="n">
        <v>667.064</v>
      </c>
      <c r="J269" s="97" t="n">
        <v>662.028</v>
      </c>
    </row>
    <row r="270" ht="16" customHeight="1">
      <c r="A270" s="96" t="inlineStr"/>
      <c r="B270" s="94" t="inlineStr">
        <is>
          <t>Gross Margin %</t>
        </is>
      </c>
      <c r="C270" s="71" t="n">
        <v>0.329</v>
      </c>
      <c r="D270" s="71" t="n">
        <v>0.34</v>
      </c>
      <c r="E270" s="71" t="n">
        <v>0.352</v>
      </c>
      <c r="F270" s="71" t="n">
        <v>0.302</v>
      </c>
      <c r="G270" s="71" t="n">
        <v>0.386</v>
      </c>
      <c r="H270" s="71" t="n">
        <v>0.3720000000000001</v>
      </c>
      <c r="I270" s="71" t="n">
        <v>0.373</v>
      </c>
      <c r="J270" s="71" t="n">
        <v>0.288</v>
      </c>
    </row>
    <row r="271" ht="16" customHeight="1">
      <c r="A271" s="96" t="inlineStr"/>
      <c r="B271" s="26" t="inlineStr">
        <is>
          <t>QoQ Rev Growth</t>
        </is>
      </c>
      <c r="C271" s="49" t="n"/>
      <c r="D271" s="75" t="n">
        <v>0.352950071067832</v>
      </c>
      <c r="E271" s="75" t="n">
        <v>0.04947471947784881</v>
      </c>
      <c r="F271" s="75" t="n">
        <v>0.07117998611330013</v>
      </c>
      <c r="G271" s="75" t="n">
        <v>-0.001698035925190979</v>
      </c>
      <c r="H271" s="75" t="n">
        <v>0.3468710165710644</v>
      </c>
      <c r="I271" s="75" t="n">
        <v>-0.01356477093090144</v>
      </c>
      <c r="J271" s="75" t="n">
        <v>-0.007549500497703369</v>
      </c>
    </row>
    <row r="272" ht="16" customHeight="1">
      <c r="A272" s="96" t="inlineStr"/>
      <c r="B272" s="20" t="inlineStr">
        <is>
          <t>YoY Rev Growth</t>
        </is>
      </c>
      <c r="C272" s="47" t="n"/>
      <c r="D272" s="47" t="n"/>
      <c r="E272" s="47" t="n"/>
      <c r="F272" s="47" t="n"/>
      <c r="G272" s="71" t="n">
        <v>0.5183717906069495</v>
      </c>
      <c r="H272" s="71" t="n">
        <v>0.5115494657785328</v>
      </c>
      <c r="I272" s="71" t="n">
        <v>0.4207542267110246</v>
      </c>
      <c r="J272" s="71" t="n">
        <v>0.3163317652017958</v>
      </c>
    </row>
    <row r="273" ht="8" customHeight="1"/>
    <row r="274" ht="18" customHeight="1">
      <c r="A274" s="94" t="inlineStr">
        <is>
          <t>GEHC  —  GE HealthCare Technologies Inc.</t>
        </is>
      </c>
      <c r="C274" s="37" t="inlineStr">
        <is>
          <t>Vital Link</t>
        </is>
      </c>
      <c r="D274" s="74" t="inlineStr">
        <is>
          <t>Mkt Cap: $30487M</t>
        </is>
      </c>
      <c r="E274" s="95" t="n"/>
      <c r="F274" s="95" t="n"/>
      <c r="G274" s="95" t="n"/>
      <c r="H274" s="95" t="n"/>
      <c r="I274" s="95" t="n"/>
      <c r="J274" s="95" t="n"/>
      <c r="K274" s="95" t="n"/>
    </row>
    <row r="275" ht="16" customHeight="1">
      <c r="A275" s="96" t="inlineStr"/>
      <c r="B275" s="18" t="inlineStr">
        <is>
          <t>Quarter</t>
        </is>
      </c>
      <c r="C275" s="18" t="inlineStr">
        <is>
          <t>2024-03-31</t>
        </is>
      </c>
      <c r="D275" s="18" t="inlineStr">
        <is>
          <t>2024-06-30</t>
        </is>
      </c>
      <c r="E275" s="18" t="inlineStr">
        <is>
          <t>2024-09-30</t>
        </is>
      </c>
      <c r="F275" s="18" t="inlineStr">
        <is>
          <t>2024-12-31</t>
        </is>
      </c>
      <c r="G275" s="18" t="inlineStr">
        <is>
          <t>2025-03-31</t>
        </is>
      </c>
      <c r="H275" s="18" t="inlineStr">
        <is>
          <t>2025-06-30</t>
        </is>
      </c>
      <c r="I275" s="18" t="inlineStr">
        <is>
          <t>2025-09-30</t>
        </is>
      </c>
      <c r="J275" s="18" t="inlineStr">
        <is>
          <t>2025-12-31</t>
        </is>
      </c>
    </row>
    <row r="276" ht="16" customHeight="1">
      <c r="A276" s="96" t="inlineStr"/>
      <c r="B276" s="66" t="inlineStr">
        <is>
          <t>Revenue ($M)</t>
        </is>
      </c>
      <c r="C276" s="97" t="n">
        <v>4650</v>
      </c>
      <c r="D276" s="97" t="n">
        <v>4839</v>
      </c>
      <c r="E276" s="97" t="n">
        <v>4863</v>
      </c>
      <c r="F276" s="97" t="n">
        <v>5319</v>
      </c>
      <c r="G276" s="97" t="n">
        <v>4777</v>
      </c>
      <c r="H276" s="97" t="n">
        <v>5006</v>
      </c>
      <c r="I276" s="97" t="n">
        <v>5143</v>
      </c>
      <c r="J276" s="97" t="n">
        <v>4674</v>
      </c>
    </row>
    <row r="277" ht="16" customHeight="1">
      <c r="A277" s="96" t="inlineStr"/>
      <c r="B277" s="94" t="inlineStr">
        <is>
          <t>Gross Margin %</t>
        </is>
      </c>
      <c r="C277" s="71" t="n">
        <v>0.409</v>
      </c>
      <c r="D277" s="71" t="n">
        <v>0.414</v>
      </c>
      <c r="E277" s="71" t="n">
        <v>0.417</v>
      </c>
      <c r="F277" s="71" t="n">
        <v>0.428</v>
      </c>
      <c r="G277" s="71" t="n">
        <v>0.421</v>
      </c>
      <c r="H277" s="71" t="n">
        <v>0.397</v>
      </c>
      <c r="I277" s="71" t="n">
        <v>0.387</v>
      </c>
      <c r="J277" s="71" t="n">
        <v>0.5429999999999999</v>
      </c>
    </row>
    <row r="278" ht="16" customHeight="1">
      <c r="A278" s="96" t="inlineStr"/>
      <c r="B278" s="26" t="inlineStr">
        <is>
          <t>QoQ Rev Growth</t>
        </is>
      </c>
      <c r="C278" s="49" t="n"/>
      <c r="D278" s="75" t="n">
        <v>0.04064516129032258</v>
      </c>
      <c r="E278" s="75" t="n">
        <v>0.004959702417854928</v>
      </c>
      <c r="F278" s="75" t="n">
        <v>0.09376927822331894</v>
      </c>
      <c r="G278" s="75" t="n">
        <v>-0.1018988531678887</v>
      </c>
      <c r="H278" s="75" t="n">
        <v>0.04793803642453422</v>
      </c>
      <c r="I278" s="75" t="n">
        <v>0.02736715940870955</v>
      </c>
      <c r="J278" s="75" t="n">
        <v>-0.09119191133579622</v>
      </c>
    </row>
    <row r="279" ht="16" customHeight="1">
      <c r="A279" s="96" t="inlineStr"/>
      <c r="B279" s="20" t="inlineStr">
        <is>
          <t>YoY Rev Growth</t>
        </is>
      </c>
      <c r="C279" s="47" t="n"/>
      <c r="D279" s="47" t="n"/>
      <c r="E279" s="47" t="n"/>
      <c r="F279" s="47" t="n"/>
      <c r="G279" s="71" t="n">
        <v>0.02731182795698925</v>
      </c>
      <c r="H279" s="71" t="n">
        <v>0.03451126265757388</v>
      </c>
      <c r="I279" s="71" t="n">
        <v>0.05757762697923093</v>
      </c>
      <c r="J279" s="71" t="n">
        <v>-0.1212633953750705</v>
      </c>
    </row>
    <row r="280" ht="8" customHeight="1"/>
    <row r="281" ht="18" customHeight="1">
      <c r="A281" s="94" t="inlineStr">
        <is>
          <t>AME  —  AMETEK, Inc.</t>
        </is>
      </c>
      <c r="C281" s="37" t="inlineStr">
        <is>
          <t>Vital Link</t>
        </is>
      </c>
      <c r="D281" s="74" t="inlineStr">
        <is>
          <t>Mkt Cap: $54888M</t>
        </is>
      </c>
      <c r="E281" s="95" t="n"/>
      <c r="F281" s="95" t="n"/>
      <c r="G281" s="95" t="n"/>
      <c r="H281" s="95" t="n"/>
      <c r="I281" s="95" t="n"/>
      <c r="J281" s="95" t="n"/>
      <c r="K281" s="95" t="n"/>
    </row>
    <row r="282" ht="16" customHeight="1">
      <c r="A282" s="96" t="inlineStr"/>
      <c r="B282" s="18" t="inlineStr">
        <is>
          <t>Quarter</t>
        </is>
      </c>
      <c r="C282" s="18" t="inlineStr">
        <is>
          <t>2024-03-31</t>
        </is>
      </c>
      <c r="D282" s="18" t="inlineStr">
        <is>
          <t>2024-06-30</t>
        </is>
      </c>
      <c r="E282" s="18" t="inlineStr">
        <is>
          <t>2024-09-30</t>
        </is>
      </c>
      <c r="F282" s="18" t="inlineStr">
        <is>
          <t>2024-12-31</t>
        </is>
      </c>
      <c r="G282" s="18" t="inlineStr">
        <is>
          <t>2025-03-31</t>
        </is>
      </c>
      <c r="H282" s="18" t="inlineStr">
        <is>
          <t>2025-06-30</t>
        </is>
      </c>
      <c r="I282" s="18" t="inlineStr">
        <is>
          <t>2025-09-30</t>
        </is>
      </c>
      <c r="J282" s="18" t="inlineStr">
        <is>
          <t>2025-12-31</t>
        </is>
      </c>
    </row>
    <row r="283" ht="16" customHeight="1">
      <c r="A283" s="96" t="inlineStr"/>
      <c r="B283" s="66" t="inlineStr">
        <is>
          <t>Revenue ($M)</t>
        </is>
      </c>
      <c r="C283" s="97" t="n">
        <v>1736.18</v>
      </c>
      <c r="D283" s="97" t="n">
        <v>1734.834</v>
      </c>
      <c r="E283" s="97" t="n">
        <v>1708.564</v>
      </c>
      <c r="F283" s="97" t="n">
        <v>1761.602</v>
      </c>
      <c r="G283" s="97" t="n">
        <v>1731.971</v>
      </c>
      <c r="H283" s="97" t="n">
        <v>1778.056</v>
      </c>
      <c r="I283" s="97" t="n">
        <v>1892.641</v>
      </c>
      <c r="J283" s="97" t="n">
        <v>1998.448</v>
      </c>
    </row>
    <row r="284" ht="16" customHeight="1">
      <c r="A284" s="96" t="inlineStr"/>
      <c r="B284" s="94" t="inlineStr">
        <is>
          <t>Gross Margin %</t>
        </is>
      </c>
      <c r="C284" s="71" t="n">
        <v>0.341</v>
      </c>
      <c r="D284" s="71" t="n">
        <v>0.36</v>
      </c>
      <c r="E284" s="71" t="n">
        <v>0.36</v>
      </c>
      <c r="F284" s="71" t="n">
        <v>0.366</v>
      </c>
      <c r="G284" s="71" t="n">
        <v>0.361</v>
      </c>
      <c r="H284" s="71" t="n">
        <v>0.358</v>
      </c>
      <c r="I284" s="71" t="n">
        <v>0.363</v>
      </c>
      <c r="J284" s="71" t="n">
        <v>0.369</v>
      </c>
    </row>
    <row r="285" ht="16" customHeight="1">
      <c r="A285" s="96" t="inlineStr"/>
      <c r="B285" s="26" t="inlineStr">
        <is>
          <t>QoQ Rev Growth</t>
        </is>
      </c>
      <c r="C285" s="49" t="n"/>
      <c r="D285" s="75" t="n">
        <v>-0.000775265237475377</v>
      </c>
      <c r="E285" s="75" t="n">
        <v>-0.0151426591823771</v>
      </c>
      <c r="F285" s="75" t="n">
        <v>0.03104244265944969</v>
      </c>
      <c r="G285" s="75" t="n">
        <v>-0.01682048499036672</v>
      </c>
      <c r="H285" s="75" t="n">
        <v>0.02660841318936634</v>
      </c>
      <c r="I285" s="75" t="n">
        <v>0.06444397701759674</v>
      </c>
      <c r="J285" s="75" t="n">
        <v>0.05590442138789131</v>
      </c>
    </row>
    <row r="286" ht="16" customHeight="1">
      <c r="A286" s="96" t="inlineStr"/>
      <c r="B286" s="20" t="inlineStr">
        <is>
          <t>YoY Rev Growth</t>
        </is>
      </c>
      <c r="C286" s="47" t="n"/>
      <c r="D286" s="47" t="n"/>
      <c r="E286" s="47" t="n"/>
      <c r="F286" s="47" t="n"/>
      <c r="G286" s="71" t="n">
        <v>-0.002424287804259927</v>
      </c>
      <c r="H286" s="71" t="n">
        <v>0.02491419928362022</v>
      </c>
      <c r="I286" s="71" t="n">
        <v>0.1077378430073442</v>
      </c>
      <c r="J286" s="71" t="n">
        <v>0.1344492115699233</v>
      </c>
    </row>
    <row r="287" ht="8" customHeight="1"/>
  </sheetData>
  <mergeCells count="46">
    <mergeCell ref="A232:B232"/>
    <mergeCell ref="A260:B260"/>
    <mergeCell ref="A182:B182"/>
    <mergeCell ref="A225:B225"/>
    <mergeCell ref="A281:B281"/>
    <mergeCell ref="A132:B132"/>
    <mergeCell ref="A61:B61"/>
    <mergeCell ref="A1:K1"/>
    <mergeCell ref="A168:B168"/>
    <mergeCell ref="A146:K146"/>
    <mergeCell ref="A218:B218"/>
    <mergeCell ref="A54:B54"/>
    <mergeCell ref="A196:B196"/>
    <mergeCell ref="A90:B90"/>
    <mergeCell ref="A246:B246"/>
    <mergeCell ref="A118:B118"/>
    <mergeCell ref="A189:B189"/>
    <mergeCell ref="A217:K217"/>
    <mergeCell ref="A75:K75"/>
    <mergeCell ref="A154:B154"/>
    <mergeCell ref="A267:B267"/>
    <mergeCell ref="A12:B12"/>
    <mergeCell ref="A239:B239"/>
    <mergeCell ref="A26:B26"/>
    <mergeCell ref="A139:B139"/>
    <mergeCell ref="A210:B210"/>
    <mergeCell ref="A104:B104"/>
    <mergeCell ref="A175:B175"/>
    <mergeCell ref="A76:B76"/>
    <mergeCell ref="A33:B33"/>
    <mergeCell ref="A47:B47"/>
    <mergeCell ref="A5:B5"/>
    <mergeCell ref="A2:K2"/>
    <mergeCell ref="A203:B203"/>
    <mergeCell ref="A253:B253"/>
    <mergeCell ref="A97:B97"/>
    <mergeCell ref="A125:B125"/>
    <mergeCell ref="A4:K4"/>
    <mergeCell ref="A147:B147"/>
    <mergeCell ref="A274:B274"/>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conditionalFormatting sqref="C221:J221">
    <cfRule type="colorScale" priority="61">
      <colorScale>
        <cfvo type="min"/>
        <cfvo type="max"/>
        <color rgb="00FFFFFF"/>
        <color rgb="002A9D8F"/>
      </colorScale>
    </cfRule>
  </conditionalFormatting>
  <conditionalFormatting sqref="D222:J222">
    <cfRule type="colorScale" priority="62">
      <colorScale>
        <cfvo type="min"/>
        <cfvo type="num" val="0"/>
        <cfvo type="max"/>
        <color rgb="00E76F51"/>
        <color rgb="00FFFFFF"/>
        <color rgb="002A9D8F"/>
      </colorScale>
    </cfRule>
  </conditionalFormatting>
  <conditionalFormatting sqref="C228:J228">
    <cfRule type="colorScale" priority="63">
      <colorScale>
        <cfvo type="min"/>
        <cfvo type="max"/>
        <color rgb="00FFFFFF"/>
        <color rgb="002A9D8F"/>
      </colorScale>
    </cfRule>
  </conditionalFormatting>
  <conditionalFormatting sqref="D229:J229">
    <cfRule type="colorScale" priority="64">
      <colorScale>
        <cfvo type="min"/>
        <cfvo type="num" val="0"/>
        <cfvo type="max"/>
        <color rgb="00E76F51"/>
        <color rgb="00FFFFFF"/>
        <color rgb="002A9D8F"/>
      </colorScale>
    </cfRule>
  </conditionalFormatting>
  <conditionalFormatting sqref="C235:J235">
    <cfRule type="colorScale" priority="65">
      <colorScale>
        <cfvo type="min"/>
        <cfvo type="max"/>
        <color rgb="00FFFFFF"/>
        <color rgb="002A9D8F"/>
      </colorScale>
    </cfRule>
  </conditionalFormatting>
  <conditionalFormatting sqref="D236:J236">
    <cfRule type="colorScale" priority="66">
      <colorScale>
        <cfvo type="min"/>
        <cfvo type="num" val="0"/>
        <cfvo type="max"/>
        <color rgb="00E76F51"/>
        <color rgb="00FFFFFF"/>
        <color rgb="002A9D8F"/>
      </colorScale>
    </cfRule>
  </conditionalFormatting>
  <conditionalFormatting sqref="C242:J242">
    <cfRule type="colorScale" priority="67">
      <colorScale>
        <cfvo type="min"/>
        <cfvo type="max"/>
        <color rgb="00FFFFFF"/>
        <color rgb="002A9D8F"/>
      </colorScale>
    </cfRule>
  </conditionalFormatting>
  <conditionalFormatting sqref="D243:J243">
    <cfRule type="colorScale" priority="68">
      <colorScale>
        <cfvo type="min"/>
        <cfvo type="num" val="0"/>
        <cfvo type="max"/>
        <color rgb="00E76F51"/>
        <color rgb="00FFFFFF"/>
        <color rgb="002A9D8F"/>
      </colorScale>
    </cfRule>
  </conditionalFormatting>
  <conditionalFormatting sqref="C249:J249">
    <cfRule type="colorScale" priority="69">
      <colorScale>
        <cfvo type="min"/>
        <cfvo type="max"/>
        <color rgb="00FFFFFF"/>
        <color rgb="002A9D8F"/>
      </colorScale>
    </cfRule>
  </conditionalFormatting>
  <conditionalFormatting sqref="D250:J250">
    <cfRule type="colorScale" priority="70">
      <colorScale>
        <cfvo type="min"/>
        <cfvo type="num" val="0"/>
        <cfvo type="max"/>
        <color rgb="00E76F51"/>
        <color rgb="00FFFFFF"/>
        <color rgb="002A9D8F"/>
      </colorScale>
    </cfRule>
  </conditionalFormatting>
  <conditionalFormatting sqref="C256:J256">
    <cfRule type="colorScale" priority="71">
      <colorScale>
        <cfvo type="min"/>
        <cfvo type="max"/>
        <color rgb="00FFFFFF"/>
        <color rgb="002A9D8F"/>
      </colorScale>
    </cfRule>
  </conditionalFormatting>
  <conditionalFormatting sqref="D257:J257">
    <cfRule type="colorScale" priority="72">
      <colorScale>
        <cfvo type="min"/>
        <cfvo type="num" val="0"/>
        <cfvo type="max"/>
        <color rgb="00E76F51"/>
        <color rgb="00FFFFFF"/>
        <color rgb="002A9D8F"/>
      </colorScale>
    </cfRule>
  </conditionalFormatting>
  <conditionalFormatting sqref="C263:J263">
    <cfRule type="colorScale" priority="73">
      <colorScale>
        <cfvo type="min"/>
        <cfvo type="max"/>
        <color rgb="00FFFFFF"/>
        <color rgb="002A9D8F"/>
      </colorScale>
    </cfRule>
  </conditionalFormatting>
  <conditionalFormatting sqref="D264:J264">
    <cfRule type="colorScale" priority="74">
      <colorScale>
        <cfvo type="min"/>
        <cfvo type="num" val="0"/>
        <cfvo type="max"/>
        <color rgb="00E76F51"/>
        <color rgb="00FFFFFF"/>
        <color rgb="002A9D8F"/>
      </colorScale>
    </cfRule>
  </conditionalFormatting>
  <conditionalFormatting sqref="C270:J270">
    <cfRule type="colorScale" priority="75">
      <colorScale>
        <cfvo type="min"/>
        <cfvo type="max"/>
        <color rgb="00FFFFFF"/>
        <color rgb="002A9D8F"/>
      </colorScale>
    </cfRule>
  </conditionalFormatting>
  <conditionalFormatting sqref="D271:J271">
    <cfRule type="colorScale" priority="76">
      <colorScale>
        <cfvo type="min"/>
        <cfvo type="num" val="0"/>
        <cfvo type="max"/>
        <color rgb="00E76F51"/>
        <color rgb="00FFFFFF"/>
        <color rgb="002A9D8F"/>
      </colorScale>
    </cfRule>
  </conditionalFormatting>
  <conditionalFormatting sqref="C277:J277">
    <cfRule type="colorScale" priority="77">
      <colorScale>
        <cfvo type="min"/>
        <cfvo type="max"/>
        <color rgb="00FFFFFF"/>
        <color rgb="002A9D8F"/>
      </colorScale>
    </cfRule>
  </conditionalFormatting>
  <conditionalFormatting sqref="D278:J278">
    <cfRule type="colorScale" priority="78">
      <colorScale>
        <cfvo type="min"/>
        <cfvo type="num" val="0"/>
        <cfvo type="max"/>
        <color rgb="00E76F51"/>
        <color rgb="00FFFFFF"/>
        <color rgb="002A9D8F"/>
      </colorScale>
    </cfRule>
  </conditionalFormatting>
  <conditionalFormatting sqref="C284:J284">
    <cfRule type="colorScale" priority="79">
      <colorScale>
        <cfvo type="min"/>
        <cfvo type="max"/>
        <color rgb="00FFFFFF"/>
        <color rgb="002A9D8F"/>
      </colorScale>
    </cfRule>
  </conditionalFormatting>
  <conditionalFormatting sqref="D285:J285">
    <cfRule type="colorScale" priority="8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0"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4" t="n">
        <v>-11.3</v>
      </c>
      <c r="C62" s="34" t="n">
        <v>30</v>
      </c>
      <c r="D62" s="34" t="n">
        <v>95</v>
      </c>
      <c r="E62" s="20" t="inlineStr">
        <is>
          <t>5% (floor)</t>
        </is>
      </c>
      <c r="F62" s="104" t="inlineStr">
        <is>
          <t>✓ Aligned</t>
        </is>
      </c>
    </row>
    <row r="63" ht="16" customHeight="1">
      <c r="A63" s="66" t="inlineStr">
        <is>
          <t>Gross Margin %</t>
        </is>
      </c>
      <c r="B63" s="41" t="n">
        <v>25</v>
      </c>
      <c r="C63" s="41" t="n">
        <v>35.75</v>
      </c>
      <c r="D63" s="41" t="n">
        <v>50</v>
      </c>
      <c r="E63" s="26" t="inlineStr">
        <is>
          <t>20% (floor)</t>
        </is>
      </c>
      <c r="F63" s="104" t="inlineStr">
        <is>
          <t>✓ Aligned</t>
        </is>
      </c>
    </row>
    <row r="64" ht="16" customHeight="1">
      <c r="A64" s="94" t="inlineStr">
        <is>
          <t>Insider Ownership %</t>
        </is>
      </c>
      <c r="B64" s="34" t="n">
        <v>1</v>
      </c>
      <c r="C64" s="34" t="n">
        <v>10</v>
      </c>
      <c r="D64" s="34" t="n">
        <v>30</v>
      </c>
      <c r="E64" s="20" t="inlineStr">
        <is>
          <t>N/A</t>
        </is>
      </c>
      <c r="F64" s="105" t="inlineStr">
        <is>
          <t>⚠ Loose</t>
        </is>
      </c>
    </row>
    <row r="65" ht="16" customHeight="1">
      <c r="A65" s="66" t="inlineStr">
        <is>
          <t>Dilution 3yr %</t>
        </is>
      </c>
      <c r="B65" s="41" t="n">
        <v>-4</v>
      </c>
      <c r="C65" s="41" t="n">
        <v>5</v>
      </c>
      <c r="D65" s="41" t="n">
        <v>15</v>
      </c>
      <c r="E65" s="26"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1"/>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29" t="inlineStr">
        <is>
          <t>SCREENING METHODOLOGY</t>
        </is>
      </c>
      <c r="B1" s="11" t="n"/>
      <c r="C1" s="11" t="n"/>
    </row>
    <row r="2" ht="22" customHeight="1">
      <c r="A2" s="30"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0" t="inlineStr">
        <is>
          <t>US-listed equities across four market cap tiers:</t>
        </is>
      </c>
    </row>
    <row r="6" ht="16" customHeight="1">
      <c r="B6" s="106" t="inlineStr"/>
      <c r="C6" s="50" t="inlineStr">
        <is>
          <t xml:space="preserve">  Nano Cap: $50M–$300M (highest risk, highest upside)</t>
        </is>
      </c>
    </row>
    <row r="7" ht="16" customHeight="1">
      <c r="B7" s="106" t="inlineStr"/>
      <c r="C7" s="50" t="inlineStr">
        <is>
          <t xml:space="preserve">  Small Cap: $300M–$2B (the sweet spot — proven enough to have real revenue)</t>
        </is>
      </c>
    </row>
    <row r="8" ht="16" customHeight="1">
      <c r="B8" s="106" t="inlineStr"/>
      <c r="C8" s="50" t="inlineStr">
        <is>
          <t xml:space="preserve">  Breakout: $2B–$15B (validated, growth re-accelerating)</t>
        </is>
      </c>
    </row>
    <row r="9" ht="16" customHeight="1">
      <c r="B9" s="106" t="inlineStr"/>
      <c r="C9" s="50" t="inlineStr">
        <is>
          <t xml:space="preserve">  Vital Link: $15B–$100B (entrenched supplier at a cyclical trough)</t>
        </is>
      </c>
    </row>
    <row r="10" ht="8" customHeight="1"/>
    <row r="11" ht="16" customHeight="1">
      <c r="B11" s="106" t="inlineStr"/>
      <c r="C11" s="50" t="inlineStr">
        <is>
          <t>Focus themes: Aerospace/Defense, Semiconductors, AI Infrastructure,</t>
        </is>
      </c>
    </row>
    <row r="12" ht="16" customHeight="1">
      <c r="B12" s="106" t="inlineStr"/>
      <c r="C12" s="50" t="inlineStr">
        <is>
          <t>Photonics, Quantum Computing, Space, New Energy, Gene Editing</t>
        </is>
      </c>
    </row>
    <row r="13" ht="8" customHeight="1"/>
    <row r="14" ht="22" customHeight="1">
      <c r="B14" s="16" t="inlineStr">
        <is>
          <t>Hard Filters</t>
        </is>
      </c>
      <c r="C14" s="17" t="n"/>
    </row>
    <row r="15" ht="16" customHeight="1">
      <c r="B15" s="106" t="inlineStr"/>
      <c r="C15" s="50" t="inlineStr">
        <is>
          <t>Must be US-domiciled and actively trading on a major exchange</t>
        </is>
      </c>
    </row>
    <row r="16" ht="16" customHeight="1">
      <c r="B16" s="106" t="inlineStr"/>
      <c r="C16" s="50" t="inlineStr">
        <is>
          <t>Excludes: Biotech/Pharma (unless gene editing keywords in description)</t>
        </is>
      </c>
    </row>
    <row r="17" ht="16" customHeight="1">
      <c r="B17" s="106" t="inlineStr"/>
      <c r="C17" s="50" t="inlineStr">
        <is>
          <t>Excludes: Oil &amp; Gas, Warrants, Units, Preferred shares</t>
        </is>
      </c>
    </row>
    <row r="18" ht="16" customHeight="1">
      <c r="B18" s="106" t="inlineStr"/>
      <c r="C18" s="50" t="inlineStr">
        <is>
          <t>Must match industry whitelist OR description keywords in target themes</t>
        </is>
      </c>
    </row>
    <row r="19" ht="16" customHeight="1">
      <c r="B19" s="106" t="inlineStr"/>
      <c r="C19" s="50" t="inlineStr">
        <is>
          <t>No OTC/pink sheet securities</t>
        </is>
      </c>
    </row>
    <row r="20" ht="8" customHeight="1"/>
    <row r="21" ht="22" customHeight="1">
      <c r="B21" s="16" t="inlineStr">
        <is>
          <t>Quality Floor</t>
        </is>
      </c>
      <c r="C21" s="17" t="n"/>
    </row>
    <row r="22" ht="16" customHeight="1">
      <c r="B22" s="106" t="inlineStr"/>
      <c r="C22" s="50" t="inlineStr">
        <is>
          <t>Revenue growth must exceed 5% YoY</t>
        </is>
      </c>
    </row>
    <row r="23" ht="16" customHeight="1">
      <c r="B23" s="106" t="inlineStr"/>
      <c r="C23" s="50" t="inlineStr">
        <is>
          <t>Gross margin must exceed 20%</t>
        </is>
      </c>
    </row>
    <row r="24" ht="16" customHeight="1">
      <c r="B24" s="106" t="inlineStr"/>
      <c r="C24" s="50" t="inlineStr">
        <is>
          <t>3-year share dilution must be below 30%</t>
        </is>
      </c>
    </row>
    <row r="25" ht="16" customHeight="1">
      <c r="B25" s="106" t="inlineStr"/>
      <c r="C25" s="50" t="inlineStr">
        <is>
          <t>Stocks failing any of these thresholds are excluded entirely</t>
        </is>
      </c>
    </row>
    <row r="26" ht="8" customHeight="1"/>
    <row r="27" ht="22" customHeight="1">
      <c r="B27" s="16" t="inlineStr">
        <is>
          <t>Composite Score (60%)</t>
        </is>
      </c>
      <c r="C27" s="17" t="n"/>
    </row>
    <row r="28" ht="16" customHeight="1">
      <c r="B28" s="106" t="inlineStr"/>
      <c r="C28" s="50" t="inlineStr">
        <is>
          <t>Revenue Growth YoY: 30% weight — Higher is better, &gt;50% = max score</t>
        </is>
      </c>
    </row>
    <row r="29" ht="16" customHeight="1">
      <c r="B29" s="106" t="inlineStr"/>
      <c r="C29" s="50" t="inlineStr">
        <is>
          <t xml:space="preserve">  A decline scores zero UNLESS gross margin held through it, in which case it</t>
        </is>
      </c>
    </row>
    <row r="30" ht="16" customHeight="1">
      <c r="B30" s="106" t="inlineStr"/>
      <c r="C30" s="50" t="inlineStr">
        <is>
          <t xml:space="preserve">  earns partial credit (max 50, i.e. a 25% grower) scaled by margin conceded</t>
        </is>
      </c>
    </row>
    <row r="31" ht="16" customHeight="1">
      <c r="B31" s="106" t="inlineStr"/>
      <c r="C31" s="50" t="inlineStr">
        <is>
          <t xml:space="preserve">  per point of revenue decline. Corning conceded 0.6pp on an 11.3% fall.</t>
        </is>
      </c>
    </row>
    <row r="32" ht="16" customHeight="1">
      <c r="B32" s="106" t="inlineStr"/>
      <c r="C32" s="50" t="inlineStr">
        <is>
          <t>Gross Margin: 20% weight — &gt;40% = max, proxy for pricing power and moat</t>
        </is>
      </c>
    </row>
    <row r="33" ht="16" customHeight="1">
      <c r="B33" s="106" t="inlineStr"/>
      <c r="C33" s="50" t="inlineStr">
        <is>
          <t>Dilution 3yr: 20% weight — Lower is better, &lt;5% = full points, &gt;30% = zero</t>
        </is>
      </c>
    </row>
    <row r="34" ht="16" customHeight="1">
      <c r="B34" s="106" t="inlineStr"/>
      <c r="C34" s="50" t="inlineStr">
        <is>
          <t>Insider Ownership: 15% weight — &gt;10% = full points, founders with skin in the game</t>
        </is>
      </c>
    </row>
    <row r="35" ht="16" customHeight="1">
      <c r="B35" s="106" t="inlineStr"/>
      <c r="C35" s="50" t="inlineStr">
        <is>
          <t>Revenue Acceleration: 15% weight — Is the growth rate itself increasing?</t>
        </is>
      </c>
    </row>
    <row r="36" ht="8" customHeight="1"/>
    <row r="37" ht="22" customHeight="1">
      <c r="B37" s="16" t="inlineStr">
        <is>
          <t>Fingerprint Score (75%)</t>
        </is>
      </c>
      <c r="C37" s="17" t="n"/>
    </row>
    <row r="38" ht="16" customHeight="1">
      <c r="B38" s="106" t="inlineStr"/>
      <c r="C38" s="50" t="inlineStr">
        <is>
          <t>Measures similarity to 6 reference stocks at their pre-run inflection point</t>
        </is>
      </c>
    </row>
    <row r="39" ht="16" customHeight="1">
      <c r="B39" s="106" t="inlineStr"/>
      <c r="C39" s="50" t="inlineStr">
        <is>
          <t>Reference stocks: LITE, COHR, AAOI, KTOS, RKLB, GLW</t>
        </is>
      </c>
    </row>
    <row r="40" ht="16" customHeight="1">
      <c r="B40" s="106" t="inlineStr"/>
      <c r="C40" s="50" t="inlineStr">
        <is>
          <t>Compares: revenue growth, gross margin, insider %, dilution, market cap</t>
        </is>
      </c>
    </row>
    <row r="41" ht="16" customHeight="1">
      <c r="B41" s="106" t="inlineStr"/>
      <c r="C41" s="50" t="inlineStr">
        <is>
          <t>Scores against the NEAREST reference, not an average of all of them</t>
        </is>
      </c>
    </row>
    <row r="42" ht="16" customHeight="1">
      <c r="B42" s="106" t="inlineStr"/>
      <c r="C42" s="50" t="inlineStr">
        <is>
          <t>The set spans archetypes: AAOI was $300M growing 95%; GLW was $26B with revenue down 11% at its trough</t>
        </is>
      </c>
    </row>
    <row r="43" ht="16" customHeight="1">
      <c r="B43" s="106" t="inlineStr"/>
      <c r="C43" s="50" t="inlineStr">
        <is>
          <t>Market cap is compared in orders of magnitude, other metrics in absolute distance</t>
        </is>
      </c>
    </row>
    <row r="44" ht="16" customHeight="1">
      <c r="B44" s="106" t="inlineStr"/>
      <c r="C44" s="50" t="inlineStr">
        <is>
          <t>Combined Score = 0% Composite + 75% Fingerprint + 25% WPS</t>
        </is>
      </c>
    </row>
    <row r="45" ht="16" customHeight="1">
      <c r="B45" s="106" t="inlineStr"/>
      <c r="C45" s="50" t="inlineStr">
        <is>
          <t>Weights set from an 18-date point-in-time reconstruction with real 12-month forward returns</t>
        </is>
      </c>
    </row>
    <row r="46" ht="16" customHeight="1">
      <c r="B46" s="106" t="inlineStr"/>
      <c r="C46" s="50" t="inlineStr">
        <is>
          <t>Composite carries no weight: it ranked no better than chance (11/18 dates) and its spread was negative once size was controlled</t>
        </is>
      </c>
    </row>
    <row r="47" ht="8" customHeight="1"/>
    <row r="48" ht="22" customHeight="1">
      <c r="B48" s="16" t="inlineStr">
        <is>
          <t>Position Sizing Rules</t>
        </is>
      </c>
      <c r="C48" s="17" t="n"/>
    </row>
    <row r="49" ht="16" customHeight="1">
      <c r="B49" s="106" t="inlineStr"/>
      <c r="C49" s="50" t="inlineStr">
        <is>
          <t>Based on conviction level: High (8%), Medium-High (5%), Medium (3%), Speculative (1.5%)</t>
        </is>
      </c>
    </row>
    <row r="50" ht="16" customHeight="1">
      <c r="B50" s="106" t="inlineStr"/>
      <c r="C50" s="50" t="inlineStr">
        <is>
          <t>Nano caps receive 0.6x risk multiplier (smaller positions for higher risk)</t>
        </is>
      </c>
    </row>
    <row r="51" ht="16" customHeight="1">
      <c r="B51" s="106" t="inlineStr"/>
      <c r="C51" s="50" t="inlineStr">
        <is>
          <t>Breakout caps receive 1.2x multiplier (larger positions for validated growth)</t>
        </is>
      </c>
    </row>
    <row r="52" ht="16" customHeight="1">
      <c r="B52" s="106" t="inlineStr"/>
      <c r="C52" s="50" t="inlineStr">
        <is>
          <t>Vital Link caps receive 1.4x multiplier (entrenched incumbents, lower single-name risk)</t>
        </is>
      </c>
    </row>
    <row r="53" ht="16" customHeight="1">
      <c r="B53" s="106" t="inlineStr"/>
      <c r="C53" s="50" t="inlineStr">
        <is>
          <t>Designed to sum to &lt;100% with meaningful cash reserve</t>
        </is>
      </c>
    </row>
    <row r="54" ht="8" customHeight="1"/>
    <row r="55" ht="22" customHeight="1">
      <c r="B55" s="16" t="inlineStr">
        <is>
          <t>Data Source &amp; Refresh</t>
        </is>
      </c>
      <c r="C55" s="17" t="n"/>
    </row>
    <row r="56" ht="16" customHeight="1">
      <c r="B56" s="106" t="inlineStr"/>
      <c r="C56" s="50" t="inlineStr">
        <is>
          <t>All data sourced from Financial Modeling Prep (FMP) API</t>
        </is>
      </c>
    </row>
    <row r="57" ht="16" customHeight="1">
      <c r="B57" s="106" t="inlineStr"/>
      <c r="C57" s="50" t="inlineStr">
        <is>
          <t>24-hour cache on all API responses to protect rate limits</t>
        </is>
      </c>
    </row>
    <row r="58" ht="16" customHeight="1">
      <c r="B58" s="106" t="inlineStr"/>
      <c r="C58" s="50" t="inlineStr">
        <is>
          <t>Quarterly financials: last 10 quarters of income statements</t>
        </is>
      </c>
    </row>
    <row r="59" ht="16" customHeight="1">
      <c r="B59" s="106" t="inlineStr"/>
      <c r="C59" s="50" t="inlineStr">
        <is>
          <t>Share count history: last 12 quarters of enterprise values</t>
        </is>
      </c>
    </row>
    <row r="60" ht="16" customHeight="1">
      <c r="B60" s="106" t="inlineStr"/>
      <c r="C60" s="50" t="inlineStr">
        <is>
          <t>Report generated: September 08, 2026</t>
        </is>
      </c>
    </row>
    <row r="61" ht="8" customHeight="1"/>
    <row r="62" ht="22" customHeight="1">
      <c r="B62" s="16" t="inlineStr">
        <is>
          <t>Disclaimer</t>
        </is>
      </c>
      <c r="C62" s="17" t="n"/>
    </row>
    <row r="63" ht="16" customHeight="1">
      <c r="B63" s="106" t="inlineStr"/>
      <c r="C63" s="50" t="inlineStr">
        <is>
          <t>This screener is for research and educational purposes only.</t>
        </is>
      </c>
    </row>
    <row r="64" ht="16" customHeight="1">
      <c r="B64" s="106" t="inlineStr"/>
      <c r="C64" s="50" t="inlineStr">
        <is>
          <t>It does not constitute investment advice or a recommendation to buy or sell.</t>
        </is>
      </c>
    </row>
    <row r="65" ht="16" customHeight="1">
      <c r="B65" s="106" t="inlineStr"/>
      <c r="C65" s="50" t="inlineStr">
        <is>
          <t>Past performance of reference stocks does not guarantee future results.</t>
        </is>
      </c>
    </row>
    <row r="66" ht="16" customHeight="1">
      <c r="B66" s="106" t="inlineStr"/>
      <c r="C66" s="50" t="inlineStr">
        <is>
          <t>All investments carry risk of loss. Consult a licensed financial advisor.</t>
        </is>
      </c>
    </row>
    <row r="67" ht="8" customHeight="1"/>
    <row r="69">
      <c r="B69" s="16" t="inlineStr">
        <is>
          <t>VERSION HISTORY</t>
        </is>
      </c>
      <c r="C69" s="17" t="n"/>
    </row>
    <row r="70">
      <c r="B70" s="94" t="inlineStr">
        <is>
          <t>v2.0</t>
        </is>
      </c>
      <c r="C70" s="48" t="inlineStr">
        <is>
          <t>September 08, 2026 — Institutional rebuild: openpyxl, design system, charts, data validation</t>
        </is>
      </c>
    </row>
    <row r="71">
      <c r="B71" s="66" t="inlineStr">
        <is>
          <t>v1.0</t>
        </is>
      </c>
      <c r="C71" s="50"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2026-09-08T17:34:45Z</dcterms:created>
  <dcterms:modified xsi:type="dcterms:W3CDTF">2026-09-08T17:34:45Z</dcterms:modified>
</cp:coreProperties>
</file>