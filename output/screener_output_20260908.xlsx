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'Descriptions'!$A$4:$F$34</definedName>
    <definedName name="_xlnm._FilterDatabase" localSheetId="6"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E76F51"/>
      </patternFill>
    </fill>
    <fill>
      <patternFill patternType="solid">
        <fgColor rgb="00C1121F"/>
      </patternFill>
    </fill>
    <fill>
      <patternFill patternType="solid">
        <fgColor rgb="001A6B3C"/>
      </patternFill>
    </fill>
    <fill>
      <patternFill patternType="solid">
        <fgColor rgb="00B5D8B0"/>
      </patternFill>
    </fill>
    <fill>
      <patternFill patternType="solid">
        <fgColor rgb="00E0F0ED"/>
      </patternFill>
    </fill>
    <fill>
      <patternFill patternType="solid">
        <fgColor rgb="00EDE8F0"/>
      </patternFill>
    </fill>
    <fill>
      <patternFill patternType="solid">
        <fgColor rgb="00E8EDF2"/>
      </patternFill>
    </fill>
    <fill>
      <patternFill patternType="solid">
        <fgColor rgb="00E8F5E9"/>
      </patternFill>
    </fill>
    <fill>
      <patternFill patternType="solid">
        <fgColor rgb="00FBE9E7"/>
      </patternFill>
    </fill>
    <fill>
      <patternFill patternType="solid">
        <fgColor rgb="002A9D8F"/>
      </patternFill>
    </fill>
    <fill>
      <patternFill patternType="solid">
        <fgColor rgb="00FFF8E1"/>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7" fillId="9"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7" fillId="11"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2"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7" borderId="13" applyAlignment="1" pivotButton="0" quotePrefix="0" xfId="0">
      <alignment horizontal="center" vertical="center" wrapText="1"/>
    </xf>
    <xf numFmtId="165" fontId="7" fillId="9"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5"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6" borderId="13" applyAlignment="1" pivotButton="0" quotePrefix="0" xfId="0">
      <alignment horizontal="left" vertical="top" wrapText="1"/>
    </xf>
    <xf numFmtId="0" fontId="9" fillId="17"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8"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6" borderId="13" applyAlignment="1" pivotButton="0" quotePrefix="0" xfId="0">
      <alignment horizontal="center" vertical="center" wrapText="1"/>
    </xf>
    <xf numFmtId="0" fontId="19" fillId="19"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Construction'!M50</f>
            </strRef>
          </tx>
          <spPr>
            <a:ln>
              <a:prstDash val="solid"/>
            </a:ln>
          </spPr>
          <cat>
            <numRef>
              <f>'Portfolio Construction'!$L$51:$L$54</f>
            </numRef>
          </cat>
          <val>
            <numRef>
              <f>'Portfolio Construction'!$M$51:$M$54</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Analysis'!$B$50:$B$54</f>
            </numRef>
          </cat>
          <val>
            <numRef>
              <f>'Sensitivity Analysis'!$C$50:$C$54</f>
            </numRef>
          </val>
        </ser>
        <ser>
          <idx val="1"/>
          <order val="1"/>
          <spPr>
            <a:solidFill>
              <a:srgbClr val="2A9D8F"/>
            </a:solidFill>
            <a:ln>
              <a:prstDash val="solid"/>
            </a:ln>
          </spPr>
          <cat>
            <numRef>
              <f>'Sensitivity Analysis'!$B$50:$B$54</f>
            </numRef>
          </cat>
          <val>
            <numRef>
              <f>'Sensitivity Analysis'!$D$50:$D$54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49</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30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30</t>
        </is>
      </c>
      <c r="D7" s="15" t="inlineStr">
        <is>
          <t>30</t>
        </is>
      </c>
      <c r="F7" s="15" t="inlineStr">
        <is>
          <t>60.0</t>
        </is>
      </c>
      <c r="H7" s="12" t="n"/>
      <c r="I7" s="15" t="inlineStr">
        <is>
          <t>41.1%</t>
        </is>
      </c>
      <c r="K7" s="15" t="inlineStr">
        <is>
          <t>42.3%</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AISP</t>
        </is>
      </c>
      <c r="C12" s="20" t="inlineStr">
        <is>
          <t>Airship AI Holdings, Inc.</t>
        </is>
      </c>
      <c r="D12" s="21" t="n">
        <v>71.8</v>
      </c>
      <c r="E12" s="22" t="n">
        <v>67</v>
      </c>
      <c r="F12" s="23" t="inlineStr">
        <is>
          <t>Medium</t>
        </is>
      </c>
      <c r="G12" s="19" t="inlineStr">
        <is>
          <t>SWBI</t>
        </is>
      </c>
      <c r="H12" s="20" t="inlineStr">
        <is>
          <t>Smith &amp; Wesson Brands, Inc.</t>
        </is>
      </c>
      <c r="I12" s="21" t="n">
        <v>588.2</v>
      </c>
      <c r="J12" s="22" t="n">
        <v>70</v>
      </c>
      <c r="K12" s="23" t="inlineStr">
        <is>
          <t>Medium</t>
        </is>
      </c>
      <c r="L12" s="19" t="inlineStr">
        <is>
          <t>CE</t>
        </is>
      </c>
      <c r="M12" s="20" t="inlineStr">
        <is>
          <t>Celanese Corporation</t>
        </is>
      </c>
      <c r="N12" s="21" t="n">
        <v>4874</v>
      </c>
      <c r="O12" s="22" t="n">
        <v>68.90000000000001</v>
      </c>
      <c r="P12" s="23" t="inlineStr">
        <is>
          <t>Medium</t>
        </is>
      </c>
    </row>
    <row r="13" ht="16" customHeight="1">
      <c r="B13" s="24" t="inlineStr">
        <is>
          <t>INTT</t>
        </is>
      </c>
      <c r="C13" s="25" t="inlineStr">
        <is>
          <t>inTEST Corporation</t>
        </is>
      </c>
      <c r="D13" s="26" t="n">
        <v>146.3</v>
      </c>
      <c r="E13" s="22" t="n">
        <v>63.9</v>
      </c>
      <c r="F13" s="27" t="inlineStr">
        <is>
          <t>Speculative</t>
        </is>
      </c>
      <c r="G13" s="24" t="inlineStr">
        <is>
          <t>GHM</t>
        </is>
      </c>
      <c r="H13" s="25" t="inlineStr">
        <is>
          <t>Graham Corporation</t>
        </is>
      </c>
      <c r="I13" s="26" t="n">
        <v>1046.6</v>
      </c>
      <c r="J13" s="22" t="n">
        <v>63.6</v>
      </c>
      <c r="K13" s="27" t="inlineStr">
        <is>
          <t>Speculative</t>
        </is>
      </c>
      <c r="L13" s="24" t="inlineStr">
        <is>
          <t>CALX</t>
        </is>
      </c>
      <c r="M13" s="25" t="inlineStr">
        <is>
          <t>Calix, Inc.</t>
        </is>
      </c>
      <c r="N13" s="26" t="n">
        <v>2219.5</v>
      </c>
      <c r="O13" s="22" t="n">
        <v>68.59999999999999</v>
      </c>
      <c r="P13" s="23" t="inlineStr">
        <is>
          <t>Medium</t>
        </is>
      </c>
    </row>
    <row r="14" ht="16" customHeight="1">
      <c r="B14" s="19" t="inlineStr">
        <is>
          <t>KVHI</t>
        </is>
      </c>
      <c r="C14" s="20" t="inlineStr">
        <is>
          <t>KVH Industries, Inc.</t>
        </is>
      </c>
      <c r="D14" s="21" t="n">
        <v>138.8</v>
      </c>
      <c r="E14" s="22" t="n">
        <v>62.1</v>
      </c>
      <c r="F14" s="27" t="inlineStr">
        <is>
          <t>Speculative</t>
        </is>
      </c>
      <c r="G14" s="19" t="inlineStr">
        <is>
          <t>TRC</t>
        </is>
      </c>
      <c r="H14" s="20" t="inlineStr">
        <is>
          <t>Tejon Ranch Co.</t>
        </is>
      </c>
      <c r="I14" s="21" t="n">
        <v>446.5</v>
      </c>
      <c r="J14" s="22" t="n">
        <v>63.5</v>
      </c>
      <c r="K14" s="27" t="inlineStr">
        <is>
          <t>Speculative</t>
        </is>
      </c>
      <c r="L14" s="19" t="inlineStr">
        <is>
          <t>ADEA</t>
        </is>
      </c>
      <c r="M14" s="20" t="inlineStr">
        <is>
          <t>Adeia Inc.</t>
        </is>
      </c>
      <c r="N14" s="21" t="n">
        <v>2998.6</v>
      </c>
      <c r="O14" s="22" t="n">
        <v>61.8</v>
      </c>
      <c r="P14" s="27" t="inlineStr">
        <is>
          <t>Speculative</t>
        </is>
      </c>
    </row>
    <row r="15" ht="16" customHeight="1">
      <c r="B15" s="24" t="inlineStr">
        <is>
          <t>RFIL</t>
        </is>
      </c>
      <c r="C15" s="25" t="inlineStr">
        <is>
          <t>RF Industries, Ltd.</t>
        </is>
      </c>
      <c r="D15" s="26" t="n">
        <v>117.2</v>
      </c>
      <c r="E15" s="22" t="n">
        <v>62.1</v>
      </c>
      <c r="F15" s="27" t="inlineStr">
        <is>
          <t>Speculative</t>
        </is>
      </c>
      <c r="G15" s="24" t="inlineStr">
        <is>
          <t>CEVA</t>
        </is>
      </c>
      <c r="H15" s="25" t="inlineStr">
        <is>
          <t>CEVA, Inc.</t>
        </is>
      </c>
      <c r="I15" s="26" t="n">
        <v>784.5</v>
      </c>
      <c r="J15" s="22" t="n">
        <v>62.2</v>
      </c>
      <c r="K15" s="27" t="inlineStr">
        <is>
          <t>Speculative</t>
        </is>
      </c>
      <c r="L15" s="24" t="inlineStr">
        <is>
          <t>DCI</t>
        </is>
      </c>
      <c r="M15" s="25" t="inlineStr">
        <is>
          <t>Donaldson Company, Inc.</t>
        </is>
      </c>
      <c r="N15" s="26" t="n">
        <v>10618.6</v>
      </c>
      <c r="O15" s="28" t="n">
        <v>59.6</v>
      </c>
      <c r="P15" s="27" t="inlineStr">
        <is>
          <t>Speculative</t>
        </is>
      </c>
    </row>
    <row r="16" ht="16" customHeight="1">
      <c r="B16" s="19" t="inlineStr">
        <is>
          <t>LAW</t>
        </is>
      </c>
      <c r="C16" s="20" t="inlineStr">
        <is>
          <t>CS Disco, Inc.</t>
        </is>
      </c>
      <c r="D16" s="21" t="n">
        <v>260.7</v>
      </c>
      <c r="E16" s="22" t="n">
        <v>61.6</v>
      </c>
      <c r="F16" s="27" t="inlineStr">
        <is>
          <t>Speculative</t>
        </is>
      </c>
      <c r="G16" s="19" t="inlineStr">
        <is>
          <t>VPG</t>
        </is>
      </c>
      <c r="H16" s="20" t="inlineStr">
        <is>
          <t>Vishay Precision Group, Inc.</t>
        </is>
      </c>
      <c r="I16" s="21" t="n">
        <v>868.2</v>
      </c>
      <c r="J16" s="28" t="n">
        <v>59.1</v>
      </c>
      <c r="K16" s="27" t="inlineStr">
        <is>
          <t>Speculative</t>
        </is>
      </c>
      <c r="L16" s="19" t="inlineStr">
        <is>
          <t>BCO</t>
        </is>
      </c>
      <c r="M16" s="20" t="inlineStr">
        <is>
          <t>The Brink's Company</t>
        </is>
      </c>
      <c r="N16" s="21" t="n">
        <v>4372.8</v>
      </c>
      <c r="O16" s="28" t="n">
        <v>57.8</v>
      </c>
      <c r="P16" s="27" t="inlineStr">
        <is>
          <t>Speculative</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SWBI</t>
        </is>
      </c>
      <c r="B41" t="n">
        <v>70</v>
      </c>
      <c r="C41" t="inlineStr">
        <is>
          <t>Small Cap</t>
        </is>
      </c>
    </row>
    <row r="42">
      <c r="A42" t="inlineStr">
        <is>
          <t>CE</t>
        </is>
      </c>
      <c r="B42" t="n">
        <v>68.90000000000001</v>
      </c>
      <c r="C42" t="inlineStr">
        <is>
          <t>Breakout</t>
        </is>
      </c>
    </row>
    <row r="43">
      <c r="A43" t="inlineStr">
        <is>
          <t>CALX</t>
        </is>
      </c>
      <c r="B43" t="n">
        <v>68.59999999999999</v>
      </c>
      <c r="C43" t="inlineStr">
        <is>
          <t>Breakout</t>
        </is>
      </c>
    </row>
    <row r="44">
      <c r="A44" t="inlineStr">
        <is>
          <t>AISP</t>
        </is>
      </c>
      <c r="B44" t="n">
        <v>67</v>
      </c>
      <c r="C44" t="inlineStr">
        <is>
          <t>Nano Cap</t>
        </is>
      </c>
    </row>
    <row r="45">
      <c r="A45" t="inlineStr">
        <is>
          <t>INTT</t>
        </is>
      </c>
      <c r="B45" t="n">
        <v>63.9</v>
      </c>
      <c r="C45" t="inlineStr">
        <is>
          <t>Nano Cap</t>
        </is>
      </c>
    </row>
    <row r="46">
      <c r="A46" t="inlineStr">
        <is>
          <t>GHM</t>
        </is>
      </c>
      <c r="B46" t="n">
        <v>63.6</v>
      </c>
      <c r="C46" t="inlineStr">
        <is>
          <t>Small Cap</t>
        </is>
      </c>
    </row>
    <row r="47">
      <c r="A47" t="inlineStr">
        <is>
          <t>TRC</t>
        </is>
      </c>
      <c r="B47" t="n">
        <v>63.5</v>
      </c>
      <c r="C47" t="inlineStr">
        <is>
          <t>Small Cap</t>
        </is>
      </c>
    </row>
    <row r="48">
      <c r="A48" t="inlineStr">
        <is>
          <t>CEVA</t>
        </is>
      </c>
      <c r="B48" t="n">
        <v>62.2</v>
      </c>
      <c r="C48" t="inlineStr">
        <is>
          <t>Small Cap</t>
        </is>
      </c>
    </row>
    <row r="49">
      <c r="A49" t="inlineStr">
        <is>
          <t>KVHI</t>
        </is>
      </c>
      <c r="B49" t="n">
        <v>62.1</v>
      </c>
      <c r="C49" t="inlineStr">
        <is>
          <t>Nano Cap</t>
        </is>
      </c>
    </row>
    <row r="50">
      <c r="A50" t="inlineStr">
        <is>
          <t>RFIL</t>
        </is>
      </c>
      <c r="B50" t="n">
        <v>62.1</v>
      </c>
      <c r="C50" t="inlineStr">
        <is>
          <t>Nano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AISP</t>
        </is>
      </c>
      <c r="C5" s="20" t="inlineStr">
        <is>
          <t>Airship AI Holdings, Inc.</t>
        </is>
      </c>
      <c r="D5" s="21" t="n">
        <v>71.8</v>
      </c>
      <c r="E5" s="33" t="n">
        <v>2.085</v>
      </c>
      <c r="F5" s="34" t="n">
        <v>0.9209999999999999</v>
      </c>
      <c r="G5" s="34" t="n">
        <v>1.586</v>
      </c>
      <c r="H5" s="34" t="n">
        <v>0.7509999999999999</v>
      </c>
      <c r="I5" s="34" t="n">
        <v>0.211</v>
      </c>
      <c r="J5" s="34" t="n">
        <v>0.288</v>
      </c>
      <c r="K5" s="35" t="n">
        <v>100</v>
      </c>
      <c r="L5" s="36" t="n">
        <v>87.09999999999999</v>
      </c>
      <c r="M5" s="36" t="n">
        <v>41.5</v>
      </c>
      <c r="N5" s="37" t="n">
        <v>67</v>
      </c>
      <c r="O5" s="35" t="n">
        <v>81.09999999999999</v>
      </c>
      <c r="P5" s="38" t="inlineStr">
        <is>
          <t>—</t>
        </is>
      </c>
      <c r="Q5" s="39" t="n">
        <v>4.4</v>
      </c>
      <c r="R5" s="34" t="n">
        <v>0.007246376799999999</v>
      </c>
      <c r="S5" s="34" t="n">
        <v>-0.2553571</v>
      </c>
      <c r="T5" s="34" t="n">
        <v>-0.2132075</v>
      </c>
      <c r="U5" s="34" t="n">
        <v>-0.2785467</v>
      </c>
      <c r="V5" s="34" t="n">
        <v>-0.5162413</v>
      </c>
    </row>
    <row r="6" ht="16" customHeight="1">
      <c r="A6" s="32" t="n">
        <v>2</v>
      </c>
      <c r="B6" s="24" t="inlineStr">
        <is>
          <t>INTT</t>
        </is>
      </c>
      <c r="C6" s="25" t="inlineStr">
        <is>
          <t>inTEST Corporation</t>
        </is>
      </c>
      <c r="D6" s="26" t="n">
        <v>146.3</v>
      </c>
      <c r="E6" s="40" t="n">
        <v>11.59</v>
      </c>
      <c r="F6" s="41" t="n">
        <v>0.255</v>
      </c>
      <c r="G6" s="41" t="n">
        <v>0.427</v>
      </c>
      <c r="H6" s="41" t="n">
        <v>0.405</v>
      </c>
      <c r="I6" s="41" t="n">
        <v>0.036</v>
      </c>
      <c r="J6" s="41" t="n">
        <v>0.133</v>
      </c>
      <c r="K6" s="42" t="n">
        <v>49.4</v>
      </c>
      <c r="L6" s="42" t="n">
        <v>85.3</v>
      </c>
      <c r="M6" s="42" t="n">
        <v>71.2</v>
      </c>
      <c r="N6" s="43" t="n">
        <v>63.9</v>
      </c>
      <c r="O6" s="22" t="n">
        <v>67.2</v>
      </c>
      <c r="P6" s="44" t="inlineStr">
        <is>
          <t>—</t>
        </is>
      </c>
      <c r="Q6" s="39" t="n">
        <v>27.8</v>
      </c>
      <c r="R6" s="41" t="n">
        <v>-0.175089</v>
      </c>
      <c r="S6" s="41" t="n">
        <v>-0.2584773</v>
      </c>
      <c r="T6" s="41" t="n">
        <v>-0.1246224</v>
      </c>
      <c r="U6" s="41" t="n">
        <v>0.5515395000000001</v>
      </c>
      <c r="V6" s="41" t="n">
        <v>0.6097222</v>
      </c>
    </row>
    <row r="7" ht="16" customHeight="1">
      <c r="A7" s="32" t="n">
        <v>3</v>
      </c>
      <c r="B7" s="19" t="inlineStr">
        <is>
          <t>KVHI</t>
        </is>
      </c>
      <c r="C7" s="20" t="inlineStr">
        <is>
          <t>KVH Industries, Inc.</t>
        </is>
      </c>
      <c r="D7" s="21" t="n">
        <v>138.8</v>
      </c>
      <c r="E7" s="33" t="n">
        <v>7.1182</v>
      </c>
      <c r="F7" s="34" t="n">
        <v>0.267</v>
      </c>
      <c r="G7" s="34" t="n">
        <v>0.338</v>
      </c>
      <c r="H7" s="34" t="n">
        <v>0.3</v>
      </c>
      <c r="I7" s="34" t="n">
        <v>0.008</v>
      </c>
      <c r="J7" s="34" t="n">
        <v>0.35</v>
      </c>
      <c r="K7" s="35" t="n">
        <v>68.3</v>
      </c>
      <c r="L7" s="36" t="n">
        <v>81</v>
      </c>
      <c r="M7" s="36" t="n">
        <v>58.4</v>
      </c>
      <c r="N7" s="37" t="n">
        <v>62.1</v>
      </c>
      <c r="O7" s="22" t="n">
        <v>62.3</v>
      </c>
      <c r="P7" s="38" t="inlineStr">
        <is>
          <t>—</t>
        </is>
      </c>
      <c r="Q7" s="39" t="n">
        <v>14.8</v>
      </c>
      <c r="R7" s="34" t="n">
        <v>-0.1135492</v>
      </c>
      <c r="S7" s="34" t="n">
        <v>-0.07315100000000001</v>
      </c>
      <c r="T7" s="34" t="n">
        <v>0.2044332</v>
      </c>
      <c r="U7" s="34" t="n">
        <v>0.0212626</v>
      </c>
      <c r="V7" s="34" t="n">
        <v>0.1612072</v>
      </c>
    </row>
    <row r="8" ht="16" customHeight="1">
      <c r="A8" s="32" t="n">
        <v>4</v>
      </c>
      <c r="B8" s="24" t="inlineStr">
        <is>
          <t>RFIL</t>
        </is>
      </c>
      <c r="C8" s="25" t="inlineStr">
        <is>
          <t>RF Industries, Ltd.</t>
        </is>
      </c>
      <c r="D8" s="26" t="n">
        <v>117.2</v>
      </c>
      <c r="E8" s="40" t="n">
        <v>10.855</v>
      </c>
      <c r="F8" s="41" t="n">
        <v>0.094</v>
      </c>
      <c r="G8" s="41" t="n">
        <v>-0.08</v>
      </c>
      <c r="H8" s="41" t="n">
        <v>0.351</v>
      </c>
      <c r="I8" s="41" t="n">
        <v>0.048</v>
      </c>
      <c r="J8" s="41" t="n">
        <v>0.224</v>
      </c>
      <c r="K8" s="42" t="n">
        <v>50</v>
      </c>
      <c r="L8" s="42" t="n">
        <v>62.7</v>
      </c>
      <c r="M8" s="42" t="n">
        <v>65.7</v>
      </c>
      <c r="N8" s="43" t="n">
        <v>62.1</v>
      </c>
      <c r="O8" s="35" t="n">
        <v>71.09999999999999</v>
      </c>
      <c r="P8" s="44" t="inlineStr">
        <is>
          <t>—</t>
        </is>
      </c>
      <c r="Q8" s="39" t="n">
        <v>27.6</v>
      </c>
      <c r="R8" s="41" t="n">
        <v>-0.1526151</v>
      </c>
      <c r="S8" s="41" t="n">
        <v>-0.3488302</v>
      </c>
      <c r="T8" s="41" t="n">
        <v>0.039751</v>
      </c>
      <c r="U8" s="41" t="n">
        <v>0.8780277</v>
      </c>
      <c r="V8" s="41" t="n">
        <v>0.4829235</v>
      </c>
    </row>
    <row r="9" ht="16" customHeight="1">
      <c r="A9" s="32" t="n">
        <v>5</v>
      </c>
      <c r="B9" s="19" t="inlineStr">
        <is>
          <t>LAW</t>
        </is>
      </c>
      <c r="C9" s="20" t="inlineStr">
        <is>
          <t>CS Disco, Inc.</t>
        </is>
      </c>
      <c r="D9" s="21" t="n">
        <v>260.7</v>
      </c>
      <c r="E9" s="33" t="n">
        <v>4.065</v>
      </c>
      <c r="F9" s="34" t="n">
        <v>0.132</v>
      </c>
      <c r="G9" s="34" t="n">
        <v>0.07400000000000001</v>
      </c>
      <c r="H9" s="34" t="n">
        <v>0.7440000000000001</v>
      </c>
      <c r="I9" s="34" t="n">
        <v>0.06900000000000001</v>
      </c>
      <c r="J9" s="34" t="n">
        <v>0.57</v>
      </c>
      <c r="K9" s="35" t="n">
        <v>88</v>
      </c>
      <c r="L9" s="36" t="n">
        <v>71.7</v>
      </c>
      <c r="M9" s="36" t="n">
        <v>47.5</v>
      </c>
      <c r="N9" s="37" t="n">
        <v>61.6</v>
      </c>
      <c r="O9" s="22" t="n">
        <v>57.4</v>
      </c>
      <c r="P9" s="38" t="inlineStr">
        <is>
          <t>—</t>
        </is>
      </c>
      <c r="Q9" s="39" t="n">
        <v>13.8</v>
      </c>
      <c r="R9" s="34" t="n">
        <v>-0.0546512</v>
      </c>
      <c r="S9" s="34" t="n">
        <v>0.101626</v>
      </c>
      <c r="T9" s="34" t="n">
        <v>-0.151357</v>
      </c>
      <c r="U9" s="34" t="n">
        <v>-0.4761598</v>
      </c>
      <c r="V9" s="34" t="n">
        <v>-0.2930435</v>
      </c>
    </row>
    <row r="10" ht="16" customHeight="1">
      <c r="A10" s="32" t="n">
        <v>6</v>
      </c>
      <c r="B10" s="24" t="inlineStr">
        <is>
          <t>ASYS</t>
        </is>
      </c>
      <c r="C10" s="25" t="inlineStr">
        <is>
          <t>Amtech Systems, Inc.</t>
        </is>
      </c>
      <c r="D10" s="26" t="n">
        <v>269.4</v>
      </c>
      <c r="E10" s="40" t="n">
        <v>15.4184</v>
      </c>
      <c r="F10" s="41" t="n">
        <v>0.145</v>
      </c>
      <c r="G10" s="41" t="n">
        <v>0.414</v>
      </c>
      <c r="H10" s="41" t="n">
        <v>0.5</v>
      </c>
      <c r="I10" s="41" t="n">
        <v>0.09</v>
      </c>
      <c r="J10" s="41" t="n">
        <v>0.263</v>
      </c>
      <c r="K10" s="42" t="n">
        <v>57.2</v>
      </c>
      <c r="L10" s="42" t="n">
        <v>75.5</v>
      </c>
      <c r="M10" s="42" t="n">
        <v>63.5</v>
      </c>
      <c r="N10" s="43" t="n">
        <v>59.9</v>
      </c>
      <c r="O10" s="22" t="n">
        <v>60.3</v>
      </c>
      <c r="P10" s="44" t="inlineStr">
        <is>
          <t>—</t>
        </is>
      </c>
      <c r="Q10" s="45" t="n">
        <v>43.6</v>
      </c>
      <c r="R10" s="41" t="n">
        <v>-0.0071860914</v>
      </c>
      <c r="S10" s="41" t="n">
        <v>-0.2177372</v>
      </c>
      <c r="T10" s="41" t="n">
        <v>0.1933746</v>
      </c>
      <c r="U10" s="41" t="n">
        <v>0.2285578</v>
      </c>
      <c r="V10" s="41" t="n">
        <v>0.9443127</v>
      </c>
    </row>
    <row r="11" ht="16" customHeight="1">
      <c r="A11" s="32" t="n">
        <v>7</v>
      </c>
      <c r="B11" s="19" t="inlineStr">
        <is>
          <t>LTRX</t>
        </is>
      </c>
      <c r="C11" s="20" t="inlineStr">
        <is>
          <t>Lantronix, Inc.</t>
        </is>
      </c>
      <c r="D11" s="21" t="n">
        <v>237.1</v>
      </c>
      <c r="E11" s="33" t="n">
        <v>5.335</v>
      </c>
      <c r="F11" s="34" t="n">
        <v>0.08</v>
      </c>
      <c r="G11" s="34" t="n">
        <v>0.492</v>
      </c>
      <c r="H11" s="34" t="n">
        <v>0.4370000000000001</v>
      </c>
      <c r="I11" s="34" t="n">
        <v>0.141</v>
      </c>
      <c r="J11" s="34" t="n">
        <v>0.225</v>
      </c>
      <c r="K11" s="46" t="n">
        <v>33.9</v>
      </c>
      <c r="L11" s="36" t="n">
        <v>67.5</v>
      </c>
      <c r="M11" s="36" t="n">
        <v>61.6</v>
      </c>
      <c r="N11" s="37" t="n">
        <v>56.8</v>
      </c>
      <c r="O11" s="35" t="n">
        <v>79</v>
      </c>
      <c r="P11" s="38" t="inlineStr">
        <is>
          <t>—</t>
        </is>
      </c>
      <c r="Q11" s="39" t="n">
        <v>11.3</v>
      </c>
      <c r="R11" s="34" t="n">
        <v>-0.1063652</v>
      </c>
      <c r="S11" s="34" t="n">
        <v>-0.2061012</v>
      </c>
      <c r="T11" s="34" t="n">
        <v>-0.0557522</v>
      </c>
      <c r="U11" s="34" t="n">
        <v>-0.0895904</v>
      </c>
      <c r="V11" s="34" t="n">
        <v>0.1184486</v>
      </c>
    </row>
    <row r="12" ht="16" customHeight="1">
      <c r="A12" s="32" t="n">
        <v>8</v>
      </c>
      <c r="B12" s="24" t="inlineStr">
        <is>
          <t>ROC</t>
        </is>
      </c>
      <c r="C12" s="25" t="inlineStr">
        <is>
          <t>Rank One Computing Corp.</t>
        </is>
      </c>
      <c r="D12" s="26" t="n">
        <v>79.8</v>
      </c>
      <c r="E12" s="40" t="n">
        <v>4.29</v>
      </c>
      <c r="F12" s="41" t="n">
        <v>0.927</v>
      </c>
      <c r="G12" s="41" t="n">
        <v>0</v>
      </c>
      <c r="H12" s="41" t="n">
        <v>0.897</v>
      </c>
      <c r="I12" s="41" t="n">
        <v>0.003</v>
      </c>
      <c r="J12" s="41" t="n">
        <v>0.718</v>
      </c>
      <c r="K12" s="42" t="n">
        <v>50</v>
      </c>
      <c r="L12" s="42" t="n">
        <v>85</v>
      </c>
      <c r="M12" s="42" t="n">
        <v>47.3</v>
      </c>
      <c r="N12" s="43" t="n">
        <v>54.2</v>
      </c>
      <c r="O12" s="35" t="n">
        <v>77.8</v>
      </c>
      <c r="P12" s="44" t="inlineStr">
        <is>
          <t>—</t>
        </is>
      </c>
      <c r="Q12" s="39" t="n">
        <v>6.1</v>
      </c>
      <c r="R12" s="41" t="n">
        <v>-0.0272109</v>
      </c>
      <c r="S12" s="41" t="n">
        <v>-0.0793991</v>
      </c>
      <c r="T12" s="41" t="n">
        <v>-0.3254717</v>
      </c>
      <c r="U12" s="41" t="n">
        <v>-0.3035714</v>
      </c>
      <c r="V12" s="41" t="n">
        <v>-0.3035714</v>
      </c>
    </row>
    <row r="13" ht="16" customHeight="1">
      <c r="A13" s="32" t="n">
        <v>9</v>
      </c>
      <c r="B13" s="19" t="inlineStr">
        <is>
          <t>TGEN</t>
        </is>
      </c>
      <c r="C13" s="20" t="inlineStr">
        <is>
          <t>Tecogen Inc.</t>
        </is>
      </c>
      <c r="D13" s="21" t="n">
        <v>97.09999999999999</v>
      </c>
      <c r="E13" s="33" t="n">
        <v>3.21</v>
      </c>
      <c r="F13" s="34" t="n">
        <v>0.6559999999999999</v>
      </c>
      <c r="G13" s="34" t="n">
        <v>0.113</v>
      </c>
      <c r="H13" s="34" t="n">
        <v>0.394</v>
      </c>
      <c r="I13" s="34" t="n">
        <v>0.204</v>
      </c>
      <c r="J13" s="34" t="n">
        <v>0.401</v>
      </c>
      <c r="K13" s="35" t="n">
        <v>76.8</v>
      </c>
      <c r="L13" s="36" t="n">
        <v>84.09999999999999</v>
      </c>
      <c r="M13" s="36" t="n">
        <v>41.8</v>
      </c>
      <c r="N13" s="37" t="n">
        <v>53.9</v>
      </c>
      <c r="O13" s="46" t="n">
        <v>50</v>
      </c>
      <c r="P13" s="38" t="inlineStr">
        <is>
          <t>—</t>
        </is>
      </c>
      <c r="Q13" s="39" t="n">
        <v>9.800000000000001</v>
      </c>
      <c r="R13" s="34" t="n">
        <v>-0.1748072</v>
      </c>
      <c r="S13" s="34" t="n">
        <v>-0.4729064000000001</v>
      </c>
      <c r="T13" s="34" t="n">
        <v>0.07718120000000001</v>
      </c>
      <c r="U13" s="34" t="n">
        <v>-0.3502024</v>
      </c>
      <c r="V13" s="34" t="n">
        <v>-0.5143722000000001</v>
      </c>
    </row>
    <row r="14" ht="16" customHeight="1">
      <c r="A14" s="32" t="n">
        <v>10</v>
      </c>
      <c r="B14" s="24" t="inlineStr">
        <is>
          <t>BKTI</t>
        </is>
      </c>
      <c r="C14" s="25" t="inlineStr">
        <is>
          <t>BK Technologies Corporation</t>
        </is>
      </c>
      <c r="D14" s="26" t="n">
        <v>273.9</v>
      </c>
      <c r="E14" s="40" t="n">
        <v>73.15000000000001</v>
      </c>
      <c r="F14" s="41" t="n">
        <v>0.106</v>
      </c>
      <c r="G14" s="41" t="n">
        <v>0.061</v>
      </c>
      <c r="H14" s="41" t="n">
        <v>0.519</v>
      </c>
      <c r="I14" s="41" t="n">
        <v>0.099</v>
      </c>
      <c r="J14" s="41" t="n">
        <v>0.24</v>
      </c>
      <c r="K14" s="46" t="n">
        <v>25.7</v>
      </c>
      <c r="L14" s="42" t="n">
        <v>67.2</v>
      </c>
      <c r="M14" s="42" t="n">
        <v>62.1</v>
      </c>
      <c r="N14" s="43" t="n">
        <v>52</v>
      </c>
      <c r="O14" s="22" t="n">
        <v>66.09999999999999</v>
      </c>
      <c r="P14" s="44" t="inlineStr">
        <is>
          <t>—</t>
        </is>
      </c>
      <c r="Q14" s="39" t="n">
        <v>17.6</v>
      </c>
      <c r="R14" s="41" t="n">
        <v>-0.05880080000000001</v>
      </c>
      <c r="S14" s="41" t="n">
        <v>-0.0897213</v>
      </c>
      <c r="T14" s="41" t="n">
        <v>-0.1400188</v>
      </c>
      <c r="U14" s="41" t="n">
        <v>-0.0193055</v>
      </c>
      <c r="V14" s="41" t="n">
        <v>0.0590705</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AISP</t>
        </is>
      </c>
      <c r="B19" s="36" t="n">
        <v>100</v>
      </c>
      <c r="C19" s="36" t="n">
        <v>100</v>
      </c>
      <c r="D19" s="36" t="n">
        <v>35.6</v>
      </c>
      <c r="E19" s="36" t="n">
        <v>100</v>
      </c>
      <c r="F19" s="36" t="n">
        <v>100</v>
      </c>
    </row>
    <row r="20" ht="16" customHeight="1">
      <c r="A20" s="24" t="inlineStr">
        <is>
          <t>INTT</t>
        </is>
      </c>
      <c r="B20" s="42" t="n">
        <v>51</v>
      </c>
      <c r="C20" s="42" t="n">
        <v>100</v>
      </c>
      <c r="D20" s="42" t="n">
        <v>100</v>
      </c>
      <c r="E20" s="42" t="n">
        <v>100</v>
      </c>
      <c r="F20" s="42" t="n">
        <v>100</v>
      </c>
    </row>
    <row r="21" ht="16" customHeight="1">
      <c r="A21" s="19" t="inlineStr">
        <is>
          <t>KVHI</t>
        </is>
      </c>
      <c r="B21" s="36" t="n">
        <v>53.4</v>
      </c>
      <c r="C21" s="36" t="n">
        <v>75</v>
      </c>
      <c r="D21" s="36" t="n">
        <v>100</v>
      </c>
      <c r="E21" s="36" t="n">
        <v>100</v>
      </c>
      <c r="F21" s="36" t="n">
        <v>100</v>
      </c>
    </row>
    <row r="22" ht="16" customHeight="1">
      <c r="A22" s="24" t="inlineStr">
        <is>
          <t>RFIL</t>
        </is>
      </c>
      <c r="B22" s="42" t="n">
        <v>18.8</v>
      </c>
      <c r="C22" s="42" t="n">
        <v>87.8</v>
      </c>
      <c r="D22" s="42" t="n">
        <v>100</v>
      </c>
      <c r="E22" s="42" t="n">
        <v>100</v>
      </c>
      <c r="F22" s="42" t="n">
        <v>30</v>
      </c>
    </row>
    <row r="23" ht="16" customHeight="1">
      <c r="A23" s="19" t="inlineStr">
        <is>
          <t>LAW</t>
        </is>
      </c>
      <c r="B23" s="36" t="n">
        <v>26.4</v>
      </c>
      <c r="C23" s="36" t="n">
        <v>100</v>
      </c>
      <c r="D23" s="36" t="n">
        <v>92.40000000000001</v>
      </c>
      <c r="E23" s="36" t="n">
        <v>100</v>
      </c>
      <c r="F23" s="36" t="n">
        <v>68.5</v>
      </c>
    </row>
    <row r="24" ht="16" customHeight="1">
      <c r="A24" s="24" t="inlineStr">
        <is>
          <t>ASYS</t>
        </is>
      </c>
      <c r="B24" s="42" t="n">
        <v>29</v>
      </c>
      <c r="C24" s="42" t="n">
        <v>100</v>
      </c>
      <c r="D24" s="42" t="n">
        <v>84</v>
      </c>
      <c r="E24" s="42" t="n">
        <v>100</v>
      </c>
      <c r="F24" s="42" t="n">
        <v>100</v>
      </c>
    </row>
    <row r="25" ht="16" customHeight="1">
      <c r="A25" s="19" t="inlineStr">
        <is>
          <t>LTRX</t>
        </is>
      </c>
      <c r="B25" s="36" t="n">
        <v>16</v>
      </c>
      <c r="C25" s="36" t="n">
        <v>100</v>
      </c>
      <c r="D25" s="36" t="n">
        <v>63.6</v>
      </c>
      <c r="E25" s="36" t="n">
        <v>100</v>
      </c>
      <c r="F25" s="36" t="n">
        <v>100</v>
      </c>
    </row>
    <row r="26" ht="16" customHeight="1">
      <c r="A26" s="24" t="inlineStr">
        <is>
          <t>ROC</t>
        </is>
      </c>
      <c r="B26" s="42" t="n">
        <v>100</v>
      </c>
      <c r="C26" s="42" t="n">
        <v>100</v>
      </c>
      <c r="D26" s="42" t="n">
        <v>100</v>
      </c>
      <c r="E26" s="42" t="n">
        <v>100</v>
      </c>
      <c r="F26" s="42" t="n">
        <v>50</v>
      </c>
    </row>
    <row r="27" ht="16" customHeight="1">
      <c r="A27" s="19" t="inlineStr">
        <is>
          <t>TGEN</t>
        </is>
      </c>
      <c r="B27" s="36" t="n">
        <v>100</v>
      </c>
      <c r="C27" s="36" t="n">
        <v>98.5</v>
      </c>
      <c r="D27" s="36" t="n">
        <v>38.4</v>
      </c>
      <c r="E27" s="36" t="n">
        <v>100</v>
      </c>
      <c r="F27" s="36" t="n">
        <v>78.2</v>
      </c>
    </row>
    <row r="28" ht="16" customHeight="1">
      <c r="A28" s="24" t="inlineStr">
        <is>
          <t>BKTI</t>
        </is>
      </c>
      <c r="B28" s="42" t="n">
        <v>21.2</v>
      </c>
      <c r="C28" s="42" t="n">
        <v>100</v>
      </c>
      <c r="D28" s="42" t="n">
        <v>80.40000000000001</v>
      </c>
      <c r="E28" s="42" t="n">
        <v>100</v>
      </c>
      <c r="F28" s="42" t="n">
        <v>65.3</v>
      </c>
    </row>
    <row r="60">
      <c r="A60" t="inlineStr">
        <is>
          <t>Ticker</t>
        </is>
      </c>
      <c r="B60" t="inlineStr">
        <is>
          <t>Gross Margin</t>
        </is>
      </c>
      <c r="C60" t="inlineStr">
        <is>
          <t>Rev Growth</t>
        </is>
      </c>
      <c r="D60" t="inlineStr">
        <is>
          <t>Mkt Cap</t>
        </is>
      </c>
    </row>
    <row r="61">
      <c r="A61" t="inlineStr">
        <is>
          <t>AISP</t>
        </is>
      </c>
      <c r="B61" t="n">
        <v>75.09999999999999</v>
      </c>
      <c r="C61" t="n">
        <v>92.09999999999999</v>
      </c>
      <c r="D61" t="n">
        <v>71.8</v>
      </c>
    </row>
    <row r="62">
      <c r="A62" t="inlineStr">
        <is>
          <t>INTT</t>
        </is>
      </c>
      <c r="B62" t="n">
        <v>40.5</v>
      </c>
      <c r="C62" t="n">
        <v>25.5</v>
      </c>
      <c r="D62" t="n">
        <v>146.3</v>
      </c>
    </row>
    <row r="63">
      <c r="A63" t="inlineStr">
        <is>
          <t>KVHI</t>
        </is>
      </c>
      <c r="B63" t="n">
        <v>30</v>
      </c>
      <c r="C63" t="n">
        <v>26.7</v>
      </c>
      <c r="D63" t="n">
        <v>138.8</v>
      </c>
    </row>
    <row r="64">
      <c r="A64" t="inlineStr">
        <is>
          <t>RFIL</t>
        </is>
      </c>
      <c r="B64" t="n">
        <v>35.1</v>
      </c>
      <c r="C64" t="n">
        <v>9.4</v>
      </c>
      <c r="D64" t="n">
        <v>117.2</v>
      </c>
    </row>
    <row r="65">
      <c r="A65" t="inlineStr">
        <is>
          <t>LAW</t>
        </is>
      </c>
      <c r="B65" t="n">
        <v>74.40000000000001</v>
      </c>
      <c r="C65" t="n">
        <v>13.2</v>
      </c>
      <c r="D65" t="n">
        <v>260.7</v>
      </c>
    </row>
    <row r="66">
      <c r="A66" t="inlineStr">
        <is>
          <t>ASYS</t>
        </is>
      </c>
      <c r="B66" t="n">
        <v>50</v>
      </c>
      <c r="C66" t="n">
        <v>14.5</v>
      </c>
      <c r="D66" t="n">
        <v>269.4</v>
      </c>
    </row>
    <row r="67">
      <c r="A67" t="inlineStr">
        <is>
          <t>LTRX</t>
        </is>
      </c>
      <c r="B67" t="n">
        <v>43.7</v>
      </c>
      <c r="C67" t="n">
        <v>8</v>
      </c>
      <c r="D67" t="n">
        <v>237.1</v>
      </c>
    </row>
    <row r="68">
      <c r="A68" t="inlineStr">
        <is>
          <t>ROC</t>
        </is>
      </c>
      <c r="B68" t="n">
        <v>89.7</v>
      </c>
      <c r="C68" t="n">
        <v>92.7</v>
      </c>
      <c r="D68" t="n">
        <v>79.8</v>
      </c>
    </row>
    <row r="69">
      <c r="A69" t="inlineStr">
        <is>
          <t>TGEN</t>
        </is>
      </c>
      <c r="B69" t="n">
        <v>39.4</v>
      </c>
      <c r="C69" t="n">
        <v>65.59999999999999</v>
      </c>
      <c r="D69" t="n">
        <v>97.09999999999999</v>
      </c>
    </row>
    <row r="70">
      <c r="A70" t="inlineStr">
        <is>
          <t>BKTI</t>
        </is>
      </c>
      <c r="B70" t="n">
        <v>51.9</v>
      </c>
      <c r="C70" t="n">
        <v>10.6</v>
      </c>
      <c r="D70" t="n">
        <v>273.9</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SWBI</t>
        </is>
      </c>
      <c r="C5" s="20" t="inlineStr">
        <is>
          <t>Smith &amp; Wesson Brands, Inc.</t>
        </is>
      </c>
      <c r="D5" s="21" t="n">
        <v>588.2</v>
      </c>
      <c r="E5" s="33" t="n">
        <v>13.1613</v>
      </c>
      <c r="F5" s="34" t="n">
        <v>0.323</v>
      </c>
      <c r="G5" s="34" t="n">
        <v>0.36</v>
      </c>
      <c r="H5" s="34" t="n">
        <v>0.287</v>
      </c>
      <c r="I5" s="34" t="n">
        <v>-0.026</v>
      </c>
      <c r="J5" s="34" t="n">
        <v>0.033</v>
      </c>
      <c r="K5" s="36" t="n">
        <v>50</v>
      </c>
      <c r="L5" s="36" t="n">
        <v>73.7</v>
      </c>
      <c r="M5" s="36" t="n">
        <v>85.40000000000001</v>
      </c>
      <c r="N5" s="37" t="n">
        <v>70</v>
      </c>
      <c r="O5" s="22" t="n">
        <v>61.4</v>
      </c>
      <c r="P5" s="38" t="inlineStr">
        <is>
          <t>—</t>
        </is>
      </c>
      <c r="Q5" s="39" t="n">
        <v>31.8</v>
      </c>
      <c r="R5" s="34" t="n">
        <v>-0.0764</v>
      </c>
      <c r="S5" s="34" t="n">
        <v>-0.1028425</v>
      </c>
      <c r="T5" s="34" t="n">
        <v>-0.0592352</v>
      </c>
      <c r="U5" s="34" t="n">
        <v>0.333465</v>
      </c>
      <c r="V5" s="34" t="n">
        <v>0.4888348</v>
      </c>
    </row>
    <row r="6" ht="16" customHeight="1">
      <c r="A6" s="32" t="n">
        <v>2</v>
      </c>
      <c r="B6" s="24" t="inlineStr">
        <is>
          <t>GHM</t>
        </is>
      </c>
      <c r="C6" s="25" t="inlineStr">
        <is>
          <t>Graham Corporation</t>
        </is>
      </c>
      <c r="D6" s="26" t="n">
        <v>1046.6</v>
      </c>
      <c r="E6" s="40" t="n">
        <v>89.42</v>
      </c>
      <c r="F6" s="41" t="n">
        <v>0.286</v>
      </c>
      <c r="G6" s="41" t="n">
        <v>0.175</v>
      </c>
      <c r="H6" s="41" t="n">
        <v>0.25</v>
      </c>
      <c r="I6" s="41" t="n">
        <v>0.08400000000000001</v>
      </c>
      <c r="J6" s="41" t="n">
        <v>0.051</v>
      </c>
      <c r="K6" s="42" t="n">
        <v>56.4</v>
      </c>
      <c r="L6" s="42" t="n">
        <v>68.7</v>
      </c>
      <c r="M6" s="42" t="n">
        <v>88.40000000000001</v>
      </c>
      <c r="N6" s="43" t="n">
        <v>63.6</v>
      </c>
      <c r="O6" s="22" t="n">
        <v>59.9</v>
      </c>
      <c r="P6" s="44" t="inlineStr">
        <is>
          <t>—</t>
        </is>
      </c>
      <c r="Q6" s="45" t="n">
        <v>65.90000000000001</v>
      </c>
      <c r="R6" s="41" t="n">
        <v>-0.1993195</v>
      </c>
      <c r="S6" s="41" t="n">
        <v>-0.0620936</v>
      </c>
      <c r="T6" s="41" t="n">
        <v>0.09556480000000001</v>
      </c>
      <c r="U6" s="41" t="n">
        <v>0.3921843</v>
      </c>
      <c r="V6" s="41" t="n">
        <v>0.8711027</v>
      </c>
    </row>
    <row r="7" ht="16" customHeight="1">
      <c r="A7" s="32" t="n">
        <v>3</v>
      </c>
      <c r="B7" s="19" t="inlineStr">
        <is>
          <t>TRC</t>
        </is>
      </c>
      <c r="C7" s="20" t="inlineStr">
        <is>
          <t>Tejon Ranch Co.</t>
        </is>
      </c>
      <c r="D7" s="21" t="n">
        <v>446.5</v>
      </c>
      <c r="E7" s="33" t="n">
        <v>16.5237</v>
      </c>
      <c r="F7" s="34" t="n">
        <v>0.7170000000000001</v>
      </c>
      <c r="G7" s="34" t="n">
        <v>0.257</v>
      </c>
      <c r="H7" s="34" t="n">
        <v>0.224</v>
      </c>
      <c r="I7" s="34" t="n">
        <v>-0.014</v>
      </c>
      <c r="J7" s="34" t="n">
        <v>0.081</v>
      </c>
      <c r="K7" s="36" t="n">
        <v>50</v>
      </c>
      <c r="L7" s="36" t="n">
        <v>88.40000000000001</v>
      </c>
      <c r="M7" s="36" t="n">
        <v>69.40000000000001</v>
      </c>
      <c r="N7" s="37" t="n">
        <v>63.5</v>
      </c>
      <c r="O7" s="22" t="n">
        <v>68.90000000000001</v>
      </c>
      <c r="P7" s="38" t="inlineStr">
        <is>
          <t>—</t>
        </is>
      </c>
      <c r="Q7" s="39" t="n">
        <v>7.5</v>
      </c>
      <c r="R7" s="34" t="n">
        <v>-0.009964050300000001</v>
      </c>
      <c r="S7" s="34" t="n">
        <v>-0.1380438</v>
      </c>
      <c r="T7" s="34" t="n">
        <v>-0.0779185</v>
      </c>
      <c r="U7" s="34" t="n">
        <v>0.0477933</v>
      </c>
      <c r="V7" s="34" t="n">
        <v>-0.0251504</v>
      </c>
    </row>
    <row r="8" ht="16" customHeight="1">
      <c r="A8" s="32" t="n">
        <v>4</v>
      </c>
      <c r="B8" s="24" t="inlineStr">
        <is>
          <t>CEVA</t>
        </is>
      </c>
      <c r="C8" s="25" t="inlineStr">
        <is>
          <t>CEVA, Inc.</t>
        </is>
      </c>
      <c r="D8" s="26" t="n">
        <v>784.5</v>
      </c>
      <c r="E8" s="40" t="n">
        <v>28.185</v>
      </c>
      <c r="F8" s="41" t="n">
        <v>0.131</v>
      </c>
      <c r="G8" s="41" t="n">
        <v>0.228</v>
      </c>
      <c r="H8" s="41" t="n">
        <v>0.8740000000000001</v>
      </c>
      <c r="I8" s="41" t="n">
        <v>0.186</v>
      </c>
      <c r="J8" s="41" t="n">
        <v>0.114</v>
      </c>
      <c r="K8" s="35" t="n">
        <v>69.40000000000001</v>
      </c>
      <c r="L8" s="42" t="n">
        <v>67</v>
      </c>
      <c r="M8" s="42" t="n">
        <v>62.7</v>
      </c>
      <c r="N8" s="43" t="n">
        <v>62.2</v>
      </c>
      <c r="O8" s="46" t="n">
        <v>50</v>
      </c>
      <c r="P8" s="44" t="inlineStr">
        <is>
          <t>—</t>
        </is>
      </c>
      <c r="Q8" s="39" t="n">
        <v>21.9</v>
      </c>
      <c r="R8" s="41" t="n">
        <v>-0.2711404</v>
      </c>
      <c r="S8" s="41" t="n">
        <v>-0.3827201</v>
      </c>
      <c r="T8" s="41" t="n">
        <v>0.4733403</v>
      </c>
      <c r="U8" s="41" t="n">
        <v>0.3097119</v>
      </c>
      <c r="V8" s="41" t="n">
        <v>0.2127797</v>
      </c>
    </row>
    <row r="9" ht="16" customHeight="1">
      <c r="A9" s="32" t="n">
        <v>5</v>
      </c>
      <c r="B9" s="19" t="inlineStr">
        <is>
          <t>VPG</t>
        </is>
      </c>
      <c r="C9" s="20" t="inlineStr">
        <is>
          <t>Vishay Precision Group, Inc.</t>
        </is>
      </c>
      <c r="D9" s="21" t="n">
        <v>868.2</v>
      </c>
      <c r="E9" s="33" t="n">
        <v>65.34</v>
      </c>
      <c r="F9" s="34" t="n">
        <v>1.239</v>
      </c>
      <c r="G9" s="34" t="n">
        <v>1.267</v>
      </c>
      <c r="H9" s="34" t="n">
        <v>0.388</v>
      </c>
      <c r="I9" s="34" t="n">
        <v>-0.021</v>
      </c>
      <c r="J9" s="34" t="n">
        <v>0.186</v>
      </c>
      <c r="K9" s="36" t="n">
        <v>50</v>
      </c>
      <c r="L9" s="36" t="n">
        <v>99.40000000000001</v>
      </c>
      <c r="M9" s="36" t="n">
        <v>73.7</v>
      </c>
      <c r="N9" s="37" t="n">
        <v>59.1</v>
      </c>
      <c r="O9" s="22" t="n">
        <v>69.59999999999999</v>
      </c>
      <c r="P9" s="38" t="inlineStr">
        <is>
          <t>—</t>
        </is>
      </c>
      <c r="Q9" s="45" t="n">
        <v>60.3</v>
      </c>
      <c r="R9" s="34" t="n">
        <v>-0.04738299999999999</v>
      </c>
      <c r="S9" s="34" t="n">
        <v>-0.4553184</v>
      </c>
      <c r="T9" s="34" t="n">
        <v>0.5034514</v>
      </c>
      <c r="U9" s="34" t="n">
        <v>0.6971429</v>
      </c>
      <c r="V9" s="34" t="n">
        <v>1.1809079</v>
      </c>
    </row>
    <row r="10" ht="16" customHeight="1">
      <c r="A10" s="32" t="n">
        <v>6</v>
      </c>
      <c r="B10" s="24" t="inlineStr">
        <is>
          <t>MNTK</t>
        </is>
      </c>
      <c r="C10" s="25" t="inlineStr">
        <is>
          <t>Montauk Renewables, Inc.</t>
        </is>
      </c>
      <c r="D10" s="26" t="n">
        <v>336.6</v>
      </c>
      <c r="E10" s="40" t="n">
        <v>2.355</v>
      </c>
      <c r="F10" s="41" t="n">
        <v>0.197</v>
      </c>
      <c r="G10" s="41" t="n">
        <v>0.156</v>
      </c>
      <c r="H10" s="41" t="n">
        <v>0.299</v>
      </c>
      <c r="I10" s="41" t="n">
        <v>0.011</v>
      </c>
      <c r="J10" s="41" t="n">
        <v>0.7070000000000001</v>
      </c>
      <c r="K10" s="42" t="n">
        <v>56.5</v>
      </c>
      <c r="L10" s="42" t="n">
        <v>75.09999999999999</v>
      </c>
      <c r="M10" s="42" t="n">
        <v>67.90000000000001</v>
      </c>
      <c r="N10" s="43" t="n">
        <v>58.4</v>
      </c>
      <c r="O10" s="42" t="n">
        <v>39.3</v>
      </c>
      <c r="P10" s="44" t="inlineStr">
        <is>
          <t>—</t>
        </is>
      </c>
      <c r="Q10" s="45" t="n">
        <v>41.2</v>
      </c>
      <c r="R10" s="41" t="n">
        <v>0.3156425</v>
      </c>
      <c r="S10" s="41" t="n">
        <v>0.369186</v>
      </c>
      <c r="T10" s="41" t="n">
        <v>0.5292208</v>
      </c>
      <c r="U10" s="41" t="n">
        <v>0.4101796</v>
      </c>
      <c r="V10" s="41" t="n">
        <v>0.1432039</v>
      </c>
    </row>
    <row r="11" ht="16" customHeight="1">
      <c r="A11" s="32" t="n">
        <v>7</v>
      </c>
      <c r="B11" s="19" t="inlineStr">
        <is>
          <t>EVLV</t>
        </is>
      </c>
      <c r="C11" s="20" t="inlineStr">
        <is>
          <t>Evolv Technologies Holdings, Inc.</t>
        </is>
      </c>
      <c r="D11" s="21" t="n">
        <v>912.8</v>
      </c>
      <c r="E11" s="33" t="n">
        <v>5.089</v>
      </c>
      <c r="F11" s="34" t="n">
        <v>0.344</v>
      </c>
      <c r="G11" s="34" t="n">
        <v>0.07000000000000001</v>
      </c>
      <c r="H11" s="34" t="n">
        <v>0.502</v>
      </c>
      <c r="I11" s="34" t="n">
        <v>0.199</v>
      </c>
      <c r="J11" s="34" t="n">
        <v>0.052</v>
      </c>
      <c r="K11" s="46" t="n">
        <v>24</v>
      </c>
      <c r="L11" s="36" t="n">
        <v>66.59999999999999</v>
      </c>
      <c r="M11" s="36" t="n">
        <v>74</v>
      </c>
      <c r="N11" s="37" t="n">
        <v>57.5</v>
      </c>
      <c r="O11" s="22" t="n">
        <v>66.40000000000001</v>
      </c>
      <c r="P11" s="38" t="inlineStr">
        <is>
          <t>—</t>
        </is>
      </c>
      <c r="Q11" s="39" t="n">
        <v>2.3</v>
      </c>
      <c r="R11" s="34" t="n">
        <v>-0.1703263</v>
      </c>
      <c r="S11" s="34" t="n">
        <v>-0.126134</v>
      </c>
      <c r="T11" s="34" t="n">
        <v>0.0011614173</v>
      </c>
      <c r="U11" s="34" t="n">
        <v>-0.2896788</v>
      </c>
      <c r="V11" s="34" t="n">
        <v>-0.3850181</v>
      </c>
    </row>
    <row r="12" ht="16" customHeight="1">
      <c r="A12" s="32" t="n">
        <v>8</v>
      </c>
      <c r="B12" s="24" t="inlineStr">
        <is>
          <t>ADTN</t>
        </is>
      </c>
      <c r="C12" s="25" t="inlineStr">
        <is>
          <t>ADTRAN Holdings Inc.</t>
        </is>
      </c>
      <c r="D12" s="26" t="n">
        <v>608.1</v>
      </c>
      <c r="E12" s="40" t="n">
        <v>7.53</v>
      </c>
      <c r="F12" s="41" t="n">
        <v>0.061</v>
      </c>
      <c r="G12" s="41" t="n">
        <v>-0.112</v>
      </c>
      <c r="H12" s="41" t="n">
        <v>0.37</v>
      </c>
      <c r="I12" s="41" t="n">
        <v>0.029</v>
      </c>
      <c r="J12" s="41" t="n">
        <v>0.019</v>
      </c>
      <c r="K12" s="46" t="n">
        <v>28.9</v>
      </c>
      <c r="L12" s="42" t="n">
        <v>48.3</v>
      </c>
      <c r="M12" s="42" t="n">
        <v>76.7</v>
      </c>
      <c r="N12" s="43" t="n">
        <v>57.4</v>
      </c>
      <c r="O12" s="22" t="n">
        <v>51.9</v>
      </c>
      <c r="P12" s="44" t="inlineStr">
        <is>
          <t>—</t>
        </is>
      </c>
      <c r="Q12" s="39" t="n">
        <v>1.9</v>
      </c>
      <c r="R12" s="41" t="n">
        <v>-0.003968254</v>
      </c>
      <c r="S12" s="41" t="n">
        <v>-0.5299625</v>
      </c>
      <c r="T12" s="41" t="n">
        <v>-0.2148071</v>
      </c>
      <c r="U12" s="41" t="n">
        <v>-0.1334868</v>
      </c>
      <c r="V12" s="41" t="n">
        <v>-0.2617647</v>
      </c>
    </row>
    <row r="13" ht="16" customHeight="1">
      <c r="A13" s="32" t="n">
        <v>9</v>
      </c>
      <c r="B13" s="19" t="inlineStr">
        <is>
          <t>CMCO</t>
        </is>
      </c>
      <c r="C13" s="20" t="inlineStr">
        <is>
          <t>Columbus McKinnon Corporation</t>
        </is>
      </c>
      <c r="D13" s="21" t="n">
        <v>540.2</v>
      </c>
      <c r="E13" s="33" t="n">
        <v>18.7</v>
      </c>
      <c r="F13" s="34" t="n">
        <v>1.253</v>
      </c>
      <c r="G13" s="34" t="n">
        <v>1.269</v>
      </c>
      <c r="H13" s="34" t="n">
        <v>0.275</v>
      </c>
      <c r="I13" s="34" t="n">
        <v>0.002</v>
      </c>
      <c r="J13" s="34" t="n">
        <v>0.027</v>
      </c>
      <c r="K13" s="36" t="n">
        <v>38.4</v>
      </c>
      <c r="L13" s="36" t="n">
        <v>82.8</v>
      </c>
      <c r="M13" s="36" t="n">
        <v>72.2</v>
      </c>
      <c r="N13" s="37" t="n">
        <v>57.1</v>
      </c>
      <c r="O13" s="36" t="n">
        <v>47.5</v>
      </c>
      <c r="P13" s="38" t="inlineStr">
        <is>
          <t>—</t>
        </is>
      </c>
      <c r="Q13" s="39" t="n">
        <v>28</v>
      </c>
      <c r="R13" s="34" t="n">
        <v>-0.07517310000000001</v>
      </c>
      <c r="S13" s="34" t="n">
        <v>0.5008026</v>
      </c>
      <c r="T13" s="34" t="n">
        <v>0.1150865</v>
      </c>
      <c r="U13" s="34" t="n">
        <v>0.08405799999999999</v>
      </c>
      <c r="V13" s="34" t="n">
        <v>0.2541918</v>
      </c>
    </row>
    <row r="14" ht="16" customHeight="1">
      <c r="A14" s="32" t="n">
        <v>10</v>
      </c>
      <c r="B14" s="24" t="inlineStr">
        <is>
          <t>NL</t>
        </is>
      </c>
      <c r="C14" s="25" t="inlineStr">
        <is>
          <t>NLI Holdings, Inc.</t>
        </is>
      </c>
      <c r="D14" s="26" t="n">
        <v>327.1</v>
      </c>
      <c r="E14" s="40" t="n">
        <v>6.695</v>
      </c>
      <c r="F14" s="41" t="n">
        <v>0.08</v>
      </c>
      <c r="G14" s="41" t="n">
        <v>-0.045</v>
      </c>
      <c r="H14" s="41" t="n">
        <v>0.356</v>
      </c>
      <c r="I14" s="41" t="n">
        <v>0.001</v>
      </c>
      <c r="J14" s="41" t="n">
        <v>0.831</v>
      </c>
      <c r="K14" s="42" t="n">
        <v>50</v>
      </c>
      <c r="L14" s="42" t="n">
        <v>63.4</v>
      </c>
      <c r="M14" s="42" t="n">
        <v>57.8</v>
      </c>
      <c r="N14" s="43" t="n">
        <v>55</v>
      </c>
      <c r="O14" s="22" t="n">
        <v>55.4</v>
      </c>
      <c r="P14" s="44" t="inlineStr">
        <is>
          <t>—</t>
        </is>
      </c>
      <c r="Q14" s="39" t="n">
        <v>20</v>
      </c>
      <c r="R14" s="41" t="n">
        <v>0.0315871</v>
      </c>
      <c r="S14" s="41" t="n">
        <v>0.1158333</v>
      </c>
      <c r="T14" s="41" t="n">
        <v>0.1047855</v>
      </c>
      <c r="U14" s="41" t="n">
        <v>0.2239488</v>
      </c>
      <c r="V14" s="41" t="n">
        <v>0.0939542</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6" t="n">
        <v>64.59999999999999</v>
      </c>
      <c r="C19" s="36" t="n">
        <v>71.8</v>
      </c>
      <c r="D19" s="36" t="n">
        <v>100</v>
      </c>
      <c r="E19" s="36" t="n">
        <v>33</v>
      </c>
      <c r="F19" s="36" t="n">
        <v>100</v>
      </c>
    </row>
    <row r="20" ht="16" customHeight="1">
      <c r="A20" s="24" t="inlineStr">
        <is>
          <t>GHM</t>
        </is>
      </c>
      <c r="B20" s="42" t="n">
        <v>57.2</v>
      </c>
      <c r="C20" s="42" t="n">
        <v>62.5</v>
      </c>
      <c r="D20" s="42" t="n">
        <v>86.40000000000001</v>
      </c>
      <c r="E20" s="42" t="n">
        <v>51</v>
      </c>
      <c r="F20" s="42" t="n">
        <v>93.8</v>
      </c>
    </row>
    <row r="21" ht="16" customHeight="1">
      <c r="A21" s="19" t="inlineStr">
        <is>
          <t>TRC</t>
        </is>
      </c>
      <c r="B21" s="36" t="n">
        <v>100</v>
      </c>
      <c r="C21" s="36" t="n">
        <v>56</v>
      </c>
      <c r="D21" s="36" t="n">
        <v>100</v>
      </c>
      <c r="E21" s="36" t="n">
        <v>81</v>
      </c>
      <c r="F21" s="36" t="n">
        <v>100</v>
      </c>
    </row>
    <row r="22" ht="16" customHeight="1">
      <c r="A22" s="24" t="inlineStr">
        <is>
          <t>CEVA</t>
        </is>
      </c>
      <c r="B22" s="42" t="n">
        <v>26.2</v>
      </c>
      <c r="C22" s="42" t="n">
        <v>100</v>
      </c>
      <c r="D22" s="42" t="n">
        <v>45.6</v>
      </c>
      <c r="E22" s="42" t="n">
        <v>100</v>
      </c>
      <c r="F22" s="42" t="n">
        <v>100</v>
      </c>
    </row>
    <row r="23" ht="16" customHeight="1">
      <c r="A23" s="19" t="inlineStr">
        <is>
          <t>VPG</t>
        </is>
      </c>
      <c r="B23" s="36" t="n">
        <v>100</v>
      </c>
      <c r="C23" s="36" t="n">
        <v>97</v>
      </c>
      <c r="D23" s="36" t="n">
        <v>100</v>
      </c>
      <c r="E23" s="36" t="n">
        <v>100</v>
      </c>
      <c r="F23" s="36" t="n">
        <v>100</v>
      </c>
    </row>
    <row r="24" ht="16" customHeight="1">
      <c r="A24" s="24" t="inlineStr">
        <is>
          <t>MNTK</t>
        </is>
      </c>
      <c r="B24" s="42" t="n">
        <v>39.4</v>
      </c>
      <c r="C24" s="42" t="n">
        <v>74.8</v>
      </c>
      <c r="D24" s="42" t="n">
        <v>100</v>
      </c>
      <c r="E24" s="42" t="n">
        <v>100</v>
      </c>
      <c r="F24" s="42" t="n">
        <v>89</v>
      </c>
    </row>
    <row r="25" ht="16" customHeight="1">
      <c r="A25" s="19" t="inlineStr">
        <is>
          <t>EVLV</t>
        </is>
      </c>
      <c r="B25" s="36" t="n">
        <v>68.8</v>
      </c>
      <c r="C25" s="36" t="n">
        <v>100</v>
      </c>
      <c r="D25" s="36" t="n">
        <v>40.4</v>
      </c>
      <c r="E25" s="36" t="n">
        <v>52</v>
      </c>
      <c r="F25" s="36" t="n">
        <v>67.5</v>
      </c>
    </row>
    <row r="26" ht="16" customHeight="1">
      <c r="A26" s="24" t="inlineStr">
        <is>
          <t>ADTN</t>
        </is>
      </c>
      <c r="B26" s="42" t="n">
        <v>12.2</v>
      </c>
      <c r="C26" s="42" t="n">
        <v>92.5</v>
      </c>
      <c r="D26" s="42" t="n">
        <v>100</v>
      </c>
      <c r="E26" s="42" t="n">
        <v>19</v>
      </c>
      <c r="F26" s="42" t="n">
        <v>22</v>
      </c>
    </row>
    <row r="27" ht="16" customHeight="1">
      <c r="A27" s="19" t="inlineStr">
        <is>
          <t>CMCO</t>
        </is>
      </c>
      <c r="B27" s="36" t="n">
        <v>100</v>
      </c>
      <c r="C27" s="36" t="n">
        <v>68.8</v>
      </c>
      <c r="D27" s="36" t="n">
        <v>100</v>
      </c>
      <c r="E27" s="36" t="n">
        <v>27</v>
      </c>
      <c r="F27" s="36" t="n">
        <v>100</v>
      </c>
    </row>
    <row r="28" ht="16" customHeight="1">
      <c r="A28" s="24" t="inlineStr">
        <is>
          <t>NL</t>
        </is>
      </c>
      <c r="B28" s="42" t="n">
        <v>16</v>
      </c>
      <c r="C28" s="42" t="n">
        <v>89</v>
      </c>
      <c r="D28" s="42" t="n">
        <v>100</v>
      </c>
      <c r="E28" s="42" t="n">
        <v>100</v>
      </c>
      <c r="F28" s="42" t="n">
        <v>38.8</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GHM</t>
        </is>
      </c>
      <c r="B62" t="n">
        <v>25</v>
      </c>
      <c r="C62" t="n">
        <v>28.6</v>
      </c>
      <c r="D62" t="n">
        <v>1046.6</v>
      </c>
    </row>
    <row r="63">
      <c r="A63" t="inlineStr">
        <is>
          <t>TRC</t>
        </is>
      </c>
      <c r="B63" t="n">
        <v>22.4</v>
      </c>
      <c r="C63" t="n">
        <v>71.7</v>
      </c>
      <c r="D63" t="n">
        <v>446.5</v>
      </c>
    </row>
    <row r="64">
      <c r="A64" t="inlineStr">
        <is>
          <t>CEVA</t>
        </is>
      </c>
      <c r="B64" t="n">
        <v>87.40000000000001</v>
      </c>
      <c r="C64" t="n">
        <v>13.1</v>
      </c>
      <c r="D64" t="n">
        <v>784.5</v>
      </c>
    </row>
    <row r="65">
      <c r="A65" t="inlineStr">
        <is>
          <t>VPG</t>
        </is>
      </c>
      <c r="B65" t="n">
        <v>38.8</v>
      </c>
      <c r="C65" t="n">
        <v>123.9</v>
      </c>
      <c r="D65" t="n">
        <v>868.2</v>
      </c>
    </row>
    <row r="66">
      <c r="A66" t="inlineStr">
        <is>
          <t>MNTK</t>
        </is>
      </c>
      <c r="B66" t="n">
        <v>29.9</v>
      </c>
      <c r="C66" t="n">
        <v>19.7</v>
      </c>
      <c r="D66" t="n">
        <v>336.6</v>
      </c>
    </row>
    <row r="67">
      <c r="A67" t="inlineStr">
        <is>
          <t>EVLV</t>
        </is>
      </c>
      <c r="B67" t="n">
        <v>50.2</v>
      </c>
      <c r="C67" t="n">
        <v>34.4</v>
      </c>
      <c r="D67" t="n">
        <v>912.8</v>
      </c>
    </row>
    <row r="68">
      <c r="A68" t="inlineStr">
        <is>
          <t>ADTN</t>
        </is>
      </c>
      <c r="B68" t="n">
        <v>37</v>
      </c>
      <c r="C68" t="n">
        <v>6.1</v>
      </c>
      <c r="D68" t="n">
        <v>608.1</v>
      </c>
    </row>
    <row r="69">
      <c r="A69" t="inlineStr">
        <is>
          <t>CMCO</t>
        </is>
      </c>
      <c r="B69" t="n">
        <v>27.5</v>
      </c>
      <c r="C69" t="n">
        <v>125.3</v>
      </c>
      <c r="D69" t="n">
        <v>540.2</v>
      </c>
    </row>
    <row r="70">
      <c r="A70" t="inlineStr">
        <is>
          <t>NL</t>
        </is>
      </c>
      <c r="B70" t="n">
        <v>35.6</v>
      </c>
      <c r="C70" t="n">
        <v>8</v>
      </c>
      <c r="D70" t="n">
        <v>327.1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CE</t>
        </is>
      </c>
      <c r="C5" s="20" t="inlineStr">
        <is>
          <t>Celanese Corporation</t>
        </is>
      </c>
      <c r="D5" s="21" t="n">
        <v>4874</v>
      </c>
      <c r="E5" s="33" t="n">
        <v>44.51</v>
      </c>
      <c r="F5" s="34" t="n">
        <v>0.08699999999999999</v>
      </c>
      <c r="G5" s="34" t="n">
        <v>0.132</v>
      </c>
      <c r="H5" s="34" t="n">
        <v>0.225</v>
      </c>
      <c r="I5" s="34" t="n">
        <v>0.008</v>
      </c>
      <c r="J5" s="34" t="n">
        <v>0.06900000000000001</v>
      </c>
      <c r="K5" s="35" t="n">
        <v>68.8</v>
      </c>
      <c r="L5" s="36" t="n">
        <v>59.3</v>
      </c>
      <c r="M5" s="36" t="n">
        <v>73.5</v>
      </c>
      <c r="N5" s="37" t="n">
        <v>68.90000000000001</v>
      </c>
      <c r="O5" s="22" t="n">
        <v>57.7</v>
      </c>
      <c r="P5" s="38" t="inlineStr">
        <is>
          <t>—</t>
        </is>
      </c>
      <c r="Q5" s="39" t="n">
        <v>12.8</v>
      </c>
      <c r="R5" s="34" t="n">
        <v>0.0141262</v>
      </c>
      <c r="S5" s="34" t="n">
        <v>-0.0931133</v>
      </c>
      <c r="T5" s="34" t="n">
        <v>-0.0975264</v>
      </c>
      <c r="U5" s="34" t="n">
        <v>0.05274359999999999</v>
      </c>
      <c r="V5" s="34" t="n">
        <v>-0.04320719999999999</v>
      </c>
    </row>
    <row r="6" ht="16" customHeight="1">
      <c r="A6" s="32" t="n">
        <v>2</v>
      </c>
      <c r="B6" s="24" t="inlineStr">
        <is>
          <t>CALX</t>
        </is>
      </c>
      <c r="C6" s="25" t="inlineStr">
        <is>
          <t>Calix, Inc.</t>
        </is>
      </c>
      <c r="D6" s="26" t="n">
        <v>2219.5</v>
      </c>
      <c r="E6" s="40" t="n">
        <v>35.285</v>
      </c>
      <c r="F6" s="41" t="n">
        <v>0.213</v>
      </c>
      <c r="G6" s="41" t="n">
        <v>-0.008</v>
      </c>
      <c r="H6" s="41" t="n">
        <v>0.546</v>
      </c>
      <c r="I6" s="41" t="n">
        <v>-0.042</v>
      </c>
      <c r="J6" s="41" t="n">
        <v>0.095</v>
      </c>
      <c r="K6" s="42" t="n">
        <v>50</v>
      </c>
      <c r="L6" s="42" t="n">
        <v>74.2</v>
      </c>
      <c r="M6" s="42" t="n">
        <v>83.90000000000001</v>
      </c>
      <c r="N6" s="43" t="n">
        <v>68.59999999999999</v>
      </c>
      <c r="O6" s="22" t="n">
        <v>58.3</v>
      </c>
      <c r="P6" s="44" t="inlineStr">
        <is>
          <t>—</t>
        </is>
      </c>
      <c r="Q6" s="39" t="n">
        <v>1.3</v>
      </c>
      <c r="R6" s="41" t="n">
        <v>-0.0709584</v>
      </c>
      <c r="S6" s="41" t="n">
        <v>-0.0535139</v>
      </c>
      <c r="T6" s="41" t="n">
        <v>-0.3008718</v>
      </c>
      <c r="U6" s="41" t="n">
        <v>-0.3333648</v>
      </c>
      <c r="V6" s="41" t="n">
        <v>-0.4225041</v>
      </c>
    </row>
    <row r="7" ht="16" customHeight="1">
      <c r="A7" s="32" t="n">
        <v>3</v>
      </c>
      <c r="B7" s="19" t="inlineStr">
        <is>
          <t>ADEA</t>
        </is>
      </c>
      <c r="C7" s="20" t="inlineStr">
        <is>
          <t>Adeia Inc.</t>
        </is>
      </c>
      <c r="D7" s="21" t="n">
        <v>2998.6</v>
      </c>
      <c r="E7" s="33" t="n">
        <v>27.1999</v>
      </c>
      <c r="F7" s="34" t="n">
        <v>0.121</v>
      </c>
      <c r="G7" s="34" t="n">
        <v>0.139</v>
      </c>
      <c r="H7" s="34" t="n">
        <v>0.264</v>
      </c>
      <c r="I7" s="34" t="n">
        <v>0.031</v>
      </c>
      <c r="J7" s="34" t="n">
        <v>0.024</v>
      </c>
      <c r="K7" s="36" t="n">
        <v>37.3</v>
      </c>
      <c r="L7" s="36" t="n">
        <v>56.8</v>
      </c>
      <c r="M7" s="36" t="n">
        <v>79.5</v>
      </c>
      <c r="N7" s="37" t="n">
        <v>61.8</v>
      </c>
      <c r="O7" s="35" t="n">
        <v>72.3</v>
      </c>
      <c r="P7" s="38" t="inlineStr">
        <is>
          <t>—</t>
        </is>
      </c>
      <c r="Q7" s="45" t="n">
        <v>51.1</v>
      </c>
      <c r="R7" s="34" t="n">
        <v>-0.0364896</v>
      </c>
      <c r="S7" s="34" t="n">
        <v>-0.1378796</v>
      </c>
      <c r="T7" s="34" t="n">
        <v>0.3688928</v>
      </c>
      <c r="U7" s="34" t="n">
        <v>0.5768058</v>
      </c>
      <c r="V7" s="34" t="n">
        <v>0.7696747</v>
      </c>
    </row>
    <row r="8" ht="16" customHeight="1">
      <c r="A8" s="32" t="n">
        <v>4</v>
      </c>
      <c r="B8" s="24" t="inlineStr">
        <is>
          <t>DCI</t>
        </is>
      </c>
      <c r="C8" s="25" t="inlineStr">
        <is>
          <t>Donaldson Company, Inc.</t>
        </is>
      </c>
      <c r="D8" s="26" t="n">
        <v>10618.6</v>
      </c>
      <c r="E8" s="40" t="n">
        <v>91.61</v>
      </c>
      <c r="F8" s="41" t="n">
        <v>0.08</v>
      </c>
      <c r="G8" s="41" t="n">
        <v>0.032</v>
      </c>
      <c r="H8" s="41" t="n">
        <v>0.363</v>
      </c>
      <c r="I8" s="41" t="n">
        <v>-0.042</v>
      </c>
      <c r="J8" s="41" t="n">
        <v>0.006999999999999999</v>
      </c>
      <c r="K8" s="46" t="n">
        <v>30.3</v>
      </c>
      <c r="L8" s="42" t="n">
        <v>52.7</v>
      </c>
      <c r="M8" s="42" t="n">
        <v>79.40000000000001</v>
      </c>
      <c r="N8" s="43" t="n">
        <v>59.6</v>
      </c>
      <c r="O8" s="22" t="n">
        <v>54</v>
      </c>
      <c r="P8" s="44" t="inlineStr">
        <is>
          <t>—</t>
        </is>
      </c>
      <c r="Q8" s="39" t="n">
        <v>20.7</v>
      </c>
      <c r="R8" s="41" t="n">
        <v>-0.0709867</v>
      </c>
      <c r="S8" s="41" t="n">
        <v>0.09085499999999999</v>
      </c>
      <c r="T8" s="41" t="n">
        <v>0.032458</v>
      </c>
      <c r="U8" s="41" t="n">
        <v>0.0332732</v>
      </c>
      <c r="V8" s="41" t="n">
        <v>0.1276465</v>
      </c>
    </row>
    <row r="9" ht="16" customHeight="1">
      <c r="A9" s="32" t="n">
        <v>5</v>
      </c>
      <c r="B9" s="19" t="inlineStr">
        <is>
          <t>BCO</t>
        </is>
      </c>
      <c r="C9" s="20" t="inlineStr">
        <is>
          <t>The Brink's Company</t>
        </is>
      </c>
      <c r="D9" s="21" t="n">
        <v>4372.8</v>
      </c>
      <c r="E9" s="33" t="n">
        <v>106.18</v>
      </c>
      <c r="F9" s="34" t="n">
        <v>0.07099999999999999</v>
      </c>
      <c r="G9" s="34" t="n">
        <v>0.033</v>
      </c>
      <c r="H9" s="34" t="n">
        <v>0.263</v>
      </c>
      <c r="I9" s="34" t="n">
        <v>-0.11</v>
      </c>
      <c r="J9" s="34" t="n">
        <v>0.011</v>
      </c>
      <c r="K9" s="36" t="n">
        <v>43.8</v>
      </c>
      <c r="L9" s="36" t="n">
        <v>47.8</v>
      </c>
      <c r="M9" s="36" t="n">
        <v>72.09999999999999</v>
      </c>
      <c r="N9" s="37" t="n">
        <v>57.8</v>
      </c>
      <c r="O9" s="36" t="n">
        <v>42.9</v>
      </c>
      <c r="P9" s="38" t="inlineStr">
        <is>
          <t>—</t>
        </is>
      </c>
      <c r="Q9" s="39" t="n">
        <v>18.1</v>
      </c>
      <c r="R9" s="34" t="n">
        <v>-0.0535698</v>
      </c>
      <c r="S9" s="34" t="n">
        <v>0.04776</v>
      </c>
      <c r="T9" s="34" t="n">
        <v>-0.09756930000000001</v>
      </c>
      <c r="U9" s="34" t="n">
        <v>-0.0903795</v>
      </c>
      <c r="V9" s="34" t="n">
        <v>-0.07589209999999999</v>
      </c>
    </row>
    <row r="10" ht="16" customHeight="1">
      <c r="A10" s="32" t="n">
        <v>6</v>
      </c>
      <c r="B10" s="24" t="inlineStr">
        <is>
          <t>NOVTU</t>
        </is>
      </c>
      <c r="C10" s="25" t="inlineStr">
        <is>
          <t>Novanta Inc. Tangible Equity Units</t>
        </is>
      </c>
      <c r="D10" s="26" t="n">
        <v>2259.2</v>
      </c>
      <c r="E10" s="40" t="n">
        <v>63.4</v>
      </c>
      <c r="F10" s="41" t="n">
        <v>0.103</v>
      </c>
      <c r="G10" s="41" t="n">
        <v>0</v>
      </c>
      <c r="H10" s="41" t="n">
        <v>0.431</v>
      </c>
      <c r="I10" s="41" t="n">
        <v>0.138</v>
      </c>
      <c r="J10" s="41" t="n">
        <v>0.008</v>
      </c>
      <c r="K10" s="42" t="n">
        <v>50</v>
      </c>
      <c r="L10" s="42" t="n">
        <v>40.3</v>
      </c>
      <c r="M10" s="42" t="n">
        <v>63.1</v>
      </c>
      <c r="N10" s="43" t="n">
        <v>57.8</v>
      </c>
      <c r="O10" s="22" t="n">
        <v>56</v>
      </c>
      <c r="P10" s="44" t="inlineStr">
        <is>
          <t>—</t>
        </is>
      </c>
      <c r="Q10" s="39" t="n">
        <v>30.8</v>
      </c>
      <c r="R10" s="41" t="n">
        <v>-0.0826219</v>
      </c>
      <c r="S10" s="41" t="n">
        <v>-0.08009289999999999</v>
      </c>
      <c r="T10" s="41" t="n">
        <v>0.0872921</v>
      </c>
      <c r="U10" s="41" t="n">
        <v>0.1531466</v>
      </c>
      <c r="V10" s="41" t="n">
        <v>0.3180873</v>
      </c>
    </row>
    <row r="11" ht="16" customHeight="1">
      <c r="A11" s="32" t="n">
        <v>7</v>
      </c>
      <c r="B11" s="19" t="inlineStr">
        <is>
          <t>CACI</t>
        </is>
      </c>
      <c r="C11" s="20" t="inlineStr">
        <is>
          <t>CACI International Inc</t>
        </is>
      </c>
      <c r="D11" s="21" t="n">
        <v>13629.7</v>
      </c>
      <c r="E11" s="33" t="n">
        <v>616.9</v>
      </c>
      <c r="F11" s="34" t="n">
        <v>0.176</v>
      </c>
      <c r="G11" s="34" t="n">
        <v>0.046</v>
      </c>
      <c r="H11" s="34" t="n">
        <v>0.337</v>
      </c>
      <c r="I11" s="34" t="n">
        <v>-0.024</v>
      </c>
      <c r="J11" s="34" t="n">
        <v>0.011</v>
      </c>
      <c r="K11" s="46" t="n">
        <v>28.1</v>
      </c>
      <c r="L11" s="36" t="n">
        <v>58.3</v>
      </c>
      <c r="M11" s="36" t="n">
        <v>79.59999999999999</v>
      </c>
      <c r="N11" s="37" t="n">
        <v>57.7</v>
      </c>
      <c r="O11" s="22" t="n">
        <v>58</v>
      </c>
      <c r="P11" s="38" t="inlineStr">
        <is>
          <t>—</t>
        </is>
      </c>
      <c r="Q11" s="45" t="n">
        <v>46.9</v>
      </c>
      <c r="R11" s="34" t="n">
        <v>-0.0427199</v>
      </c>
      <c r="S11" s="34" t="n">
        <v>0.1883114</v>
      </c>
      <c r="T11" s="34" t="n">
        <v>0.001461039</v>
      </c>
      <c r="U11" s="34" t="n">
        <v>0.1578236</v>
      </c>
      <c r="V11" s="34" t="n">
        <v>0.301367</v>
      </c>
    </row>
    <row r="12" ht="16" customHeight="1">
      <c r="A12" s="32" t="n">
        <v>8</v>
      </c>
      <c r="B12" s="24" t="inlineStr">
        <is>
          <t>RAL</t>
        </is>
      </c>
      <c r="C12" s="25" t="inlineStr">
        <is>
          <t>Ralliant Corp</t>
        </is>
      </c>
      <c r="D12" s="26" t="n">
        <v>7110.8</v>
      </c>
      <c r="E12" s="40" t="n">
        <v>64.13</v>
      </c>
      <c r="F12" s="41" t="n">
        <v>0.128</v>
      </c>
      <c r="G12" s="41" t="n">
        <v>0.185</v>
      </c>
      <c r="H12" s="41" t="n">
        <v>0.516</v>
      </c>
      <c r="I12" s="41" t="n">
        <v>-0.012</v>
      </c>
      <c r="J12" s="41" t="n">
        <v>0.003</v>
      </c>
      <c r="K12" s="35" t="n">
        <v>65.40000000000001</v>
      </c>
      <c r="L12" s="42" t="n">
        <v>62.6</v>
      </c>
      <c r="M12" s="42" t="n">
        <v>60.2</v>
      </c>
      <c r="N12" s="43" t="n">
        <v>57.6</v>
      </c>
      <c r="O12" s="22" t="n">
        <v>52.9</v>
      </c>
      <c r="P12" s="44" t="inlineStr">
        <is>
          <t>—</t>
        </is>
      </c>
      <c r="Q12" s="45" t="n">
        <v>48.8</v>
      </c>
      <c r="R12" s="41" t="n">
        <v>-0.0492216</v>
      </c>
      <c r="S12" s="41" t="n">
        <v>0.0507947</v>
      </c>
      <c r="T12" s="41" t="n">
        <v>0.4366039</v>
      </c>
      <c r="U12" s="41" t="n">
        <v>0.2596739</v>
      </c>
      <c r="V12" s="41" t="n">
        <v>0.5150012</v>
      </c>
    </row>
    <row r="13" ht="16" customHeight="1">
      <c r="A13" s="32" t="n">
        <v>9</v>
      </c>
      <c r="B13" s="19" t="inlineStr">
        <is>
          <t>BDC</t>
        </is>
      </c>
      <c r="C13" s="20" t="inlineStr">
        <is>
          <t>Belden Inc.</t>
        </is>
      </c>
      <c r="D13" s="21" t="n">
        <v>4787.5</v>
      </c>
      <c r="E13" s="33" t="n">
        <v>122.42</v>
      </c>
      <c r="F13" s="34" t="n">
        <v>0.116</v>
      </c>
      <c r="G13" s="34" t="n">
        <v>0.004</v>
      </c>
      <c r="H13" s="34" t="n">
        <v>0.391</v>
      </c>
      <c r="I13" s="34" t="n">
        <v>-0.07400000000000001</v>
      </c>
      <c r="J13" s="34" t="n">
        <v>0.017</v>
      </c>
      <c r="K13" s="36" t="n">
        <v>36.4</v>
      </c>
      <c r="L13" s="36" t="n">
        <v>56.7</v>
      </c>
      <c r="M13" s="36" t="n">
        <v>67.3</v>
      </c>
      <c r="N13" s="37" t="n">
        <v>57.4</v>
      </c>
      <c r="O13" s="22" t="n">
        <v>64.2</v>
      </c>
      <c r="P13" s="38" t="inlineStr">
        <is>
          <t>—</t>
        </is>
      </c>
      <c r="Q13" s="39" t="n">
        <v>23.5</v>
      </c>
      <c r="R13" s="34" t="n">
        <v>-0.0783015</v>
      </c>
      <c r="S13" s="34" t="n">
        <v>0.1319464</v>
      </c>
      <c r="T13" s="34" t="n">
        <v>0.0026208026</v>
      </c>
      <c r="U13" s="34" t="n">
        <v>0.0503647</v>
      </c>
      <c r="V13" s="34" t="n">
        <v>-0.06054789999999999</v>
      </c>
    </row>
    <row r="14" ht="16" customHeight="1">
      <c r="A14" s="32" t="n">
        <v>10</v>
      </c>
      <c r="B14" s="24" t="inlineStr">
        <is>
          <t>KD</t>
        </is>
      </c>
      <c r="C14" s="25" t="inlineStr">
        <is>
          <t>Kyndryl Holdings, Inc.</t>
        </is>
      </c>
      <c r="D14" s="26" t="n">
        <v>2790.6</v>
      </c>
      <c r="E14" s="40" t="n">
        <v>12.635</v>
      </c>
      <c r="F14" s="41" t="n">
        <v>3.032</v>
      </c>
      <c r="G14" s="41" t="n">
        <v>3.031</v>
      </c>
      <c r="H14" s="41" t="n">
        <v>0.218</v>
      </c>
      <c r="I14" s="41" t="n">
        <v>-0.003</v>
      </c>
      <c r="J14" s="41" t="n">
        <v>0.07400000000000001</v>
      </c>
      <c r="K14" s="42" t="n">
        <v>43.6</v>
      </c>
      <c r="L14" s="42" t="n">
        <v>87</v>
      </c>
      <c r="M14" s="42" t="n">
        <v>61.6</v>
      </c>
      <c r="N14" s="43" t="n">
        <v>55.2</v>
      </c>
      <c r="O14" s="22" t="n">
        <v>56.8</v>
      </c>
      <c r="P14" s="44" t="inlineStr">
        <is>
          <t>—</t>
        </is>
      </c>
      <c r="Q14" s="39" t="n">
        <v>5.9</v>
      </c>
      <c r="R14" s="41" t="n">
        <v>-0.09878740000000001</v>
      </c>
      <c r="S14" s="41" t="n">
        <v>0.0929931</v>
      </c>
      <c r="T14" s="41" t="n">
        <v>-0.0420773</v>
      </c>
      <c r="U14" s="41" t="n">
        <v>-0.5242846</v>
      </c>
      <c r="V14" s="41" t="n">
        <v>-0.6187387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CE</t>
        </is>
      </c>
      <c r="B19" s="36" t="n">
        <v>17.4</v>
      </c>
      <c r="C19" s="36" t="n">
        <v>56.2</v>
      </c>
      <c r="D19" s="36" t="n">
        <v>100</v>
      </c>
      <c r="E19" s="36" t="n">
        <v>69</v>
      </c>
      <c r="F19" s="36" t="n">
        <v>83</v>
      </c>
    </row>
    <row r="20" ht="16" customHeight="1">
      <c r="A20" s="24" t="inlineStr">
        <is>
          <t>CALX</t>
        </is>
      </c>
      <c r="B20" s="42" t="n">
        <v>42.6</v>
      </c>
      <c r="C20" s="42" t="n">
        <v>100</v>
      </c>
      <c r="D20" s="42" t="n">
        <v>100</v>
      </c>
      <c r="E20" s="42" t="n">
        <v>95</v>
      </c>
      <c r="F20" s="42" t="n">
        <v>48</v>
      </c>
    </row>
    <row r="21" ht="16" customHeight="1">
      <c r="A21" s="19" t="inlineStr">
        <is>
          <t>ADEA</t>
        </is>
      </c>
      <c r="B21" s="36" t="n">
        <v>24.2</v>
      </c>
      <c r="C21" s="36" t="n">
        <v>66</v>
      </c>
      <c r="D21" s="36" t="n">
        <v>100</v>
      </c>
      <c r="E21" s="36" t="n">
        <v>24</v>
      </c>
      <c r="F21" s="36" t="n">
        <v>84.7</v>
      </c>
    </row>
    <row r="22" ht="16" customHeight="1">
      <c r="A22" s="24" t="inlineStr">
        <is>
          <t>DCI</t>
        </is>
      </c>
      <c r="B22" s="42" t="n">
        <v>16</v>
      </c>
      <c r="C22" s="42" t="n">
        <v>90.8</v>
      </c>
      <c r="D22" s="42" t="n">
        <v>100</v>
      </c>
      <c r="E22" s="42" t="n">
        <v>7</v>
      </c>
      <c r="F22" s="42" t="n">
        <v>58</v>
      </c>
    </row>
    <row r="23" ht="16" customHeight="1">
      <c r="A23" s="19" t="inlineStr">
        <is>
          <t>BCO</t>
        </is>
      </c>
      <c r="B23" s="36" t="n">
        <v>14.2</v>
      </c>
      <c r="C23" s="36" t="n">
        <v>65.8</v>
      </c>
      <c r="D23" s="36" t="n">
        <v>100</v>
      </c>
      <c r="E23" s="36" t="n">
        <v>11</v>
      </c>
      <c r="F23" s="36" t="n">
        <v>58.2</v>
      </c>
    </row>
    <row r="24" ht="16" customHeight="1">
      <c r="A24" s="24" t="inlineStr">
        <is>
          <t>NOVTU</t>
        </is>
      </c>
      <c r="B24" s="42" t="n">
        <v>20.6</v>
      </c>
      <c r="C24" s="42" t="n">
        <v>100</v>
      </c>
      <c r="D24" s="42" t="n">
        <v>64.8</v>
      </c>
      <c r="E24" s="42" t="n">
        <v>8</v>
      </c>
      <c r="F24" s="42" t="n">
        <v>50</v>
      </c>
    </row>
    <row r="25" ht="16" customHeight="1">
      <c r="A25" s="19" t="inlineStr">
        <is>
          <t>CACI</t>
        </is>
      </c>
      <c r="B25" s="36" t="n">
        <v>35.2</v>
      </c>
      <c r="C25" s="36" t="n">
        <v>84.2</v>
      </c>
      <c r="D25" s="36" t="n">
        <v>100</v>
      </c>
      <c r="E25" s="36" t="n">
        <v>11</v>
      </c>
      <c r="F25" s="36" t="n">
        <v>61.5</v>
      </c>
    </row>
    <row r="26" ht="16" customHeight="1">
      <c r="A26" s="24" t="inlineStr">
        <is>
          <t>RAL</t>
        </is>
      </c>
      <c r="B26" s="42" t="n">
        <v>25.6</v>
      </c>
      <c r="C26" s="42" t="n">
        <v>100</v>
      </c>
      <c r="D26" s="42" t="n">
        <v>100</v>
      </c>
      <c r="E26" s="42" t="n">
        <v>3</v>
      </c>
      <c r="F26" s="42" t="n">
        <v>96.2</v>
      </c>
    </row>
    <row r="27" ht="16" customHeight="1">
      <c r="A27" s="19" t="inlineStr">
        <is>
          <t>BDC</t>
        </is>
      </c>
      <c r="B27" s="36" t="n">
        <v>23.2</v>
      </c>
      <c r="C27" s="36" t="n">
        <v>97.8</v>
      </c>
      <c r="D27" s="36" t="n">
        <v>100</v>
      </c>
      <c r="E27" s="36" t="n">
        <v>17</v>
      </c>
      <c r="F27" s="36" t="n">
        <v>51</v>
      </c>
    </row>
    <row r="28" ht="16" customHeight="1">
      <c r="A28" s="24" t="inlineStr">
        <is>
          <t>KD</t>
        </is>
      </c>
      <c r="B28" s="42" t="n">
        <v>100</v>
      </c>
      <c r="C28" s="42" t="n">
        <v>54.5</v>
      </c>
      <c r="D28" s="42" t="n">
        <v>100</v>
      </c>
      <c r="E28" s="42" t="n">
        <v>74</v>
      </c>
      <c r="F28" s="42" t="n">
        <v>100</v>
      </c>
    </row>
    <row r="60">
      <c r="A60" t="inlineStr">
        <is>
          <t>Ticker</t>
        </is>
      </c>
      <c r="B60" t="inlineStr">
        <is>
          <t>Gross Margin</t>
        </is>
      </c>
      <c r="C60" t="inlineStr">
        <is>
          <t>Rev Growth</t>
        </is>
      </c>
      <c r="D60" t="inlineStr">
        <is>
          <t>Mkt Cap</t>
        </is>
      </c>
    </row>
    <row r="61">
      <c r="A61" t="inlineStr">
        <is>
          <t>CE</t>
        </is>
      </c>
      <c r="B61" t="n">
        <v>22.5</v>
      </c>
      <c r="C61" t="n">
        <v>8.699999999999999</v>
      </c>
      <c r="D61" t="n">
        <v>4874</v>
      </c>
    </row>
    <row r="62">
      <c r="A62" t="inlineStr">
        <is>
          <t>CALX</t>
        </is>
      </c>
      <c r="B62" t="n">
        <v>54.6</v>
      </c>
      <c r="C62" t="n">
        <v>21.3</v>
      </c>
      <c r="D62" t="n">
        <v>2219.5</v>
      </c>
    </row>
    <row r="63">
      <c r="A63" t="inlineStr">
        <is>
          <t>ADEA</t>
        </is>
      </c>
      <c r="B63" t="n">
        <v>26.4</v>
      </c>
      <c r="C63" t="n">
        <v>12.1</v>
      </c>
      <c r="D63" t="n">
        <v>2998.6</v>
      </c>
    </row>
    <row r="64">
      <c r="A64" t="inlineStr">
        <is>
          <t>DCI</t>
        </is>
      </c>
      <c r="B64" t="n">
        <v>36.3</v>
      </c>
      <c r="C64" t="n">
        <v>8</v>
      </c>
      <c r="D64" t="n">
        <v>10618.6</v>
      </c>
    </row>
    <row r="65">
      <c r="A65" t="inlineStr">
        <is>
          <t>BCO</t>
        </is>
      </c>
      <c r="B65" t="n">
        <v>26.3</v>
      </c>
      <c r="C65" t="n">
        <v>7.1</v>
      </c>
      <c r="D65" t="n">
        <v>4372.8</v>
      </c>
    </row>
    <row r="66">
      <c r="A66" t="inlineStr">
        <is>
          <t>NOVTU</t>
        </is>
      </c>
      <c r="B66" t="n">
        <v>43.1</v>
      </c>
      <c r="C66" t="n">
        <v>10.3</v>
      </c>
      <c r="D66" t="n">
        <v>2259.2</v>
      </c>
    </row>
    <row r="67">
      <c r="A67" t="inlineStr">
        <is>
          <t>CACI</t>
        </is>
      </c>
      <c r="B67" t="n">
        <v>33.7</v>
      </c>
      <c r="C67" t="n">
        <v>17.6</v>
      </c>
      <c r="D67" t="n">
        <v>13629.7</v>
      </c>
    </row>
    <row r="68">
      <c r="A68" t="inlineStr">
        <is>
          <t>RAL</t>
        </is>
      </c>
      <c r="B68" t="n">
        <v>51.6</v>
      </c>
      <c r="C68" t="n">
        <v>12.8</v>
      </c>
      <c r="D68" t="n">
        <v>7110.8</v>
      </c>
    </row>
    <row r="69">
      <c r="A69" t="inlineStr">
        <is>
          <t>BDC</t>
        </is>
      </c>
      <c r="B69" t="n">
        <v>39.1</v>
      </c>
      <c r="C69" t="n">
        <v>11.6</v>
      </c>
      <c r="D69" t="n">
        <v>4787.5</v>
      </c>
    </row>
    <row r="70">
      <c r="A70" t="inlineStr">
        <is>
          <t>KD</t>
        </is>
      </c>
      <c r="B70" t="n">
        <v>21.8</v>
      </c>
      <c r="C70" t="n">
        <v>303.2</v>
      </c>
      <c r="D70" t="n">
        <v>2790.6</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W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Vital Link ($15B–$40B)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30" customHeight="1">
      <c r="A5" s="47" t="inlineStr">
        <is>
          <t>No candidates met the Vital Link ($15B–$40B) criteria in this run. This tier accepts only companies at a revenue trough that held their gross margin through it — the setup is genuinely rare, and an empty tier means none was found, not that anything failed.</t>
        </is>
      </c>
    </row>
    <row r="6"/>
  </sheetData>
  <mergeCells count="3">
    <mergeCell ref="A2:V2"/>
    <mergeCell ref="A5:W6"/>
    <mergeCell ref="A1:V1"/>
  </mergeCells>
  <pageMargins left="0.75" right="0.75" top="1" bottom="1" header="0.5" footer="0.5"/>
  <pageSetup orientation="landscape" fitToWidth="1"/>
</worksheet>
</file>

<file path=xl/worksheets/sheet6.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AISP</t>
        </is>
      </c>
      <c r="B5" s="20" t="inlineStr">
        <is>
          <t>Airship AI Holdings, Inc.</t>
        </is>
      </c>
      <c r="C5" s="20" t="inlineStr">
        <is>
          <t>Technology</t>
        </is>
      </c>
      <c r="D5" s="20" t="inlineStr">
        <is>
          <t>Software - Infrastructure</t>
        </is>
      </c>
      <c r="E5" s="48" t="inlineStr">
        <is>
          <t>Nano Cap</t>
        </is>
      </c>
      <c r="F5" s="47" t="inlineStr">
        <is>
          <t>Based in the U.S., Airship AI Holdings, Inc. delivers an artificial intelligence-powered surveillance solution that unifies video, sensor, and data management capabilities. Its product portfolio includes Airship Acropolis OS for both IP and traditional analog video surveillance; Airship Command, a comprehensive set of visualization tools enabling users to analyze data and evidence collected at the network edge; and Airship Outpost, which facilitates high-definition recording along with customizable low-bit rate video stream encoding. Their clientele spans various sectors, including governmental bodies, the public sector, law enforcement agencies, military operations, and commercial enterprises. Previously operating as Super Simple AI, Inc., the company officially adopted the name Airship AI Holdings, Inc. in March 2023. Established in 2006, its corporate headquarters are situated in Redmond, Washington.</t>
        </is>
      </c>
    </row>
    <row r="6" ht="60" customHeight="1">
      <c r="A6" s="24" t="inlineStr">
        <is>
          <t>INTT</t>
        </is>
      </c>
      <c r="B6" s="25" t="inlineStr">
        <is>
          <t>inTEST Corporation</t>
        </is>
      </c>
      <c r="C6" s="25" t="inlineStr">
        <is>
          <t>Technology</t>
        </is>
      </c>
      <c r="D6" s="49" t="inlineStr">
        <is>
          <t>Semiconductors</t>
        </is>
      </c>
      <c r="E6" s="50" t="inlineStr">
        <is>
          <t>Nano Cap</t>
        </is>
      </c>
      <c r="F6" s="51"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7" ht="60" customHeight="1">
      <c r="A7" s="19" t="inlineStr">
        <is>
          <t>KVHI</t>
        </is>
      </c>
      <c r="B7" s="20" t="inlineStr">
        <is>
          <t>KVH Industries, Inc.</t>
        </is>
      </c>
      <c r="C7" s="20" t="inlineStr">
        <is>
          <t>Technology</t>
        </is>
      </c>
      <c r="D7" s="52" t="inlineStr">
        <is>
          <t>Communication Equipment</t>
        </is>
      </c>
      <c r="E7" s="48" t="inlineStr">
        <is>
          <t>Nano Cap</t>
        </is>
      </c>
      <c r="F7" s="47" t="inlineStr">
        <is>
          <t>KVH Industries, Inc., together with its subsidiaries, designs, develops, manufactures, and markets mobile connectivity and managed services for the marine and land mobile markets. The company offers Internet and VoIP airtime services; AgilePlans, a connectivity as a Service solution; CommBox, a data management software for maritime communications; CommBox Edge, an advanced maritime network optimization and management solution; KVH Link, a crew wellbeing content subscription service; KVH ONE, a global hybrid communication network supporting Internet, VoIP, content delivery, and other; and KVH OneCare, a services and support for TracNet and TracPhone systems. It also provides MOVIElink, a movie distribution solution; MUSIClink, a music and karaoke delivery solution; NEWSlink, a maritime news delivery solution; OpenNet, a KVH VSAT data delivering service for non-KVH Ku-band VSAT terminals; TracNet, an integrated hybrid two-way communication terminal with VSAT, 5G/LTE, and shore-based Wi-F</t>
        </is>
      </c>
    </row>
    <row r="8" ht="60" customHeight="1">
      <c r="A8" s="24" t="inlineStr">
        <is>
          <t>RFIL</t>
        </is>
      </c>
      <c r="B8" s="25" t="inlineStr">
        <is>
          <t>RF Industries, Ltd.</t>
        </is>
      </c>
      <c r="C8" s="25" t="inlineStr">
        <is>
          <t>Industrials</t>
        </is>
      </c>
      <c r="D8" s="25" t="inlineStr">
        <is>
          <t>Electrical Equipment &amp; Parts</t>
        </is>
      </c>
      <c r="E8" s="50" t="inlineStr">
        <is>
          <t>Nano Cap</t>
        </is>
      </c>
      <c r="F8" s="51"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LAW</t>
        </is>
      </c>
      <c r="B9" s="20" t="inlineStr">
        <is>
          <t>CS Disco, Inc.</t>
        </is>
      </c>
      <c r="C9" s="20" t="inlineStr">
        <is>
          <t>Technology</t>
        </is>
      </c>
      <c r="D9" s="20" t="inlineStr">
        <is>
          <t>Software - Application</t>
        </is>
      </c>
      <c r="E9" s="48" t="inlineStr">
        <is>
          <t>Nano Cap</t>
        </is>
      </c>
      <c r="F9" s="47" t="inlineStr">
        <is>
          <t>CS Disco, Inc. is a legal technology innovator that leverages cloud-native infrastructure and artificial intelligence to deliver advanced solutions. These solutions support electronic discovery, legal document analysis, and comprehensive case management for a broad client base, including corporations, law firms, legal service providers, and governmental entities. Among its key offerings is DISCO Ediscovery, which streamlines the entire e-discovery lifecycle. This platform significantly reduces the manual effort typically involved in gathering, processing, enhancing, searching, examining, interpreting, and presenting critical enterprise data relevant to legal proceedings. Additionally, DISCO Review employs artificial intelligence to consistently provide efficient and accurate document analysis. The suite further includes DISCO Case Builder, a collaborative tool that empowers legal professionals to construct robust cases by centralizing the search, organization, and review of witness dep</t>
        </is>
      </c>
    </row>
    <row r="10" ht="60" customHeight="1">
      <c r="A10" s="24" t="inlineStr">
        <is>
          <t>ASYS</t>
        </is>
      </c>
      <c r="B10" s="25" t="inlineStr">
        <is>
          <t>Amtech Systems, Inc.</t>
        </is>
      </c>
      <c r="C10" s="25" t="inlineStr">
        <is>
          <t>Technology</t>
        </is>
      </c>
      <c r="D10" s="49" t="inlineStr">
        <is>
          <t>Semiconductors</t>
        </is>
      </c>
      <c r="E10" s="50" t="inlineStr">
        <is>
          <t>Nano Cap</t>
        </is>
      </c>
      <c r="F10" s="51"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1" ht="60" customHeight="1">
      <c r="A11" s="19" t="inlineStr">
        <is>
          <t>LTRX</t>
        </is>
      </c>
      <c r="B11" s="20" t="inlineStr">
        <is>
          <t>Lantronix, Inc.</t>
        </is>
      </c>
      <c r="C11" s="20" t="inlineStr">
        <is>
          <t>Technology</t>
        </is>
      </c>
      <c r="D11" s="52" t="inlineStr">
        <is>
          <t>Communication Equipment</t>
        </is>
      </c>
      <c r="E11" s="48" t="inlineStr">
        <is>
          <t>Nano Cap</t>
        </is>
      </c>
      <c r="F11" s="47"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2" ht="60" customHeight="1">
      <c r="A12" s="24" t="inlineStr">
        <is>
          <t>ROC</t>
        </is>
      </c>
      <c r="B12" s="25" t="inlineStr">
        <is>
          <t>Rank One Computing Corp.</t>
        </is>
      </c>
      <c r="C12" s="25" t="inlineStr">
        <is>
          <t>Technology</t>
        </is>
      </c>
      <c r="D12" s="25" t="inlineStr">
        <is>
          <t>Software - Application</t>
        </is>
      </c>
      <c r="E12" s="50" t="inlineStr">
        <is>
          <t>Nano Cap</t>
        </is>
      </c>
      <c r="F12" s="51" t="inlineStr">
        <is>
          <t>Rank One Computing Corporation provides advanced biometric, facial recognition, and vision AI solutions in United States. Its products includes ROC SDK, offers AI / ML developed vision AI algorithms including biometrics (face, fingerprint, and iris) and object detection models (Automated License-Plate Recognition (ALPR), pedestrian, vehicles, optical character recognition; ROC ABIS, an enterprise-grade biometric identity system; ROC Watch, an post-event video analytics platform that delivers multimodal video analytics, visitor management, and threat detection in a single pane of glass; ROC Enroll, a remote identity verification solution that enforces compliant selfie facial capture, spoof-prevention (Liveness), face to ID matching. It serves law enforcement, defense, national security, fintech, public safety, and commercial security and engagement markets. The company was incorporated in 2015 and is based in Denver, Colorado.</t>
        </is>
      </c>
    </row>
    <row r="13" ht="60" customHeight="1">
      <c r="A13" s="19" t="inlineStr">
        <is>
          <t>TGEN</t>
        </is>
      </c>
      <c r="B13" s="20" t="inlineStr">
        <is>
          <t>Tecogen Inc.</t>
        </is>
      </c>
      <c r="C13" s="20" t="inlineStr">
        <is>
          <t>Industrials</t>
        </is>
      </c>
      <c r="D13" s="20" t="inlineStr">
        <is>
          <t>Electrical Equipment &amp; Parts</t>
        </is>
      </c>
      <c r="E13" s="48" t="inlineStr">
        <is>
          <t>Nano Cap</t>
        </is>
      </c>
      <c r="F13" s="47" t="inlineStr">
        <is>
          <t>Tecogen Inc. specializes in the design, manufacturing, sales, and ongoing support of industrial and commercial combined heat and power (CHP) systems. These energy solutions cater to a wide range of applications—residential, commercial, recreational, and industrial—both within the United States and internationally. The company's operations are segmented into three main areas: Products, Services, and Energy Production. Its product offerings include: Cogeneration units, such as the InVerde e+ and TecoPower models, which efficiently produce both electricity and hot water. TECOCHILL branded chillers for air conditioning and refrigeration purposes. Tecofrost gas engine-driven compressors used in refrigeration systems. Ilios brand water heaters. Ultera emissions control technology. Beyond equipment sales, Tecogen provides extensive support services, including long-term maintenance contracts, spare parts sales, and comprehensive turnkey installation. These services are delivered through a netw</t>
        </is>
      </c>
    </row>
    <row r="14" ht="60" customHeight="1">
      <c r="A14" s="24" t="inlineStr">
        <is>
          <t>BKTI</t>
        </is>
      </c>
      <c r="B14" s="25" t="inlineStr">
        <is>
          <t>BK Technologies Corporation</t>
        </is>
      </c>
      <c r="C14" s="25" t="inlineStr">
        <is>
          <t>Technology</t>
        </is>
      </c>
      <c r="D14" s="52" t="inlineStr">
        <is>
          <t>Communication Equipment</t>
        </is>
      </c>
      <c r="E14" s="50" t="inlineStr">
        <is>
          <t>Nano Cap</t>
        </is>
      </c>
      <c r="F14" s="51"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5" ht="60" customHeight="1">
      <c r="A15" s="19" t="inlineStr">
        <is>
          <t>SWBI</t>
        </is>
      </c>
      <c r="B15" s="20" t="inlineStr">
        <is>
          <t>Smith &amp; Wesson Brands, Inc.</t>
        </is>
      </c>
      <c r="C15" s="20" t="inlineStr">
        <is>
          <t>Industrials</t>
        </is>
      </c>
      <c r="D15" s="53" t="inlineStr">
        <is>
          <t>Aerospace &amp; Defense</t>
        </is>
      </c>
      <c r="E15" s="48" t="inlineStr">
        <is>
          <t>Small Cap</t>
        </is>
      </c>
      <c r="F15" s="47"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4" t="inlineStr">
        <is>
          <t>GHM</t>
        </is>
      </c>
      <c r="B16" s="25" t="inlineStr">
        <is>
          <t>Graham Corporation</t>
        </is>
      </c>
      <c r="C16" s="25" t="inlineStr">
        <is>
          <t>Industrials</t>
        </is>
      </c>
      <c r="D16" s="25" t="inlineStr">
        <is>
          <t>Industrial - Machinery</t>
        </is>
      </c>
      <c r="E16" s="50" t="inlineStr">
        <is>
          <t>Small Cap</t>
        </is>
      </c>
      <c r="F16" s="51"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17" ht="60" customHeight="1">
      <c r="A17" s="19" t="inlineStr">
        <is>
          <t>TRC</t>
        </is>
      </c>
      <c r="B17" s="20" t="inlineStr">
        <is>
          <t>Tejon Ranch Co.</t>
        </is>
      </c>
      <c r="C17" s="20" t="inlineStr">
        <is>
          <t>Industrials</t>
        </is>
      </c>
      <c r="D17" s="20" t="inlineStr">
        <is>
          <t>Conglomerates</t>
        </is>
      </c>
      <c r="E17" s="48" t="inlineStr">
        <is>
          <t>Small Cap</t>
        </is>
      </c>
      <c r="F17" s="47" t="inlineStr">
        <is>
          <t>Tejon Ranch Co., through its various subsidiaries, operates as a multifaceted enterprise primarily focused on real estate development and agricultural operations. Its business is structured across five distinct divisions: Commercial/Industrial Real Estate Development, Resort/Residential Real Estate Development, Mineral Resources, Farming, and Ranch Operations. The Commercial/Industrial Real Estate Development division handles the entire process from land planning and obtaining permits to constructing vital infrastructure and developing properties for lease or sale, which includes creating ready-to-occupy buildings or selling plots to other developers. Additionally, it manages communication leases and landscaping services. This segment generates revenue by leasing land to various commercial tenants, such as two auto service stations with convenience stores, thirteen fast-food establishments, a motel, an antique shop, and a post office. It also provides sites for microwave repeaters, rad</t>
        </is>
      </c>
    </row>
    <row r="18" ht="60" customHeight="1">
      <c r="A18" s="24" t="inlineStr">
        <is>
          <t>CEVA</t>
        </is>
      </c>
      <c r="B18" s="25" t="inlineStr">
        <is>
          <t>CEVA, Inc.</t>
        </is>
      </c>
      <c r="C18" s="25" t="inlineStr">
        <is>
          <t>Technology</t>
        </is>
      </c>
      <c r="D18" s="49" t="inlineStr">
        <is>
          <t>Semiconductors</t>
        </is>
      </c>
      <c r="E18" s="50" t="inlineStr">
        <is>
          <t>Small Cap</t>
        </is>
      </c>
      <c r="F18" s="51" t="inlineStr">
        <is>
          <t>CEVA, Inc. is a global provider of intellectual property (IP) for advanced wireless connectivity and intelligent sensing solutions, serving semiconductor manufacturers and original equipment manufacturers (OEMs). The company specializes in developing and licensing a broad range of digital signal processors (DSPs), AI accelerators, wireless communication platforms, and complementary software. These offerings are engineered to support applications such as sensor data integration, image enhancement, machine vision, voice command processing, and artificial intelligence. CEVA's extensive IP portfolio features DSP-driven platforms for 5G baseband processing in mobile, IoT, and infrastructure environments, alongside sophisticated imaging and computer vision capabilities for all camera-enabled devices. They also offer ultra-low power audio, voice, and speech processing, including always-on sensing functionalities for a wide spectrum of IoT markets. Furthermore, their solutions include sensor f</t>
        </is>
      </c>
    </row>
    <row r="19" ht="60" customHeight="1">
      <c r="A19" s="19" t="inlineStr">
        <is>
          <t>VPG</t>
        </is>
      </c>
      <c r="B19" s="20" t="inlineStr">
        <is>
          <t>Vishay Precision Group, Inc.</t>
        </is>
      </c>
      <c r="C19" s="20" t="inlineStr">
        <is>
          <t>Technology</t>
        </is>
      </c>
      <c r="D19" s="20" t="inlineStr">
        <is>
          <t>Hardware, Equipment &amp; Parts</t>
        </is>
      </c>
      <c r="E19" s="48" t="inlineStr">
        <is>
          <t>Small Cap</t>
        </is>
      </c>
      <c r="F19" s="47" t="inlineStr">
        <is>
          <t>Vishay Precision Group, Inc. engages in the precision measurement and sensing technologies business in the United States, Europe, Israel, Asia, and Canada. It operates through three segments: Sensors, Weighing Solutions, and Measurement Systems. The company offers precision resistors, strain gages, load cells and force measurement transducers, vehicle weighing and over-load monitoring systems, and control process weighing products; rolling force measuring load cell systems and pressure transmitters; web tension measurement load cells and systems; optical strip width gages; and laser velocimeters for speed and length measurements and closed-loop crop optimization control systems for optimal strip cuts. The company also offers thermal-mechanical simulation systems for metallurgical research; conditioning, data acquisition, and control systems; and data acquisition systems and sensors for product safety testing, as well as electronic displays, signal processors, micro-electromechanical sy</t>
        </is>
      </c>
    </row>
    <row r="20" ht="60" customHeight="1">
      <c r="A20" s="24" t="inlineStr">
        <is>
          <t>MNTK</t>
        </is>
      </c>
      <c r="B20" s="25" t="inlineStr">
        <is>
          <t>Montauk Renewables, Inc.</t>
        </is>
      </c>
      <c r="C20" s="25" t="inlineStr">
        <is>
          <t>Industrials</t>
        </is>
      </c>
      <c r="D20" s="25" t="inlineStr">
        <is>
          <t>Industrial - Specialties</t>
        </is>
      </c>
      <c r="E20" s="50" t="inlineStr">
        <is>
          <t>Small Cap</t>
        </is>
      </c>
      <c r="F20" s="51" t="inlineStr">
        <is>
          <t>Montauk Renewables, Inc. is a renewable energy enterprise specializing in the extraction and refinement of biogas sourced from landfills and other non-fossil fuel origins. Its operations are divided into two primary segments: Renewable Natural Gas and Renewable Electricity Generation. The company develops, owns, and operates renewable natural gas (RNG) projects. These initiatives are designed to capture harmful methane emissions, preventing their release into the atmosphere, and convert them into either RNG or electrical power for distribution to the grid. Customers for its renewable natural gas (RNG) and renewable identification numbers (RINs) are diverse, encompassing long-term owner-operators of landfills and livestock farms, local utilities, and refiners within the natural gas and refining sectors. Established in 1980, the company maintains its corporate headquarters in Pittsburgh, Pennsylvania.</t>
        </is>
      </c>
    </row>
    <row r="21" ht="60" customHeight="1">
      <c r="A21" s="19" t="inlineStr">
        <is>
          <t>EVLV</t>
        </is>
      </c>
      <c r="B21" s="20" t="inlineStr">
        <is>
          <t>Evolv Technologies Holdings, Inc.</t>
        </is>
      </c>
      <c r="C21" s="20" t="inlineStr">
        <is>
          <t>Industrials</t>
        </is>
      </c>
      <c r="D21" s="20" t="inlineStr">
        <is>
          <t>Security &amp; Protection Services</t>
        </is>
      </c>
      <c r="E21" s="48" t="inlineStr">
        <is>
          <t>Small Cap</t>
        </is>
      </c>
      <c r="F21" s="47"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2" ht="60" customHeight="1">
      <c r="A22" s="24" t="inlineStr">
        <is>
          <t>ADTN</t>
        </is>
      </c>
      <c r="B22" s="25" t="inlineStr">
        <is>
          <t>ADTRAN Holdings Inc.</t>
        </is>
      </c>
      <c r="C22" s="25" t="inlineStr">
        <is>
          <t>Technology</t>
        </is>
      </c>
      <c r="D22" s="52" t="inlineStr">
        <is>
          <t>Communication Equipment</t>
        </is>
      </c>
      <c r="E22" s="50" t="inlineStr">
        <is>
          <t>Small Cap</t>
        </is>
      </c>
      <c r="F22" s="51"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3" ht="60" customHeight="1">
      <c r="A23" s="19" t="inlineStr">
        <is>
          <t>CMCO</t>
        </is>
      </c>
      <c r="B23" s="20" t="inlineStr">
        <is>
          <t>Columbus McKinnon Corporation</t>
        </is>
      </c>
      <c r="C23" s="20" t="inlineStr">
        <is>
          <t>Industrials</t>
        </is>
      </c>
      <c r="D23" s="20" t="inlineStr">
        <is>
          <t>Industrial - Machinery</t>
        </is>
      </c>
      <c r="E23" s="48" t="inlineStr">
        <is>
          <t>Small Cap</t>
        </is>
      </c>
      <c r="F23" s="47" t="inlineStr">
        <is>
          <t>Columbus McKinnon Corporation (CMCO) is a global leader in designing, manufacturing, and distributing sophisticated motion solutions. These innovative systems are engineered to facilitate the ergonomic and secure movement, lifting, positioning, and securing of materials across various industries worldwide. The company's extensive product portfolio includes a diverse range of hoists, such as electric, air-powered, manual lever, and hand models, alongside specialized explosion-protected and custom-engineered options, hoist trolleys, and winches. CMCO also provides comprehensive crane systems, which feature individual components, complete kits, enclosed track rail systems, mobile and jib cranes, and essential fall protection equipment, in addition to broader material handling solutions. Their rigging equipment offerings are robust, encompassing below-the-hook lifting devices, shackles, chains and their accessories, forestry and hand tools, lifting slings, lashing systems, and load binders</t>
        </is>
      </c>
    </row>
    <row r="24" ht="60" customHeight="1">
      <c r="A24" s="24" t="inlineStr">
        <is>
          <t>NL</t>
        </is>
      </c>
      <c r="B24" s="25" t="inlineStr">
        <is>
          <t>NLI Holdings, Inc.</t>
        </is>
      </c>
      <c r="C24" s="25" t="inlineStr">
        <is>
          <t>Industrials</t>
        </is>
      </c>
      <c r="D24" s="25" t="inlineStr">
        <is>
          <t>Security &amp; Protection Services</t>
        </is>
      </c>
      <c r="E24" s="50" t="inlineStr">
        <is>
          <t>Small Cap</t>
        </is>
      </c>
      <c r="F24" s="51" t="inlineStr">
        <is>
          <t xml:space="preserve">NL Industries, Inc., through its subsidiary CompX International Inc., is a global and domestic manufacturer specializing in diverse component products. The company provides an extensive portfolio of mechanical and electronic locking mechanisms. This range includes various cabinet locks, such as classic disc tumbler and pin tumbler designs, alongside modern electronic options like CompX eLock and StealthLock systems. These security solutions are integral to a wide array of applications, including ignition systems, mailboxes, office furniture (file and desk cabinets), tool storage, integrated inventory and access control for secure narcotics boxes, vending and cash containment systems, medical cabinetry, electronic circuit panels, general storage compartments, and gas station security. Beyond locking devices, NL Industries also supplies a broad selection of original equipment and aftermarket components, primarily for performance and ski/wakeboard boats. These offerings include stainless </t>
        </is>
      </c>
    </row>
    <row r="25" ht="60" customHeight="1">
      <c r="A25" s="19" t="inlineStr">
        <is>
          <t>CE</t>
        </is>
      </c>
      <c r="B25" s="20" t="inlineStr">
        <is>
          <t>Celanese Corporation</t>
        </is>
      </c>
      <c r="C25" s="20" t="inlineStr">
        <is>
          <t>Basic Materials</t>
        </is>
      </c>
      <c r="D25" s="20" t="inlineStr">
        <is>
          <t>Chemicals</t>
        </is>
      </c>
      <c r="E25" s="48" t="inlineStr">
        <is>
          <t>Breakout</t>
        </is>
      </c>
      <c r="F25" s="47"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26" ht="60" customHeight="1">
      <c r="A26" s="24" t="inlineStr">
        <is>
          <t>CALX</t>
        </is>
      </c>
      <c r="B26" s="25" t="inlineStr">
        <is>
          <t>Calix, Inc.</t>
        </is>
      </c>
      <c r="C26" s="25" t="inlineStr">
        <is>
          <t>Technology</t>
        </is>
      </c>
      <c r="D26" s="52" t="inlineStr">
        <is>
          <t>Communication Equipment</t>
        </is>
      </c>
      <c r="E26" s="50" t="inlineStr">
        <is>
          <t>Breakout</t>
        </is>
      </c>
      <c r="F26" s="51"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7" ht="60" customHeight="1">
      <c r="A27" s="19" t="inlineStr">
        <is>
          <t>ADEA</t>
        </is>
      </c>
      <c r="B27" s="20" t="inlineStr">
        <is>
          <t>Adeia Inc.</t>
        </is>
      </c>
      <c r="C27" s="20" t="inlineStr">
        <is>
          <t>Technology</t>
        </is>
      </c>
      <c r="D27" s="20" t="inlineStr">
        <is>
          <t>Software - Application</t>
        </is>
      </c>
      <c r="E27" s="48" t="inlineStr">
        <is>
          <t>Breakout</t>
        </is>
      </c>
      <c r="F27" s="47"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8" ht="60" customHeight="1">
      <c r="A28" s="24" t="inlineStr">
        <is>
          <t>DCI</t>
        </is>
      </c>
      <c r="B28" s="25" t="inlineStr">
        <is>
          <t>Donaldson Company, Inc.</t>
        </is>
      </c>
      <c r="C28" s="25" t="inlineStr">
        <is>
          <t>Industrials</t>
        </is>
      </c>
      <c r="D28" s="25" t="inlineStr">
        <is>
          <t>Industrial - Machinery</t>
        </is>
      </c>
      <c r="E28" s="50" t="inlineStr">
        <is>
          <t>Breakout</t>
        </is>
      </c>
      <c r="F28" s="51"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9" ht="60" customHeight="1">
      <c r="A29" s="19" t="inlineStr">
        <is>
          <t>BCO</t>
        </is>
      </c>
      <c r="B29" s="20" t="inlineStr">
        <is>
          <t>The Brink's Company</t>
        </is>
      </c>
      <c r="C29" s="20" t="inlineStr">
        <is>
          <t>Industrials</t>
        </is>
      </c>
      <c r="D29" s="20" t="inlineStr">
        <is>
          <t>Security &amp; Protection Services</t>
        </is>
      </c>
      <c r="E29" s="48" t="inlineStr">
        <is>
          <t>Breakout</t>
        </is>
      </c>
      <c r="F29" s="47" t="inlineStr">
        <is>
          <t>The Brink's Company operates as a global leader in secure logistics, cash management, and comprehensive security services, with operations spanning North America, Latin America, Europe, and other international markets. A core offering is the secure transportation of high-value assets. This encompasses armored vehicle services for cash-in-transit, as well as the specialized movement of diamonds, jewelry, precious metals, securities, banknotes, currency, sophisticated electronics, and pharmaceuticals. The company delivers a full spectrum of automated teller machine (ATM) services. These range from cash replenishment, predictive forecasting, and optimization to remote monitoring, service call dispatch, transaction processing, installation, and multi-level maintenance, all supported by essential network infrastructure. Further extending its cash services, Brink's offers vault outsourcing and detailed money processing solutions, including cashier balancing, counterfeit detection, account co</t>
        </is>
      </c>
    </row>
    <row r="30" ht="60" customHeight="1">
      <c r="A30" s="24" t="inlineStr">
        <is>
          <t>NOVTU</t>
        </is>
      </c>
      <c r="B30" s="25" t="inlineStr">
        <is>
          <t>Novanta Inc. Tangible Equity Units</t>
        </is>
      </c>
      <c r="C30" s="25" t="inlineStr">
        <is>
          <t>Technology</t>
        </is>
      </c>
      <c r="D30" s="25" t="inlineStr">
        <is>
          <t>Hardware, Equipment &amp; Parts</t>
        </is>
      </c>
      <c r="E30" s="50" t="inlineStr">
        <is>
          <t>Breakout</t>
        </is>
      </c>
      <c r="F30" s="51" t="inlineStr">
        <is>
          <t>Novanta Inc. specializes in the development, manufacturing, and global commercialization of advanced components and integrated sub-systems across photonics, vision, and precision motion technologies. Catering to original equipment manufacturers (OEMs), its solutions are vital for medical and industrial applications worldwide. The company's Photonics segment delivers sophisticated solutions, encompassing laser scanning, beam delivery systems, various laser types (CO2, solid state, ultrafast), and optical light engines. These innovations find applications in industrial processing, precise measurement (metrology), medical and life science imaging, genetic sequencing, and diverse medical laser interventions. The Vision division supplies an array of medical-grade technologies, such as insufflators, pumps, and related disposables, alongside advanced visualization solutions. It also offers wireless communication, video recording devices, and video integration systems specifically designed for</t>
        </is>
      </c>
    </row>
    <row r="31" ht="60" customHeight="1">
      <c r="A31" s="19" t="inlineStr">
        <is>
          <t>CACI</t>
        </is>
      </c>
      <c r="B31" s="20" t="inlineStr">
        <is>
          <t>CACI International Inc</t>
        </is>
      </c>
      <c r="C31" s="20" t="inlineStr">
        <is>
          <t>Technology</t>
        </is>
      </c>
      <c r="D31" s="20" t="inlineStr">
        <is>
          <t>Information Technology Services</t>
        </is>
      </c>
      <c r="E31" s="48" t="inlineStr">
        <is>
          <t>Breakout</t>
        </is>
      </c>
      <c r="F31" s="47"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32" ht="60" customHeight="1">
      <c r="A32" s="24" t="inlineStr">
        <is>
          <t>RAL</t>
        </is>
      </c>
      <c r="B32" s="25" t="inlineStr">
        <is>
          <t>Ralliant Corp</t>
        </is>
      </c>
      <c r="C32" s="25" t="inlineStr">
        <is>
          <t>Technology</t>
        </is>
      </c>
      <c r="D32" s="25" t="inlineStr">
        <is>
          <t>Hardware, Equipment &amp; Parts</t>
        </is>
      </c>
      <c r="E32" s="50" t="inlineStr">
        <is>
          <t>Breakout</t>
        </is>
      </c>
      <c r="F32" s="51" t="inlineStr">
        <is>
          <t>Ralliant Corporation engages in the design, development, manufacture, sale, and service of precision instruments and engineered products in the United States, China, and internationally. It operates through two segments, Test and Measurement; and Sensors and Safety Systems. The Test and Measurement segment provides precision test and measurement instruments, systems, software, and services markets under the TEKTRONIX, KEITHLEY INSTRUMENTS, SONIX, and EA ELECTRO-AUTOMATIK brand names. This segment offers a portfolio of industry solutions, including oscilloscopes, probes, source measuring units, semiconductor test systems, high-power bi-directional power supplies, and measurement analysis software packages. The Sensors and Safety Systems segment provides power grid monitoring solutions, safety systems for mission critical defense and space applications, and sensing solutions for critical environments, as well as sensing products encompassing liquid level, flow, and pressure sensors, moti</t>
        </is>
      </c>
    </row>
    <row r="33" ht="60" customHeight="1">
      <c r="A33" s="19" t="inlineStr">
        <is>
          <t>BDC</t>
        </is>
      </c>
      <c r="B33" s="20" t="inlineStr">
        <is>
          <t>Belden Inc.</t>
        </is>
      </c>
      <c r="C33" s="20" t="inlineStr">
        <is>
          <t>Technology</t>
        </is>
      </c>
      <c r="D33" s="52" t="inlineStr">
        <is>
          <t>Communication Equipment</t>
        </is>
      </c>
      <c r="E33" s="48" t="inlineStr">
        <is>
          <t>Breakout</t>
        </is>
      </c>
      <c r="F33" s="47" t="inlineStr">
        <is>
          <t>Belden Inc. stands as a global leader in signal transmission solutions, serving a diverse customer base across the Americas, Europe, the Middle East, Africa, and Asia-Pacific. The company operates through two primary segments: Enterprise Solutions and Industrial Solutions. Its Enterprise Solutions division furnishes comprehensive cabling (copper and fiber) and connectivity infrastructure, encompassing interconnect panels, racks, enclosures, and signal extension/matrix switching systems. These offerings are vital for modern applications such as local area networks, data centers, access control, 5G, fiber deployments, and building automation. Additionally, this segment provides power, cooling, and airflow management products crucial for mission-critical data center operations, alongside complete copper and fiber network systems. It caters to diverse sectors including commercial real estate, hospitality, healthcare, education, finance, government, and broadband/wireless service providers,</t>
        </is>
      </c>
    </row>
    <row r="34" ht="60" customHeight="1">
      <c r="A34" s="24" t="inlineStr">
        <is>
          <t>KD</t>
        </is>
      </c>
      <c r="B34" s="25" t="inlineStr">
        <is>
          <t>Kyndryl Holdings, Inc.</t>
        </is>
      </c>
      <c r="C34" s="25" t="inlineStr">
        <is>
          <t>Technology</t>
        </is>
      </c>
      <c r="D34" s="25" t="inlineStr">
        <is>
          <t>Information Technology Services</t>
        </is>
      </c>
      <c r="E34" s="50" t="inlineStr">
        <is>
          <t>Breakout</t>
        </is>
      </c>
      <c r="F34" s="51" t="inlineStr">
        <is>
          <t>Kyndryl Holdings, Inc. functions as a global technology and IT infrastructure services specialist. The firm delivers a comprehensive portfolio of IT solutions, encompassing cloud computing, foundational enterprise platforms, application development, data analytics, and artificial intelligence capabilities. Additionally, Kyndryl provides services related to modern digital workplaces, robust security and resiliency, alongside advanced network and edge computing solutions. It caters to a diverse clientele across various sectors such as finance, telecommunications, retail, automotive, and logistics. Established in 2020, its corporate headquarters are situated in New York, New York.</t>
        </is>
      </c>
    </row>
  </sheetData>
  <autoFilter ref="A4:F3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AISP</t>
        </is>
      </c>
      <c r="B5" s="20" t="inlineStr">
        <is>
          <t>Airship AI Holdings, Inc.</t>
        </is>
      </c>
      <c r="C5" s="20" t="inlineStr">
        <is>
          <t>Software - Infrastructure</t>
        </is>
      </c>
      <c r="D5" s="48" t="inlineStr">
        <is>
          <t>Nano Cap</t>
        </is>
      </c>
      <c r="E5" s="48" t="inlineStr">
        <is>
          <t>75%</t>
        </is>
      </c>
      <c r="F5" s="48" t="inlineStr">
        <is>
          <t>42</t>
        </is>
      </c>
      <c r="G5" s="47" t="inlineStr">
        <is>
          <t>Strong pricing power (GM 75%) suggests proprietary technology or IP-protected products with limited direct competition. Rapid revenue growth (92% YoY) signals strong product-market fit and expanding TAM capture. Revenue acceleration (159% QoQ) — growth is compounding, indicating an inflection point or expanding customer adoption. High insider ownership (29%) — founder/management skin in the game strongly aligns incentives with shareholders.</t>
        </is>
      </c>
    </row>
    <row r="6" ht="80" customHeight="1">
      <c r="A6" s="24" t="inlineStr">
        <is>
          <t>INTT</t>
        </is>
      </c>
      <c r="B6" s="25" t="inlineStr">
        <is>
          <t>inTEST Corporation</t>
        </is>
      </c>
      <c r="C6" s="25" t="inlineStr">
        <is>
          <t>Semiconductors</t>
        </is>
      </c>
      <c r="D6" s="50" t="inlineStr">
        <is>
          <t>Nano Cap</t>
        </is>
      </c>
      <c r="E6" s="50" t="inlineStr">
        <is>
          <t>40%</t>
        </is>
      </c>
      <c r="F6" s="50" t="inlineStr">
        <is>
          <t>71</t>
        </is>
      </c>
      <c r="G6" s="51"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7" ht="80" customHeight="1">
      <c r="A7" s="19" t="inlineStr">
        <is>
          <t>KVHI</t>
        </is>
      </c>
      <c r="B7" s="20" t="inlineStr">
        <is>
          <t>KVH Industries, Inc.</t>
        </is>
      </c>
      <c r="C7" s="20" t="inlineStr">
        <is>
          <t>Communication Equipment</t>
        </is>
      </c>
      <c r="D7" s="48" t="inlineStr">
        <is>
          <t>Nano Cap</t>
        </is>
      </c>
      <c r="E7" s="48" t="inlineStr">
        <is>
          <t>30%</t>
        </is>
      </c>
      <c r="F7" s="48" t="inlineStr">
        <is>
          <t>58</t>
        </is>
      </c>
      <c r="G7" s="47" t="inlineStr">
        <is>
          <t>Moderate margins (GM 30%) — competitive market, but cost structure supports reinvestment. Solid revenue growth (27% YoY) suggests growing demand and competitive positioning in target markets. Revenue acceleration (34%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t>
        </is>
      </c>
    </row>
    <row r="8" ht="80" customHeight="1">
      <c r="A8" s="24" t="inlineStr">
        <is>
          <t>RFIL</t>
        </is>
      </c>
      <c r="B8" s="25" t="inlineStr">
        <is>
          <t>RF Industries, Ltd.</t>
        </is>
      </c>
      <c r="C8" s="25" t="inlineStr">
        <is>
          <t>Electrical Equipment &amp; Parts</t>
        </is>
      </c>
      <c r="D8" s="50" t="inlineStr">
        <is>
          <t>Nano Cap</t>
        </is>
      </c>
      <c r="E8" s="50" t="inlineStr">
        <is>
          <t>35%</t>
        </is>
      </c>
      <c r="F8" s="50" t="inlineStr">
        <is>
          <t>66</t>
        </is>
      </c>
      <c r="G8" s="51"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LAW</t>
        </is>
      </c>
      <c r="B9" s="20" t="inlineStr">
        <is>
          <t>CS Disco, Inc.</t>
        </is>
      </c>
      <c r="C9" s="20" t="inlineStr">
        <is>
          <t>Software - Application</t>
        </is>
      </c>
      <c r="D9" s="48" t="inlineStr">
        <is>
          <t>Nano Cap</t>
        </is>
      </c>
      <c r="E9" s="48" t="inlineStr">
        <is>
          <t>74%</t>
        </is>
      </c>
      <c r="F9" s="48" t="inlineStr">
        <is>
          <t>48</t>
        </is>
      </c>
      <c r="G9" s="47" t="inlineStr">
        <is>
          <t>Strong pricing power (GM 74%) suggests proprietary technology or IP-protected products with limited direct competition. Revenue acceleration (7% QoQ) — growth is compounding, indicating an inflection point or expanding customer adoption. Reasonable capital discipline (7% 3yr dilution) — moderate equity issuance suggests funded growth without excessive shareholder dilution. High insider ownership (57%) — founder/management skin in the game strongly aligns incentives with shareholders.</t>
        </is>
      </c>
    </row>
    <row r="10" ht="80" customHeight="1">
      <c r="A10" s="24" t="inlineStr">
        <is>
          <t>ASYS</t>
        </is>
      </c>
      <c r="B10" s="25" t="inlineStr">
        <is>
          <t>Amtech Systems, Inc.</t>
        </is>
      </c>
      <c r="C10" s="25" t="inlineStr">
        <is>
          <t>Semiconductors</t>
        </is>
      </c>
      <c r="D10" s="50" t="inlineStr">
        <is>
          <t>Nano Cap</t>
        </is>
      </c>
      <c r="E10" s="50" t="inlineStr">
        <is>
          <t>50%</t>
        </is>
      </c>
      <c r="F10" s="50" t="inlineStr">
        <is>
          <t>64</t>
        </is>
      </c>
      <c r="G10" s="51"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1" ht="80" customHeight="1">
      <c r="A11" s="19" t="inlineStr">
        <is>
          <t>LTRX</t>
        </is>
      </c>
      <c r="B11" s="20" t="inlineStr">
        <is>
          <t>Lantronix, Inc.</t>
        </is>
      </c>
      <c r="C11" s="20" t="inlineStr">
        <is>
          <t>Communication Equipment</t>
        </is>
      </c>
      <c r="D11" s="48" t="inlineStr">
        <is>
          <t>Nano Cap</t>
        </is>
      </c>
      <c r="E11" s="48" t="inlineStr">
        <is>
          <t>44%</t>
        </is>
      </c>
      <c r="F11" s="48" t="inlineStr">
        <is>
          <t>62</t>
        </is>
      </c>
      <c r="G11" s="47"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2" ht="80" customHeight="1">
      <c r="A12" s="24" t="inlineStr">
        <is>
          <t>ROC</t>
        </is>
      </c>
      <c r="B12" s="25" t="inlineStr">
        <is>
          <t>Rank One Computing Corp.</t>
        </is>
      </c>
      <c r="C12" s="25" t="inlineStr">
        <is>
          <t>Software - Application</t>
        </is>
      </c>
      <c r="D12" s="50" t="inlineStr">
        <is>
          <t>Nano Cap</t>
        </is>
      </c>
      <c r="E12" s="50" t="inlineStr">
        <is>
          <t>90%</t>
        </is>
      </c>
      <c r="F12" s="50" t="inlineStr">
        <is>
          <t>47</t>
        </is>
      </c>
      <c r="G12" s="51" t="inlineStr">
        <is>
          <t>Strong pricing power (GM 90%) suggests proprietary technology or IP-protected products with limited direct competition. Rapid revenue growth (93% YoY) signals strong product-market fit and expanding TAM capture. Exceptional capital discipline (0% share growth over 3yr) — management avoids dilution, signaling confidence in organic cash generation. High insider ownership (72%) — founder/management skin in the game strongly aligns incentives with shareholders.</t>
        </is>
      </c>
    </row>
    <row r="13" ht="80" customHeight="1">
      <c r="A13" s="19" t="inlineStr">
        <is>
          <t>TGEN</t>
        </is>
      </c>
      <c r="B13" s="20" t="inlineStr">
        <is>
          <t>Tecogen Inc.</t>
        </is>
      </c>
      <c r="C13" s="20" t="inlineStr">
        <is>
          <t>Electrical Equipment &amp; Parts</t>
        </is>
      </c>
      <c r="D13" s="48" t="inlineStr">
        <is>
          <t>Nano Cap</t>
        </is>
      </c>
      <c r="E13" s="48" t="inlineStr">
        <is>
          <t>39%</t>
        </is>
      </c>
      <c r="F13" s="48" t="inlineStr">
        <is>
          <t>42</t>
        </is>
      </c>
      <c r="G13" s="47" t="inlineStr">
        <is>
          <t>Moderate margins (GM 39%) — competitive market, but cost structure supports reinvestment. Rapid revenue growth (66% YoY) signals strong product-market fit and expanding TAM capture. Revenue acceleration (11% QoQ) — growth is compounding, indicating an inflection point or expanding customer adoption. High insider ownership (40%) — founder/management skin in the game strongly aligns incentives with shareholders.</t>
        </is>
      </c>
    </row>
    <row r="14" ht="80" customHeight="1">
      <c r="A14" s="24" t="inlineStr">
        <is>
          <t>BKTI</t>
        </is>
      </c>
      <c r="B14" s="25" t="inlineStr">
        <is>
          <t>BK Technologies Corporation</t>
        </is>
      </c>
      <c r="C14" s="25" t="inlineStr">
        <is>
          <t>Communication Equipment</t>
        </is>
      </c>
      <c r="D14" s="50" t="inlineStr">
        <is>
          <t>Nano Cap</t>
        </is>
      </c>
      <c r="E14" s="50" t="inlineStr">
        <is>
          <t>52%</t>
        </is>
      </c>
      <c r="F14" s="50" t="inlineStr">
        <is>
          <t>62</t>
        </is>
      </c>
      <c r="G14" s="51"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5" ht="80" customHeight="1">
      <c r="A15" s="19" t="inlineStr">
        <is>
          <t>SWBI</t>
        </is>
      </c>
      <c r="B15" s="20" t="inlineStr">
        <is>
          <t>Smith &amp; Wesson Brands, Inc.</t>
        </is>
      </c>
      <c r="C15" s="20" t="inlineStr">
        <is>
          <t>Aerospace &amp; Defense</t>
        </is>
      </c>
      <c r="D15" s="48" t="inlineStr">
        <is>
          <t>Small Cap</t>
        </is>
      </c>
      <c r="E15" s="48" t="inlineStr">
        <is>
          <t>29%</t>
        </is>
      </c>
      <c r="F15" s="48" t="inlineStr">
        <is>
          <t>85</t>
        </is>
      </c>
      <c r="G15" s="47"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4" t="inlineStr">
        <is>
          <t>GHM</t>
        </is>
      </c>
      <c r="B16" s="25" t="inlineStr">
        <is>
          <t>Graham Corporation</t>
        </is>
      </c>
      <c r="C16" s="25" t="inlineStr">
        <is>
          <t>Industrial - Machinery</t>
        </is>
      </c>
      <c r="D16" s="50" t="inlineStr">
        <is>
          <t>Small Cap</t>
        </is>
      </c>
      <c r="E16" s="50" t="inlineStr">
        <is>
          <t>25%</t>
        </is>
      </c>
      <c r="F16" s="50" t="inlineStr">
        <is>
          <t>88</t>
        </is>
      </c>
      <c r="G16" s="51"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17" ht="80" customHeight="1">
      <c r="A17" s="19" t="inlineStr">
        <is>
          <t>TRC</t>
        </is>
      </c>
      <c r="B17" s="20" t="inlineStr">
        <is>
          <t>Tejon Ranch Co.</t>
        </is>
      </c>
      <c r="C17" s="20" t="inlineStr">
        <is>
          <t>Conglomerates</t>
        </is>
      </c>
      <c r="D17" s="48" t="inlineStr">
        <is>
          <t>Small Cap</t>
        </is>
      </c>
      <c r="E17" s="48" t="inlineStr">
        <is>
          <t>22%</t>
        </is>
      </c>
      <c r="F17" s="48" t="inlineStr">
        <is>
          <t>69</t>
        </is>
      </c>
      <c r="G17" s="47" t="inlineStr">
        <is>
          <t>Rapid revenue growth (72% YoY) signals strong product-market fit and expanding TAM capture. Revenue acceleration (26% QoQ) — growth is compounding, indicating an inflection point or expanding customer adoption. Exceptional capital discipline (-1% share growth over 3yr) — management avoids dilution, signaling confidence in organic cash generation. Fingerprint score of 69 — structural profile closely matches historical multi-bagger winners at their inflection points.</t>
        </is>
      </c>
    </row>
    <row r="18" ht="80" customHeight="1">
      <c r="A18" s="24" t="inlineStr">
        <is>
          <t>CEVA</t>
        </is>
      </c>
      <c r="B18" s="25" t="inlineStr">
        <is>
          <t>CEVA, Inc.</t>
        </is>
      </c>
      <c r="C18" s="25" t="inlineStr">
        <is>
          <t>Semiconductors</t>
        </is>
      </c>
      <c r="D18" s="50" t="inlineStr">
        <is>
          <t>Small Cap</t>
        </is>
      </c>
      <c r="E18" s="50" t="inlineStr">
        <is>
          <t>87%</t>
        </is>
      </c>
      <c r="F18" s="50" t="inlineStr">
        <is>
          <t>63</t>
        </is>
      </c>
      <c r="G18" s="51" t="inlineStr">
        <is>
          <t>Strong pricing power (GM 87%) suggests proprietary technology or IP-protected products with limited direct competition. Revenue acceleration (23% QoQ) — growth is compounding, indicating an inflection point or expanding customer adoption. Meaningful insider ownership (11%) — management has material personal stake in company performance. Semiconductor design/fab expertise represents years of R&amp;D investment — a significant moat against new entrants.</t>
        </is>
      </c>
    </row>
    <row r="19" ht="80" customHeight="1">
      <c r="A19" s="19" t="inlineStr">
        <is>
          <t>VPG</t>
        </is>
      </c>
      <c r="B19" s="20" t="inlineStr">
        <is>
          <t>Vishay Precision Group, Inc.</t>
        </is>
      </c>
      <c r="C19" s="20" t="inlineStr">
        <is>
          <t>Hardware, Equipment &amp; Parts</t>
        </is>
      </c>
      <c r="D19" s="48" t="inlineStr">
        <is>
          <t>Small Cap</t>
        </is>
      </c>
      <c r="E19" s="48" t="inlineStr">
        <is>
          <t>39%</t>
        </is>
      </c>
      <c r="F19" s="48" t="inlineStr">
        <is>
          <t>74</t>
        </is>
      </c>
      <c r="G19" s="47" t="inlineStr">
        <is>
          <t>Moderate margins (GM 39%) — competitive market, but cost structure supports reinvestment. Rapid revenue growth (124% YoY) signals strong product-market fit and expanding TAM capture. Revenue acceleration (127% QoQ) — growth is compounding, indicating an inflection point or expanding customer adoption. Exceptional capital discipline (-2% share growth over 3yr) — management avoids dilution, signaling confidence in organic cash generation. Meaningful insider ownership (19%) — management has material personal stake in company performance. Fingerprint score of 74 — structural profile closely matches historical multi-bagger winners at their inflection points.</t>
        </is>
      </c>
    </row>
    <row r="20" ht="80" customHeight="1">
      <c r="A20" s="24" t="inlineStr">
        <is>
          <t>MNTK</t>
        </is>
      </c>
      <c r="B20" s="25" t="inlineStr">
        <is>
          <t>Montauk Renewables, Inc.</t>
        </is>
      </c>
      <c r="C20" s="25" t="inlineStr">
        <is>
          <t>Industrial - Specialties</t>
        </is>
      </c>
      <c r="D20" s="50" t="inlineStr">
        <is>
          <t>Small Cap</t>
        </is>
      </c>
      <c r="E20" s="50" t="inlineStr">
        <is>
          <t>30%</t>
        </is>
      </c>
      <c r="F20" s="50" t="inlineStr">
        <is>
          <t>68</t>
        </is>
      </c>
      <c r="G20" s="51" t="inlineStr">
        <is>
          <t>Moderate margins (GM 30%) — competitive market, but cost structure supports reinvestment. Revenue acceleration (16% QoQ) — growth is compounding, indicating an inflection point or expanding customer adoption. Exceptional capital discipline (1% share growth over 3yr) — management avoids dilution, signaling confidence in organic cash generation. High insider ownership (71%) — founder/management skin in the game strongly aligns incentives with shareholders. Fingerprint score of 68 — structural profile closely matches historical multi-bagger winners at their inflection points.</t>
        </is>
      </c>
    </row>
    <row r="21" ht="80" customHeight="1">
      <c r="A21" s="19" t="inlineStr">
        <is>
          <t>EVLV</t>
        </is>
      </c>
      <c r="B21" s="20" t="inlineStr">
        <is>
          <t>Evolv Technologies Holdings, Inc.</t>
        </is>
      </c>
      <c r="C21" s="20" t="inlineStr">
        <is>
          <t>Security &amp; Protection Services</t>
        </is>
      </c>
      <c r="D21" s="48" t="inlineStr">
        <is>
          <t>Small Cap</t>
        </is>
      </c>
      <c r="E21" s="48" t="inlineStr">
        <is>
          <t>50%</t>
        </is>
      </c>
      <c r="F21" s="48" t="inlineStr">
        <is>
          <t>74</t>
        </is>
      </c>
      <c r="G21" s="47"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2" ht="80" customHeight="1">
      <c r="A22" s="24" t="inlineStr">
        <is>
          <t>ADTN</t>
        </is>
      </c>
      <c r="B22" s="25" t="inlineStr">
        <is>
          <t>ADTRAN Holdings Inc.</t>
        </is>
      </c>
      <c r="C22" s="25" t="inlineStr">
        <is>
          <t>Communication Equipment</t>
        </is>
      </c>
      <c r="D22" s="50" t="inlineStr">
        <is>
          <t>Small Cap</t>
        </is>
      </c>
      <c r="E22" s="50" t="inlineStr">
        <is>
          <t>37%</t>
        </is>
      </c>
      <c r="F22" s="50" t="inlineStr">
        <is>
          <t>77</t>
        </is>
      </c>
      <c r="G22" s="51"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3" ht="80" customHeight="1">
      <c r="A23" s="19" t="inlineStr">
        <is>
          <t>CMCO</t>
        </is>
      </c>
      <c r="B23" s="20" t="inlineStr">
        <is>
          <t>Columbus McKinnon Corporation</t>
        </is>
      </c>
      <c r="C23" s="20" t="inlineStr">
        <is>
          <t>Industrial - Machinery</t>
        </is>
      </c>
      <c r="D23" s="48" t="inlineStr">
        <is>
          <t>Small Cap</t>
        </is>
      </c>
      <c r="E23" s="48" t="inlineStr">
        <is>
          <t>28%</t>
        </is>
      </c>
      <c r="F23" s="48" t="inlineStr">
        <is>
          <t>72</t>
        </is>
      </c>
      <c r="G23" s="47" t="inlineStr">
        <is>
          <t>Moderate margins (GM 28%) — competitive market, but cost structure supports reinvestment. Rapid revenue growth (125% YoY) signals strong product-market fit and expanding TAM capture. Revenue acceleration (127% QoQ) — growth is compounding, indicating an inflection point or expanding customer adoption. Exceptional capital discipline (0% share growth over 3yr) — management avoids dilution, signaling confidence in organic cash generation. Fingerprint score of 72 — structural profile closely matches historical multi-bagger winners at their inflection points.</t>
        </is>
      </c>
    </row>
    <row r="24" ht="80" customHeight="1">
      <c r="A24" s="24" t="inlineStr">
        <is>
          <t>NL</t>
        </is>
      </c>
      <c r="B24" s="25" t="inlineStr">
        <is>
          <t>NLI Holdings, Inc.</t>
        </is>
      </c>
      <c r="C24" s="25" t="inlineStr">
        <is>
          <t>Security &amp; Protection Services</t>
        </is>
      </c>
      <c r="D24" s="50" t="inlineStr">
        <is>
          <t>Small Cap</t>
        </is>
      </c>
      <c r="E24" s="50" t="inlineStr">
        <is>
          <t>36%</t>
        </is>
      </c>
      <c r="F24" s="50" t="inlineStr">
        <is>
          <t>58</t>
        </is>
      </c>
      <c r="G24" s="51" t="inlineStr">
        <is>
          <t>Moderate margins (GM 36%) — competitive market, but cost structure supports reinvestment. Exceptional capital discipline (0% share growth over 3yr) — management avoids dilution, signaling confidence in organic cash generation. High insider ownership (83%) — founder/management skin in the game strongly aligns incentives with shareholders.</t>
        </is>
      </c>
    </row>
    <row r="25" ht="80" customHeight="1">
      <c r="A25" s="19" t="inlineStr">
        <is>
          <t>CE</t>
        </is>
      </c>
      <c r="B25" s="20" t="inlineStr">
        <is>
          <t>Celanese Corporation</t>
        </is>
      </c>
      <c r="C25" s="20" t="inlineStr">
        <is>
          <t>Chemicals</t>
        </is>
      </c>
      <c r="D25" s="48" t="inlineStr">
        <is>
          <t>Breakout</t>
        </is>
      </c>
      <c r="E25" s="48" t="inlineStr">
        <is>
          <t>22%</t>
        </is>
      </c>
      <c r="F25" s="48" t="inlineStr">
        <is>
          <t>74</t>
        </is>
      </c>
      <c r="G25" s="47"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26" ht="80" customHeight="1">
      <c r="A26" s="24" t="inlineStr">
        <is>
          <t>CALX</t>
        </is>
      </c>
      <c r="B26" s="25" t="inlineStr">
        <is>
          <t>Calix, Inc.</t>
        </is>
      </c>
      <c r="C26" s="25" t="inlineStr">
        <is>
          <t>Communication Equipment</t>
        </is>
      </c>
      <c r="D26" s="50" t="inlineStr">
        <is>
          <t>Breakout</t>
        </is>
      </c>
      <c r="E26" s="50" t="inlineStr">
        <is>
          <t>55%</t>
        </is>
      </c>
      <c r="F26" s="50" t="inlineStr">
        <is>
          <t>84</t>
        </is>
      </c>
      <c r="G26" s="51"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7" ht="80" customHeight="1">
      <c r="A27" s="19" t="inlineStr">
        <is>
          <t>ADEA</t>
        </is>
      </c>
      <c r="B27" s="20" t="inlineStr">
        <is>
          <t>Adeia Inc.</t>
        </is>
      </c>
      <c r="C27" s="20" t="inlineStr">
        <is>
          <t>Software - Application</t>
        </is>
      </c>
      <c r="D27" s="48" t="inlineStr">
        <is>
          <t>Breakout</t>
        </is>
      </c>
      <c r="E27" s="48" t="inlineStr">
        <is>
          <t>26%</t>
        </is>
      </c>
      <c r="F27" s="48" t="inlineStr">
        <is>
          <t>80</t>
        </is>
      </c>
      <c r="G27" s="47"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8" ht="80" customHeight="1">
      <c r="A28" s="24" t="inlineStr">
        <is>
          <t>DCI</t>
        </is>
      </c>
      <c r="B28" s="25" t="inlineStr">
        <is>
          <t>Donaldson Company, Inc.</t>
        </is>
      </c>
      <c r="C28" s="25" t="inlineStr">
        <is>
          <t>Industrial - Machinery</t>
        </is>
      </c>
      <c r="D28" s="50" t="inlineStr">
        <is>
          <t>Breakout</t>
        </is>
      </c>
      <c r="E28" s="50" t="inlineStr">
        <is>
          <t>36%</t>
        </is>
      </c>
      <c r="F28" s="50" t="inlineStr">
        <is>
          <t>79</t>
        </is>
      </c>
      <c r="G28" s="51"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9" ht="80" customHeight="1">
      <c r="A29" s="19" t="inlineStr">
        <is>
          <t>BCO</t>
        </is>
      </c>
      <c r="B29" s="20" t="inlineStr">
        <is>
          <t>The Brink's Company</t>
        </is>
      </c>
      <c r="C29" s="20" t="inlineStr">
        <is>
          <t>Security &amp; Protection Services</t>
        </is>
      </c>
      <c r="D29" s="48" t="inlineStr">
        <is>
          <t>Breakout</t>
        </is>
      </c>
      <c r="E29" s="48" t="inlineStr">
        <is>
          <t>26%</t>
        </is>
      </c>
      <c r="F29" s="48" t="inlineStr">
        <is>
          <t>72</t>
        </is>
      </c>
      <c r="G29" s="47" t="inlineStr">
        <is>
          <t>Moderate margins (GM 26%) — competitive market, but cost structure supports reinvestment. Exceptional capital discipline (-11% share growth over 3yr) — management avoids dilution, signaling confidence in organic cash generation. Fingerprint score of 72 — structural profile closely matches historical multi-bagger winners at their inflection points.</t>
        </is>
      </c>
    </row>
    <row r="30" ht="80" customHeight="1">
      <c r="A30" s="24" t="inlineStr">
        <is>
          <t>NOVTU</t>
        </is>
      </c>
      <c r="B30" s="25" t="inlineStr">
        <is>
          <t>Novanta Inc. Tangible Equity Units</t>
        </is>
      </c>
      <c r="C30" s="25" t="inlineStr">
        <is>
          <t>Hardware, Equipment &amp; Parts</t>
        </is>
      </c>
      <c r="D30" s="50" t="inlineStr">
        <is>
          <t>Breakout</t>
        </is>
      </c>
      <c r="E30" s="50" t="inlineStr">
        <is>
          <t>43%</t>
        </is>
      </c>
      <c r="F30" s="50" t="inlineStr">
        <is>
          <t>63</t>
        </is>
      </c>
      <c r="G30" s="51" t="inlineStr">
        <is>
          <t>Healthy margins (GM 43%) indicate differentiated products with some pricing power above commodity levels.</t>
        </is>
      </c>
    </row>
    <row r="31" ht="80" customHeight="1">
      <c r="A31" s="19" t="inlineStr">
        <is>
          <t>CACI</t>
        </is>
      </c>
      <c r="B31" s="20" t="inlineStr">
        <is>
          <t>CACI International Inc</t>
        </is>
      </c>
      <c r="C31" s="20" t="inlineStr">
        <is>
          <t>Information Technology Services</t>
        </is>
      </c>
      <c r="D31" s="48" t="inlineStr">
        <is>
          <t>Breakout</t>
        </is>
      </c>
      <c r="E31" s="48" t="inlineStr">
        <is>
          <t>34%</t>
        </is>
      </c>
      <c r="F31" s="48" t="inlineStr">
        <is>
          <t>80</t>
        </is>
      </c>
      <c r="G31" s="47"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32" ht="80" customHeight="1">
      <c r="A32" s="24" t="inlineStr">
        <is>
          <t>RAL</t>
        </is>
      </c>
      <c r="B32" s="25" t="inlineStr">
        <is>
          <t>Ralliant Corp</t>
        </is>
      </c>
      <c r="C32" s="25" t="inlineStr">
        <is>
          <t>Hardware, Equipment &amp; Parts</t>
        </is>
      </c>
      <c r="D32" s="50" t="inlineStr">
        <is>
          <t>Breakout</t>
        </is>
      </c>
      <c r="E32" s="50" t="inlineStr">
        <is>
          <t>52%</t>
        </is>
      </c>
      <c r="F32" s="50" t="inlineStr">
        <is>
          <t>60</t>
        </is>
      </c>
      <c r="G32" s="51" t="inlineStr">
        <is>
          <t>Healthy margins (GM 52%) indicate differentiated products with some pricing power above commodity levels. Revenue acceleration (18% QoQ) — growth is compounding, indicating an inflection point or expanding customer adoption. Exceptional capital discipline (-1% share growth over 3yr) — management avoids dilution, signaling confidence in organic cash generation.</t>
        </is>
      </c>
    </row>
    <row r="33" ht="80" customHeight="1">
      <c r="A33" s="19" t="inlineStr">
        <is>
          <t>BDC</t>
        </is>
      </c>
      <c r="B33" s="20" t="inlineStr">
        <is>
          <t>Belden Inc.</t>
        </is>
      </c>
      <c r="C33" s="20" t="inlineStr">
        <is>
          <t>Communication Equipment</t>
        </is>
      </c>
      <c r="D33" s="48" t="inlineStr">
        <is>
          <t>Breakout</t>
        </is>
      </c>
      <c r="E33" s="48" t="inlineStr">
        <is>
          <t>39%</t>
        </is>
      </c>
      <c r="F33" s="48" t="inlineStr">
        <is>
          <t>67</t>
        </is>
      </c>
      <c r="G33" s="47" t="inlineStr">
        <is>
          <t>Moderate margins (GM 39%) — competitive market, but cost structure supports reinvestment. Exceptional capital discipline (-7% share growth over 3yr) — management avoids dilution, signaling confidence in organic cash generation. Networking/communications infrastructure — installed base and switching costs create customer lock-in. Fingerprint score of 67 — structural profile closely matches historical multi-bagger winners at their inflection points.</t>
        </is>
      </c>
    </row>
    <row r="34" ht="80" customHeight="1">
      <c r="A34" s="24" t="inlineStr">
        <is>
          <t>KD</t>
        </is>
      </c>
      <c r="B34" s="25" t="inlineStr">
        <is>
          <t>Kyndryl Holdings, Inc.</t>
        </is>
      </c>
      <c r="C34" s="25" t="inlineStr">
        <is>
          <t>Information Technology Services</t>
        </is>
      </c>
      <c r="D34" s="50" t="inlineStr">
        <is>
          <t>Breakout</t>
        </is>
      </c>
      <c r="E34" s="50" t="inlineStr">
        <is>
          <t>22%</t>
        </is>
      </c>
      <c r="F34" s="50" t="inlineStr">
        <is>
          <t>62</t>
        </is>
      </c>
      <c r="G34" s="51" t="inlineStr">
        <is>
          <t>Rapid revenue growth (303% YoY) signals strong product-market fit and expanding TAM capture. Revenue acceleration (303% QoQ) — growth is compounding, indicating an inflection point or expanding customer adoption. Exceptional capital discipline (-0% share growth over 3yr) — management avoids dilution, signaling confidence in organic cash generation.</t>
        </is>
      </c>
    </row>
  </sheetData>
  <autoFilter ref="A4:G3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SWBI</t>
        </is>
      </c>
      <c r="D6" s="20" t="inlineStr">
        <is>
          <t>Smith &amp; Wesson Brands, Inc.</t>
        </is>
      </c>
      <c r="E6" s="36" t="n">
        <v>70</v>
      </c>
      <c r="F6" s="48" t="inlineStr">
        <is>
          <t>Small Cap</t>
        </is>
      </c>
      <c r="G6" s="59" t="n">
        <v>70</v>
      </c>
      <c r="I6" s="58" t="inlineStr">
        <is>
          <t>🥇</t>
        </is>
      </c>
      <c r="J6" s="19" t="inlineStr">
        <is>
          <t>BCO</t>
        </is>
      </c>
      <c r="K6" s="20" t="inlineStr">
        <is>
          <t>The Brink's Company</t>
        </is>
      </c>
      <c r="L6" s="36" t="n">
        <v>-11</v>
      </c>
      <c r="M6" s="48" t="inlineStr">
        <is>
          <t>Breakout</t>
        </is>
      </c>
      <c r="N6" s="59" t="n">
        <v>57.8</v>
      </c>
    </row>
    <row r="7" ht="16" customHeight="1">
      <c r="B7" s="60" t="inlineStr">
        <is>
          <t>🥈</t>
        </is>
      </c>
      <c r="C7" s="24" t="inlineStr">
        <is>
          <t>CE</t>
        </is>
      </c>
      <c r="D7" s="25" t="inlineStr">
        <is>
          <t>Celanese Corporation</t>
        </is>
      </c>
      <c r="E7" s="42" t="n">
        <v>68.90000000000001</v>
      </c>
      <c r="F7" s="50" t="inlineStr">
        <is>
          <t>Breakout</t>
        </is>
      </c>
      <c r="G7" s="61" t="n">
        <v>68.90000000000001</v>
      </c>
      <c r="I7" s="60" t="inlineStr">
        <is>
          <t>🥈</t>
        </is>
      </c>
      <c r="J7" s="24" t="inlineStr">
        <is>
          <t>BDC</t>
        </is>
      </c>
      <c r="K7" s="25" t="inlineStr">
        <is>
          <t>Belden Inc.</t>
        </is>
      </c>
      <c r="L7" s="42" t="n">
        <v>-7.4</v>
      </c>
      <c r="M7" s="50" t="inlineStr">
        <is>
          <t>Breakout</t>
        </is>
      </c>
      <c r="N7" s="61" t="n">
        <v>57.4</v>
      </c>
    </row>
    <row r="8" ht="16" customHeight="1">
      <c r="B8" s="58" t="inlineStr">
        <is>
          <t>🥉</t>
        </is>
      </c>
      <c r="C8" s="19" t="inlineStr">
        <is>
          <t>CALX</t>
        </is>
      </c>
      <c r="D8" s="20" t="inlineStr">
        <is>
          <t>Calix, Inc.</t>
        </is>
      </c>
      <c r="E8" s="36" t="n">
        <v>68.59999999999999</v>
      </c>
      <c r="F8" s="48" t="inlineStr">
        <is>
          <t>Breakout</t>
        </is>
      </c>
      <c r="G8" s="59" t="n">
        <v>68.59999999999999</v>
      </c>
      <c r="I8" s="58" t="inlineStr">
        <is>
          <t>🥉</t>
        </is>
      </c>
      <c r="J8" s="19" t="inlineStr">
        <is>
          <t>CALX</t>
        </is>
      </c>
      <c r="K8" s="20" t="inlineStr">
        <is>
          <t>Calix, Inc.</t>
        </is>
      </c>
      <c r="L8" s="36" t="n">
        <v>-4.2</v>
      </c>
      <c r="M8" s="48" t="inlineStr">
        <is>
          <t>Breakout</t>
        </is>
      </c>
      <c r="N8" s="59" t="n">
        <v>68.59999999999999</v>
      </c>
    </row>
    <row r="9" ht="16" customHeight="1">
      <c r="B9" s="60" t="inlineStr">
        <is>
          <t>4th</t>
        </is>
      </c>
      <c r="C9" s="24" t="inlineStr">
        <is>
          <t>AISP</t>
        </is>
      </c>
      <c r="D9" s="25" t="inlineStr">
        <is>
          <t>Airship AI Holdings, Inc.</t>
        </is>
      </c>
      <c r="E9" s="42" t="n">
        <v>67</v>
      </c>
      <c r="F9" s="50" t="inlineStr">
        <is>
          <t>Nano Cap</t>
        </is>
      </c>
      <c r="G9" s="61" t="n">
        <v>67</v>
      </c>
      <c r="I9" s="60" t="inlineStr">
        <is>
          <t>4th</t>
        </is>
      </c>
      <c r="J9" s="24" t="inlineStr">
        <is>
          <t>DCI</t>
        </is>
      </c>
      <c r="K9" s="25" t="inlineStr">
        <is>
          <t>Donaldson Company, Inc.</t>
        </is>
      </c>
      <c r="L9" s="42" t="n">
        <v>-4.2</v>
      </c>
      <c r="M9" s="50" t="inlineStr">
        <is>
          <t>Breakout</t>
        </is>
      </c>
      <c r="N9" s="61" t="n">
        <v>59.6</v>
      </c>
    </row>
    <row r="10" ht="16" customHeight="1">
      <c r="B10" s="58" t="inlineStr">
        <is>
          <t>5th</t>
        </is>
      </c>
      <c r="C10" s="19" t="inlineStr">
        <is>
          <t>INTT</t>
        </is>
      </c>
      <c r="D10" s="20" t="inlineStr">
        <is>
          <t>inTEST Corporation</t>
        </is>
      </c>
      <c r="E10" s="36" t="n">
        <v>63.9</v>
      </c>
      <c r="F10" s="48" t="inlineStr">
        <is>
          <t>Nano Cap</t>
        </is>
      </c>
      <c r="G10" s="59" t="n">
        <v>63.9</v>
      </c>
      <c r="I10" s="58" t="inlineStr">
        <is>
          <t>5th</t>
        </is>
      </c>
      <c r="J10" s="19" t="inlineStr">
        <is>
          <t>SWBI</t>
        </is>
      </c>
      <c r="K10" s="20" t="inlineStr">
        <is>
          <t>Smith &amp; Wesson Brands, Inc.</t>
        </is>
      </c>
      <c r="L10" s="36" t="n">
        <v>-2.6</v>
      </c>
      <c r="M10" s="48" t="inlineStr">
        <is>
          <t>Small Cap</t>
        </is>
      </c>
      <c r="N10" s="59" t="n">
        <v>70</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GHM</t>
        </is>
      </c>
      <c r="D14" s="20" t="inlineStr">
        <is>
          <t>Graham Corporation</t>
        </is>
      </c>
      <c r="E14" s="36" t="n">
        <v>88.40000000000001</v>
      </c>
      <c r="F14" s="48" t="inlineStr">
        <is>
          <t>Small Cap</t>
        </is>
      </c>
      <c r="G14" s="59" t="n">
        <v>63.6</v>
      </c>
      <c r="I14" s="58" t="inlineStr">
        <is>
          <t>🥇</t>
        </is>
      </c>
      <c r="J14" s="19" t="inlineStr">
        <is>
          <t>NL</t>
        </is>
      </c>
      <c r="K14" s="20" t="inlineStr">
        <is>
          <t>NLI Holdings, Inc.</t>
        </is>
      </c>
      <c r="L14" s="36" t="n">
        <v>83.09999999999999</v>
      </c>
      <c r="M14" s="48" t="inlineStr">
        <is>
          <t>Small Cap</t>
        </is>
      </c>
      <c r="N14" s="59" t="n">
        <v>55</v>
      </c>
    </row>
    <row r="15" ht="16" customHeight="1">
      <c r="B15" s="60" t="inlineStr">
        <is>
          <t>🥈</t>
        </is>
      </c>
      <c r="C15" s="24" t="inlineStr">
        <is>
          <t>SWBI</t>
        </is>
      </c>
      <c r="D15" s="25" t="inlineStr">
        <is>
          <t>Smith &amp; Wesson Brands, Inc.</t>
        </is>
      </c>
      <c r="E15" s="42" t="n">
        <v>85.40000000000001</v>
      </c>
      <c r="F15" s="50" t="inlineStr">
        <is>
          <t>Small Cap</t>
        </is>
      </c>
      <c r="G15" s="61" t="n">
        <v>70</v>
      </c>
      <c r="I15" s="60" t="inlineStr">
        <is>
          <t>🥈</t>
        </is>
      </c>
      <c r="J15" s="24" t="inlineStr">
        <is>
          <t>ROC</t>
        </is>
      </c>
      <c r="K15" s="25" t="inlineStr">
        <is>
          <t>Rank One Computing Corp.</t>
        </is>
      </c>
      <c r="L15" s="42" t="n">
        <v>71.8</v>
      </c>
      <c r="M15" s="50" t="inlineStr">
        <is>
          <t>Nano Cap</t>
        </is>
      </c>
      <c r="N15" s="61" t="n">
        <v>54.2</v>
      </c>
    </row>
    <row r="16" ht="16" customHeight="1">
      <c r="B16" s="58" t="inlineStr">
        <is>
          <t>🥉</t>
        </is>
      </c>
      <c r="C16" s="19" t="inlineStr">
        <is>
          <t>CALX</t>
        </is>
      </c>
      <c r="D16" s="20" t="inlineStr">
        <is>
          <t>Calix, Inc.</t>
        </is>
      </c>
      <c r="E16" s="36" t="n">
        <v>83.90000000000001</v>
      </c>
      <c r="F16" s="48" t="inlineStr">
        <is>
          <t>Breakout</t>
        </is>
      </c>
      <c r="G16" s="59" t="n">
        <v>68.59999999999999</v>
      </c>
      <c r="I16" s="58" t="inlineStr">
        <is>
          <t>🥉</t>
        </is>
      </c>
      <c r="J16" s="19" t="inlineStr">
        <is>
          <t>MNTK</t>
        </is>
      </c>
      <c r="K16" s="20" t="inlineStr">
        <is>
          <t>Montauk Renewables, Inc.</t>
        </is>
      </c>
      <c r="L16" s="36" t="n">
        <v>70.7</v>
      </c>
      <c r="M16" s="48" t="inlineStr">
        <is>
          <t>Small Cap</t>
        </is>
      </c>
      <c r="N16" s="59" t="n">
        <v>58.4</v>
      </c>
    </row>
    <row r="17" ht="16" customHeight="1">
      <c r="B17" s="60" t="inlineStr">
        <is>
          <t>4th</t>
        </is>
      </c>
      <c r="C17" s="24" t="inlineStr">
        <is>
          <t>CACI</t>
        </is>
      </c>
      <c r="D17" s="25" t="inlineStr">
        <is>
          <t>CACI International Inc</t>
        </is>
      </c>
      <c r="E17" s="42" t="n">
        <v>79.59999999999999</v>
      </c>
      <c r="F17" s="50" t="inlineStr">
        <is>
          <t>Breakout</t>
        </is>
      </c>
      <c r="G17" s="61" t="n">
        <v>57.7</v>
      </c>
      <c r="I17" s="60" t="inlineStr">
        <is>
          <t>4th</t>
        </is>
      </c>
      <c r="J17" s="24" t="inlineStr">
        <is>
          <t>LAW</t>
        </is>
      </c>
      <c r="K17" s="25" t="inlineStr">
        <is>
          <t>CS Disco, Inc.</t>
        </is>
      </c>
      <c r="L17" s="42" t="n">
        <v>57</v>
      </c>
      <c r="M17" s="50" t="inlineStr">
        <is>
          <t>Nano Cap</t>
        </is>
      </c>
      <c r="N17" s="61" t="n">
        <v>61.6</v>
      </c>
    </row>
    <row r="18" ht="16" customHeight="1">
      <c r="B18" s="58" t="inlineStr">
        <is>
          <t>5th</t>
        </is>
      </c>
      <c r="C18" s="19" t="inlineStr">
        <is>
          <t>ADEA</t>
        </is>
      </c>
      <c r="D18" s="20" t="inlineStr">
        <is>
          <t>Adeia Inc.</t>
        </is>
      </c>
      <c r="E18" s="36" t="n">
        <v>79.5</v>
      </c>
      <c r="F18" s="48" t="inlineStr">
        <is>
          <t>Breakout</t>
        </is>
      </c>
      <c r="G18" s="59" t="n">
        <v>61.8</v>
      </c>
      <c r="I18" s="58" t="inlineStr">
        <is>
          <t>5th</t>
        </is>
      </c>
      <c r="J18" s="19" t="inlineStr">
        <is>
          <t>TGEN</t>
        </is>
      </c>
      <c r="K18" s="20" t="inlineStr">
        <is>
          <t>Tecogen Inc.</t>
        </is>
      </c>
      <c r="L18" s="36" t="n">
        <v>40.1</v>
      </c>
      <c r="M18" s="48" t="inlineStr">
        <is>
          <t>Nano Cap</t>
        </is>
      </c>
      <c r="N18" s="59" t="n">
        <v>53.9</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KD</t>
        </is>
      </c>
      <c r="D22" s="20" t="inlineStr">
        <is>
          <t>Kyndryl Holdings, Inc.</t>
        </is>
      </c>
      <c r="E22" s="36" t="n">
        <v>303.2</v>
      </c>
      <c r="F22" s="48" t="inlineStr">
        <is>
          <t>Breakout</t>
        </is>
      </c>
      <c r="G22" s="59" t="n">
        <v>55.2</v>
      </c>
      <c r="I22" s="58" t="inlineStr">
        <is>
          <t>🥇</t>
        </is>
      </c>
      <c r="J22" s="19" t="inlineStr">
        <is>
          <t>AISP</t>
        </is>
      </c>
      <c r="K22" s="20" t="inlineStr">
        <is>
          <t>Airship AI Holdings, Inc.</t>
        </is>
      </c>
      <c r="L22" s="21" t="n">
        <v>71.8</v>
      </c>
      <c r="M22" s="48" t="inlineStr">
        <is>
          <t>Nano Cap</t>
        </is>
      </c>
      <c r="N22" s="59" t="n">
        <v>67</v>
      </c>
    </row>
    <row r="23" ht="16" customHeight="1">
      <c r="B23" s="60" t="inlineStr">
        <is>
          <t>🥈</t>
        </is>
      </c>
      <c r="C23" s="24" t="inlineStr">
        <is>
          <t>CMCO</t>
        </is>
      </c>
      <c r="D23" s="25" t="inlineStr">
        <is>
          <t>Columbus McKinnon Corporation</t>
        </is>
      </c>
      <c r="E23" s="42" t="n">
        <v>125.3</v>
      </c>
      <c r="F23" s="50" t="inlineStr">
        <is>
          <t>Small Cap</t>
        </is>
      </c>
      <c r="G23" s="61" t="n">
        <v>57.1</v>
      </c>
      <c r="I23" s="60" t="inlineStr">
        <is>
          <t>🥈</t>
        </is>
      </c>
      <c r="J23" s="24" t="inlineStr">
        <is>
          <t>ROC</t>
        </is>
      </c>
      <c r="K23" s="25" t="inlineStr">
        <is>
          <t>Rank One Computing Corp.</t>
        </is>
      </c>
      <c r="L23" s="26" t="n">
        <v>79.8</v>
      </c>
      <c r="M23" s="50" t="inlineStr">
        <is>
          <t>Nano Cap</t>
        </is>
      </c>
      <c r="N23" s="61" t="n">
        <v>54.2</v>
      </c>
    </row>
    <row r="24" ht="16" customHeight="1">
      <c r="B24" s="58" t="inlineStr">
        <is>
          <t>🥉</t>
        </is>
      </c>
      <c r="C24" s="19" t="inlineStr">
        <is>
          <t>VPG</t>
        </is>
      </c>
      <c r="D24" s="20" t="inlineStr">
        <is>
          <t>Vishay Precision Group, Inc.</t>
        </is>
      </c>
      <c r="E24" s="36" t="n">
        <v>123.9</v>
      </c>
      <c r="F24" s="48" t="inlineStr">
        <is>
          <t>Small Cap</t>
        </is>
      </c>
      <c r="G24" s="59" t="n">
        <v>59.1</v>
      </c>
      <c r="I24" s="58" t="inlineStr">
        <is>
          <t>🥉</t>
        </is>
      </c>
      <c r="J24" s="19" t="inlineStr">
        <is>
          <t>TGEN</t>
        </is>
      </c>
      <c r="K24" s="20" t="inlineStr">
        <is>
          <t>Tecogen Inc.</t>
        </is>
      </c>
      <c r="L24" s="21" t="n">
        <v>97.09999999999999</v>
      </c>
      <c r="M24" s="48" t="inlineStr">
        <is>
          <t>Nano Cap</t>
        </is>
      </c>
      <c r="N24" s="59" t="n">
        <v>53.9</v>
      </c>
    </row>
    <row r="25" ht="16" customHeight="1">
      <c r="B25" s="60" t="inlineStr">
        <is>
          <t>4th</t>
        </is>
      </c>
      <c r="C25" s="24" t="inlineStr">
        <is>
          <t>ROC</t>
        </is>
      </c>
      <c r="D25" s="25" t="inlineStr">
        <is>
          <t>Rank One Computing Corp.</t>
        </is>
      </c>
      <c r="E25" s="42" t="n">
        <v>92.7</v>
      </c>
      <c r="F25" s="50" t="inlineStr">
        <is>
          <t>Nano Cap</t>
        </is>
      </c>
      <c r="G25" s="61" t="n">
        <v>54.2</v>
      </c>
      <c r="I25" s="60" t="inlineStr">
        <is>
          <t>4th</t>
        </is>
      </c>
      <c r="J25" s="24" t="inlineStr">
        <is>
          <t>RFIL</t>
        </is>
      </c>
      <c r="K25" s="25" t="inlineStr">
        <is>
          <t>RF Industries, Ltd.</t>
        </is>
      </c>
      <c r="L25" s="26" t="n">
        <v>117.2</v>
      </c>
      <c r="M25" s="50" t="inlineStr">
        <is>
          <t>Nano Cap</t>
        </is>
      </c>
      <c r="N25" s="61" t="n">
        <v>62.1</v>
      </c>
    </row>
    <row r="26" ht="16" customHeight="1">
      <c r="B26" s="58" t="inlineStr">
        <is>
          <t>5th</t>
        </is>
      </c>
      <c r="C26" s="19" t="inlineStr">
        <is>
          <t>AISP</t>
        </is>
      </c>
      <c r="D26" s="20" t="inlineStr">
        <is>
          <t>Airship AI Holdings, Inc.</t>
        </is>
      </c>
      <c r="E26" s="36" t="n">
        <v>92.09999999999999</v>
      </c>
      <c r="F26" s="48" t="inlineStr">
        <is>
          <t>Nano Cap</t>
        </is>
      </c>
      <c r="G26" s="59" t="n">
        <v>67</v>
      </c>
      <c r="I26" s="58" t="inlineStr">
        <is>
          <t>5th</t>
        </is>
      </c>
      <c r="J26" s="19" t="inlineStr">
        <is>
          <t>KVHI</t>
        </is>
      </c>
      <c r="K26" s="20" t="inlineStr">
        <is>
          <t>KVH Industries, Inc.</t>
        </is>
      </c>
      <c r="L26" s="21" t="n">
        <v>138.8</v>
      </c>
      <c r="M26" s="48" t="inlineStr">
        <is>
          <t>Nano Cap</t>
        </is>
      </c>
      <c r="N26" s="59" t="n">
        <v>62.1</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CMCO</t>
        </is>
      </c>
      <c r="D30" s="20" t="inlineStr">
        <is>
          <t>Columbus McKinnon Corporation</t>
        </is>
      </c>
      <c r="E30" s="36" t="n">
        <v>50.08026</v>
      </c>
      <c r="F30" s="48" t="inlineStr">
        <is>
          <t>Small Cap</t>
        </is>
      </c>
      <c r="G30" s="59" t="n">
        <v>57.1</v>
      </c>
    </row>
    <row r="31" ht="16" customHeight="1">
      <c r="B31" s="60" t="inlineStr">
        <is>
          <t>🥈</t>
        </is>
      </c>
      <c r="C31" s="24" t="inlineStr">
        <is>
          <t>MNTK</t>
        </is>
      </c>
      <c r="D31" s="25" t="inlineStr">
        <is>
          <t>Montauk Renewables, Inc.</t>
        </is>
      </c>
      <c r="E31" s="42" t="n">
        <v>36.9186</v>
      </c>
      <c r="F31" s="50" t="inlineStr">
        <is>
          <t>Small Cap</t>
        </is>
      </c>
      <c r="G31" s="61" t="n">
        <v>58.4</v>
      </c>
    </row>
    <row r="32" ht="16" customHeight="1">
      <c r="B32" s="58" t="inlineStr">
        <is>
          <t>🥉</t>
        </is>
      </c>
      <c r="C32" s="19" t="inlineStr">
        <is>
          <t>CACI</t>
        </is>
      </c>
      <c r="D32" s="20" t="inlineStr">
        <is>
          <t>CACI International Inc</t>
        </is>
      </c>
      <c r="E32" s="36" t="n">
        <v>18.83114</v>
      </c>
      <c r="F32" s="48" t="inlineStr">
        <is>
          <t>Breakout</t>
        </is>
      </c>
      <c r="G32" s="59" t="n">
        <v>57.7</v>
      </c>
    </row>
    <row r="33" ht="16" customHeight="1">
      <c r="B33" s="60" t="inlineStr">
        <is>
          <t>4th</t>
        </is>
      </c>
      <c r="C33" s="24" t="inlineStr">
        <is>
          <t>BDC</t>
        </is>
      </c>
      <c r="D33" s="25" t="inlineStr">
        <is>
          <t>Belden Inc.</t>
        </is>
      </c>
      <c r="E33" s="42" t="n">
        <v>13.19464</v>
      </c>
      <c r="F33" s="50" t="inlineStr">
        <is>
          <t>Breakout</t>
        </is>
      </c>
      <c r="G33" s="61" t="n">
        <v>57.4</v>
      </c>
    </row>
    <row r="34" ht="16" customHeight="1">
      <c r="B34" s="58" t="inlineStr">
        <is>
          <t>5th</t>
        </is>
      </c>
      <c r="C34" s="19" t="inlineStr">
        <is>
          <t>NL</t>
        </is>
      </c>
      <c r="D34" s="20" t="inlineStr">
        <is>
          <t>NLI Holdings, Inc.</t>
        </is>
      </c>
      <c r="E34" s="36" t="n">
        <v>11.58333</v>
      </c>
      <c r="F34" s="48" t="inlineStr">
        <is>
          <t>Small Cap</t>
        </is>
      </c>
      <c r="G34" s="59" t="n">
        <v>55</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4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8" t="inlineStr">
        <is>
          <t>Small Cap</t>
        </is>
      </c>
      <c r="D6" s="23" t="inlineStr">
        <is>
          <t>Medium</t>
        </is>
      </c>
      <c r="E6" s="20" t="inlineStr">
        <is>
          <t>Fingerprint Match</t>
        </is>
      </c>
      <c r="F6" s="36" t="n">
        <v>70</v>
      </c>
      <c r="G6" s="47" t="inlineStr">
        <is>
          <t>Strengths: solid revenue growth, minimal dilution, strong fingerprint match. Risks: thin margins, low insider ownership.</t>
        </is>
      </c>
      <c r="H6" s="64" t="inlineStr">
        <is>
          <t>✓ solid revenue growth
✓ minimal dilution
✓ strong fingerprint match</t>
        </is>
      </c>
      <c r="I6" s="65" t="inlineStr">
        <is>
          <t>⚠ thin margins
⚠ low insider ownership</t>
        </is>
      </c>
    </row>
    <row r="7" ht="40" customHeight="1">
      <c r="A7" s="24" t="inlineStr">
        <is>
          <t>CE</t>
        </is>
      </c>
      <c r="B7" s="25" t="inlineStr">
        <is>
          <t>Celanese Corporation</t>
        </is>
      </c>
      <c r="C7" s="50" t="inlineStr">
        <is>
          <t>Breakout</t>
        </is>
      </c>
      <c r="D7" s="23" t="inlineStr">
        <is>
          <t>Medium</t>
        </is>
      </c>
      <c r="E7" s="25" t="inlineStr">
        <is>
          <t>Emerging Watch</t>
        </is>
      </c>
      <c r="F7" s="42" t="n">
        <v>68.90000000000001</v>
      </c>
      <c r="G7" s="51" t="inlineStr">
        <is>
          <t>Strengths: minimal dilution. Risks: thin margins, modest growth.</t>
        </is>
      </c>
      <c r="H7" s="64" t="inlineStr">
        <is>
          <t>✓ minimal dilution</t>
        </is>
      </c>
      <c r="I7" s="65" t="inlineStr">
        <is>
          <t>⚠ thin margins
⚠ modest growth</t>
        </is>
      </c>
    </row>
    <row r="8" ht="40" customHeight="1">
      <c r="A8" s="19" t="inlineStr">
        <is>
          <t>CALX</t>
        </is>
      </c>
      <c r="B8" s="20" t="inlineStr">
        <is>
          <t>Calix, Inc.</t>
        </is>
      </c>
      <c r="C8" s="48" t="inlineStr">
        <is>
          <t>Breakout</t>
        </is>
      </c>
      <c r="D8" s="23" t="inlineStr">
        <is>
          <t>Medium</t>
        </is>
      </c>
      <c r="E8" s="20" t="inlineStr">
        <is>
          <t>Fingerprint Match</t>
        </is>
      </c>
      <c r="F8" s="36" t="n">
        <v>68.59999999999999</v>
      </c>
      <c r="G8" s="47" t="inlineStr">
        <is>
          <t>Strengths: solid revenue growth, high-margin business, minimal dilution, strong fingerprint match. Risks: none significant.</t>
        </is>
      </c>
      <c r="H8" s="64" t="inlineStr">
        <is>
          <t>✓ solid revenue growth
✓ high-margin business
✓ minimal dilution
✓ strong fingerprint match</t>
        </is>
      </c>
      <c r="I8" s="65" t="inlineStr">
        <is>
          <t>—</t>
        </is>
      </c>
    </row>
    <row r="9" ht="40" customHeight="1">
      <c r="A9" s="24" t="inlineStr">
        <is>
          <t>AISP</t>
        </is>
      </c>
      <c r="B9" s="25" t="inlineStr">
        <is>
          <t>Airship AI Holdings, Inc.</t>
        </is>
      </c>
      <c r="C9" s="50" t="inlineStr">
        <is>
          <t>Nano Cap</t>
        </is>
      </c>
      <c r="D9" s="23" t="inlineStr">
        <is>
          <t>Medium</t>
        </is>
      </c>
      <c r="E9" s="25" t="inlineStr">
        <is>
          <t>High-Growth Quality</t>
        </is>
      </c>
      <c r="F9" s="42" t="n">
        <v>67</v>
      </c>
      <c r="G9" s="51" t="inlineStr">
        <is>
          <t>Strengths: strong revenue growth, high-margin business, high insider alignment. Risks: significant dilution.</t>
        </is>
      </c>
      <c r="H9" s="64" t="inlineStr">
        <is>
          <t>✓ strong revenue growth
✓ high-margin business
✓ high insider alignment</t>
        </is>
      </c>
      <c r="I9" s="65" t="inlineStr">
        <is>
          <t>⚠ significant dilution</t>
        </is>
      </c>
    </row>
    <row r="10" ht="40" customHeight="1">
      <c r="A10" s="19" t="inlineStr">
        <is>
          <t>INTT</t>
        </is>
      </c>
      <c r="B10" s="20" t="inlineStr">
        <is>
          <t>inTEST Corporation</t>
        </is>
      </c>
      <c r="C10" s="48" t="inlineStr">
        <is>
          <t>Nano Cap</t>
        </is>
      </c>
      <c r="D10" s="27" t="inlineStr">
        <is>
          <t>Speculative</t>
        </is>
      </c>
      <c r="E10" s="20" t="inlineStr">
        <is>
          <t>Emerging Watch</t>
        </is>
      </c>
      <c r="F10" s="36" t="n">
        <v>63.9</v>
      </c>
      <c r="G10" s="47" t="inlineStr">
        <is>
          <t>Strengths: solid revenue growth, healthy margins, minimal dilution. Risks: none significant.</t>
        </is>
      </c>
      <c r="H10" s="64" t="inlineStr">
        <is>
          <t>✓ solid revenue growth
✓ healthy margins
✓ minimal dilution</t>
        </is>
      </c>
      <c r="I10" s="65" t="inlineStr">
        <is>
          <t>—</t>
        </is>
      </c>
    </row>
    <row r="11" ht="40" customHeight="1">
      <c r="A11" s="24" t="inlineStr">
        <is>
          <t>GHM</t>
        </is>
      </c>
      <c r="B11" s="25" t="inlineStr">
        <is>
          <t>Graham Corporation</t>
        </is>
      </c>
      <c r="C11" s="50" t="inlineStr">
        <is>
          <t>Small Cap</t>
        </is>
      </c>
      <c r="D11" s="27" t="inlineStr">
        <is>
          <t>Speculative</t>
        </is>
      </c>
      <c r="E11" s="25" t="inlineStr">
        <is>
          <t>Fingerprint Match</t>
        </is>
      </c>
      <c r="F11" s="42" t="n">
        <v>63.6</v>
      </c>
      <c r="G11" s="51" t="inlineStr">
        <is>
          <t>Strengths: solid revenue growth, strong fingerprint match. Risks: thin margins.</t>
        </is>
      </c>
      <c r="H11" s="64" t="inlineStr">
        <is>
          <t>✓ solid revenue growth
✓ strong fingerprint match</t>
        </is>
      </c>
      <c r="I11" s="65" t="inlineStr">
        <is>
          <t>⚠ thin margins</t>
        </is>
      </c>
    </row>
    <row r="12" ht="40" customHeight="1">
      <c r="A12" s="19" t="inlineStr">
        <is>
          <t>TRC</t>
        </is>
      </c>
      <c r="B12" s="20" t="inlineStr">
        <is>
          <t>Tejon Ranch Co.</t>
        </is>
      </c>
      <c r="C12" s="48" t="inlineStr">
        <is>
          <t>Small Cap</t>
        </is>
      </c>
      <c r="D12" s="27" t="inlineStr">
        <is>
          <t>Speculative</t>
        </is>
      </c>
      <c r="E12" s="20" t="inlineStr">
        <is>
          <t>Growth Inflection</t>
        </is>
      </c>
      <c r="F12" s="36" t="n">
        <v>63.5</v>
      </c>
      <c r="G12" s="47" t="inlineStr">
        <is>
          <t>Strengths: strong revenue growth, minimal dilution. Risks: thin margins.</t>
        </is>
      </c>
      <c r="H12" s="64" t="inlineStr">
        <is>
          <t>✓ strong revenue growth
✓ minimal dilution</t>
        </is>
      </c>
      <c r="I12" s="65" t="inlineStr">
        <is>
          <t>⚠ thin margins</t>
        </is>
      </c>
    </row>
    <row r="13" ht="40" customHeight="1">
      <c r="A13" s="24" t="inlineStr">
        <is>
          <t>CEVA</t>
        </is>
      </c>
      <c r="B13" s="25" t="inlineStr">
        <is>
          <t>CEVA, Inc.</t>
        </is>
      </c>
      <c r="C13" s="50" t="inlineStr">
        <is>
          <t>Small Cap</t>
        </is>
      </c>
      <c r="D13" s="27" t="inlineStr">
        <is>
          <t>Speculative</t>
        </is>
      </c>
      <c r="E13" s="25" t="inlineStr">
        <is>
          <t>Emerging Watch</t>
        </is>
      </c>
      <c r="F13" s="42" t="n">
        <v>62.2</v>
      </c>
      <c r="G13" s="51" t="inlineStr">
        <is>
          <t>Strengths: high-margin business. Risks: significant dilution, negative momentum, modest growth.</t>
        </is>
      </c>
      <c r="H13" s="64" t="inlineStr">
        <is>
          <t>✓ high-margin business</t>
        </is>
      </c>
      <c r="I13" s="65" t="inlineStr">
        <is>
          <t>⚠ significant dilution
⚠ negative momentum
⚠ modest growth</t>
        </is>
      </c>
    </row>
    <row r="14" ht="40" customHeight="1">
      <c r="A14" s="19" t="inlineStr">
        <is>
          <t>KVHI</t>
        </is>
      </c>
      <c r="B14" s="20" t="inlineStr">
        <is>
          <t>KVH Industries, Inc.</t>
        </is>
      </c>
      <c r="C14" s="48" t="inlineStr">
        <is>
          <t>Nano Cap</t>
        </is>
      </c>
      <c r="D14" s="27" t="inlineStr">
        <is>
          <t>Speculative</t>
        </is>
      </c>
      <c r="E14" s="20" t="inlineStr">
        <is>
          <t>Insider Conviction</t>
        </is>
      </c>
      <c r="F14" s="36" t="n">
        <v>62.1</v>
      </c>
      <c r="G14" s="47" t="inlineStr">
        <is>
          <t>Strengths: solid revenue growth, high insider alignment, minimal dilution. Risks: none significant.</t>
        </is>
      </c>
      <c r="H14" s="64" t="inlineStr">
        <is>
          <t>✓ solid revenue growth
✓ high insider alignment
✓ minimal dilution</t>
        </is>
      </c>
      <c r="I14" s="65" t="inlineStr">
        <is>
          <t>—</t>
        </is>
      </c>
    </row>
    <row r="15" ht="40" customHeight="1">
      <c r="A15" s="24" t="inlineStr">
        <is>
          <t>RFIL</t>
        </is>
      </c>
      <c r="B15" s="25" t="inlineStr">
        <is>
          <t>RF Industries, Ltd.</t>
        </is>
      </c>
      <c r="C15" s="50" t="inlineStr">
        <is>
          <t>Nano Cap</t>
        </is>
      </c>
      <c r="D15" s="27" t="inlineStr">
        <is>
          <t>Speculative</t>
        </is>
      </c>
      <c r="E15" s="25" t="inlineStr">
        <is>
          <t>Insider Conviction</t>
        </is>
      </c>
      <c r="F15" s="42" t="n">
        <v>62.1</v>
      </c>
      <c r="G15" s="51" t="inlineStr">
        <is>
          <t>Strengths: healthy margins, high insider alignment, minimal dilution. Risks: negative momentum, modest growth.</t>
        </is>
      </c>
      <c r="H15" s="64" t="inlineStr">
        <is>
          <t>✓ healthy margins
✓ high insider alignment
✓ minimal dilution</t>
        </is>
      </c>
      <c r="I15" s="65" t="inlineStr">
        <is>
          <t>⚠ negative momentum
⚠ modest growth</t>
        </is>
      </c>
    </row>
    <row r="16" ht="40" customHeight="1">
      <c r="A16" s="19" t="inlineStr">
        <is>
          <t>ADEA</t>
        </is>
      </c>
      <c r="B16" s="20" t="inlineStr">
        <is>
          <t>Adeia Inc.</t>
        </is>
      </c>
      <c r="C16" s="48" t="inlineStr">
        <is>
          <t>Breakout</t>
        </is>
      </c>
      <c r="D16" s="27" t="inlineStr">
        <is>
          <t>Speculative</t>
        </is>
      </c>
      <c r="E16" s="20" t="inlineStr">
        <is>
          <t>Emerging Watch</t>
        </is>
      </c>
      <c r="F16" s="36" t="n">
        <v>61.8</v>
      </c>
      <c r="G16" s="47" t="inlineStr">
        <is>
          <t>Strengths: minimal dilution. Risks: thin margins, low insider ownership, modest growth.</t>
        </is>
      </c>
      <c r="H16" s="64" t="inlineStr">
        <is>
          <t>✓ minimal dilution</t>
        </is>
      </c>
      <c r="I16" s="65" t="inlineStr">
        <is>
          <t>⚠ thin margins
⚠ low insider ownership
⚠ modest growth</t>
        </is>
      </c>
    </row>
    <row r="17" ht="40" customHeight="1">
      <c r="A17" s="24" t="inlineStr">
        <is>
          <t>LAW</t>
        </is>
      </c>
      <c r="B17" s="25" t="inlineStr">
        <is>
          <t>CS Disco, Inc.</t>
        </is>
      </c>
      <c r="C17" s="50" t="inlineStr">
        <is>
          <t>Nano Cap</t>
        </is>
      </c>
      <c r="D17" s="27" t="inlineStr">
        <is>
          <t>Speculative</t>
        </is>
      </c>
      <c r="E17" s="25" t="inlineStr">
        <is>
          <t>Emerging Watch</t>
        </is>
      </c>
      <c r="F17" s="42" t="n">
        <v>61.6</v>
      </c>
      <c r="G17" s="51" t="inlineStr">
        <is>
          <t>Strengths: high-margin business, high insider alignment. Risks: modest growth.</t>
        </is>
      </c>
      <c r="H17" s="64" t="inlineStr">
        <is>
          <t>✓ high-margin business
✓ high insider alignment</t>
        </is>
      </c>
      <c r="I17" s="65" t="inlineStr">
        <is>
          <t>⚠ modest growth</t>
        </is>
      </c>
    </row>
    <row r="18" ht="40" customHeight="1">
      <c r="A18" s="19" t="inlineStr">
        <is>
          <t>ASYS</t>
        </is>
      </c>
      <c r="B18" s="20" t="inlineStr">
        <is>
          <t>Amtech Systems, Inc.</t>
        </is>
      </c>
      <c r="C18" s="48" t="inlineStr">
        <is>
          <t>Nano Cap</t>
        </is>
      </c>
      <c r="D18" s="27" t="inlineStr">
        <is>
          <t>Speculative</t>
        </is>
      </c>
      <c r="E18" s="20" t="inlineStr">
        <is>
          <t>Emerging Watch</t>
        </is>
      </c>
      <c r="F18" s="36" t="n">
        <v>59.9</v>
      </c>
      <c r="G18" s="47" t="inlineStr">
        <is>
          <t>Strengths: high-margin business, high insider alignment. Risks: modest growth.</t>
        </is>
      </c>
      <c r="H18" s="64" t="inlineStr">
        <is>
          <t>✓ high-margin business
✓ high insider alignment</t>
        </is>
      </c>
      <c r="I18" s="65" t="inlineStr">
        <is>
          <t>⚠ modest growth</t>
        </is>
      </c>
    </row>
    <row r="19" ht="40" customHeight="1">
      <c r="A19" s="24" t="inlineStr">
        <is>
          <t>DCI</t>
        </is>
      </c>
      <c r="B19" s="25" t="inlineStr">
        <is>
          <t>Donaldson Company, Inc.</t>
        </is>
      </c>
      <c r="C19" s="50" t="inlineStr">
        <is>
          <t>Breakout</t>
        </is>
      </c>
      <c r="D19" s="27" t="inlineStr">
        <is>
          <t>Speculative</t>
        </is>
      </c>
      <c r="E19" s="25" t="inlineStr">
        <is>
          <t>Emerging Watch</t>
        </is>
      </c>
      <c r="F19" s="42" t="n">
        <v>59.6</v>
      </c>
      <c r="G19" s="51" t="inlineStr">
        <is>
          <t>Strengths: healthy margins, minimal dilution. Risks: low insider ownership, modest growth.</t>
        </is>
      </c>
      <c r="H19" s="64" t="inlineStr">
        <is>
          <t>✓ healthy margins
✓ minimal dilution</t>
        </is>
      </c>
      <c r="I19" s="65" t="inlineStr">
        <is>
          <t>⚠ low insider ownership
⚠ modest growth</t>
        </is>
      </c>
    </row>
    <row r="20" ht="40" customHeight="1">
      <c r="A20" s="19" t="inlineStr">
        <is>
          <t>VPG</t>
        </is>
      </c>
      <c r="B20" s="20" t="inlineStr">
        <is>
          <t>Vishay Precision Group, Inc.</t>
        </is>
      </c>
      <c r="C20" s="48" t="inlineStr">
        <is>
          <t>Small Cap</t>
        </is>
      </c>
      <c r="D20" s="27" t="inlineStr">
        <is>
          <t>Speculative</t>
        </is>
      </c>
      <c r="E20" s="20" t="inlineStr">
        <is>
          <t>Growth Inflection</t>
        </is>
      </c>
      <c r="F20" s="36" t="n">
        <v>59.1</v>
      </c>
      <c r="G20" s="47" t="inlineStr">
        <is>
          <t>Strengths: strong revenue growth, healthy margins, high insider alignment, minimal dilution. Risks: negative momentum.</t>
        </is>
      </c>
      <c r="H20" s="64" t="inlineStr">
        <is>
          <t>✓ strong revenue growth
✓ healthy margins
✓ high insider alignment
✓ minimal dilution</t>
        </is>
      </c>
      <c r="I20" s="65" t="inlineStr">
        <is>
          <t>⚠ negative momentum</t>
        </is>
      </c>
    </row>
    <row r="21" ht="40" customHeight="1">
      <c r="A21" s="24" t="inlineStr">
        <is>
          <t>MNTK</t>
        </is>
      </c>
      <c r="B21" s="25" t="inlineStr">
        <is>
          <t>Montauk Renewables, Inc.</t>
        </is>
      </c>
      <c r="C21" s="50" t="inlineStr">
        <is>
          <t>Small Cap</t>
        </is>
      </c>
      <c r="D21" s="27" t="inlineStr">
        <is>
          <t>Speculative</t>
        </is>
      </c>
      <c r="E21" s="25" t="inlineStr">
        <is>
          <t>Insider Conviction</t>
        </is>
      </c>
      <c r="F21" s="42" t="n">
        <v>58.4</v>
      </c>
      <c r="G21" s="51" t="inlineStr">
        <is>
          <t>Strengths: high insider alignment, minimal dilution, positive momentum. Risks: thin margins.</t>
        </is>
      </c>
      <c r="H21" s="64" t="inlineStr">
        <is>
          <t>✓ high insider alignment
✓ minimal dilution
✓ positive momentum</t>
        </is>
      </c>
      <c r="I21" s="65" t="inlineStr">
        <is>
          <t>⚠ thin margins</t>
        </is>
      </c>
    </row>
    <row r="22" ht="40" customHeight="1">
      <c r="A22" s="19" t="inlineStr">
        <is>
          <t>BCO</t>
        </is>
      </c>
      <c r="B22" s="20" t="inlineStr">
        <is>
          <t>The Brink's Company</t>
        </is>
      </c>
      <c r="C22" s="48" t="inlineStr">
        <is>
          <t>Breakout</t>
        </is>
      </c>
      <c r="D22" s="27" t="inlineStr">
        <is>
          <t>Speculative</t>
        </is>
      </c>
      <c r="E22" s="20" t="inlineStr">
        <is>
          <t>Emerging Watch</t>
        </is>
      </c>
      <c r="F22" s="36" t="n">
        <v>57.8</v>
      </c>
      <c r="G22" s="47" t="inlineStr">
        <is>
          <t>Strengths: minimal dilution. Risks: thin margins, low insider ownership, modest growth.</t>
        </is>
      </c>
      <c r="H22" s="64" t="inlineStr">
        <is>
          <t>✓ minimal dilution</t>
        </is>
      </c>
      <c r="I22" s="65" t="inlineStr">
        <is>
          <t>⚠ thin margins
⚠ low insider ownership
⚠ modest growth</t>
        </is>
      </c>
    </row>
    <row r="23" ht="40" customHeight="1">
      <c r="A23" s="24" t="inlineStr">
        <is>
          <t>NOVTU</t>
        </is>
      </c>
      <c r="B23" s="25" t="inlineStr">
        <is>
          <t>Novanta Inc. Tangible Equity Units</t>
        </is>
      </c>
      <c r="C23" s="50" t="inlineStr">
        <is>
          <t>Breakout</t>
        </is>
      </c>
      <c r="D23" s="27" t="inlineStr">
        <is>
          <t>Speculative</t>
        </is>
      </c>
      <c r="E23" s="25" t="inlineStr">
        <is>
          <t>Emerging Watch</t>
        </is>
      </c>
      <c r="F23" s="42" t="n">
        <v>57.8</v>
      </c>
      <c r="G23" s="51" t="inlineStr">
        <is>
          <t>Strengths: healthy margins. Risks: low insider ownership, modest growth.</t>
        </is>
      </c>
      <c r="H23" s="64" t="inlineStr">
        <is>
          <t>✓ healthy margins</t>
        </is>
      </c>
      <c r="I23" s="65" t="inlineStr">
        <is>
          <t>⚠ low insider ownership
⚠ modest growth</t>
        </is>
      </c>
    </row>
    <row r="24" ht="40" customHeight="1">
      <c r="A24" s="19" t="inlineStr">
        <is>
          <t>CACI</t>
        </is>
      </c>
      <c r="B24" s="20" t="inlineStr">
        <is>
          <t>CACI International Inc</t>
        </is>
      </c>
      <c r="C24" s="48" t="inlineStr">
        <is>
          <t>Breakout</t>
        </is>
      </c>
      <c r="D24" s="27" t="inlineStr">
        <is>
          <t>Speculative</t>
        </is>
      </c>
      <c r="E24" s="20" t="inlineStr">
        <is>
          <t>Emerging Watch</t>
        </is>
      </c>
      <c r="F24" s="36" t="n">
        <v>57.7</v>
      </c>
      <c r="G24" s="47" t="inlineStr">
        <is>
          <t>Strengths: minimal dilution. Risks: low insider ownership.</t>
        </is>
      </c>
      <c r="H24" s="64" t="inlineStr">
        <is>
          <t>✓ minimal dilution</t>
        </is>
      </c>
      <c r="I24" s="65" t="inlineStr">
        <is>
          <t>⚠ low insider ownership</t>
        </is>
      </c>
    </row>
    <row r="25" ht="40" customHeight="1">
      <c r="A25" s="24" t="inlineStr">
        <is>
          <t>RAL</t>
        </is>
      </c>
      <c r="B25" s="25" t="inlineStr">
        <is>
          <t>Ralliant Corp</t>
        </is>
      </c>
      <c r="C25" s="50" t="inlineStr">
        <is>
          <t>Breakout</t>
        </is>
      </c>
      <c r="D25" s="27" t="inlineStr">
        <is>
          <t>Speculative</t>
        </is>
      </c>
      <c r="E25" s="25" t="inlineStr">
        <is>
          <t>Emerging Watch</t>
        </is>
      </c>
      <c r="F25" s="42" t="n">
        <v>57.6</v>
      </c>
      <c r="G25" s="51" t="inlineStr">
        <is>
          <t>Strengths: high-margin business, minimal dilution. Risks: low insider ownership, modest growth.</t>
        </is>
      </c>
      <c r="H25" s="64" t="inlineStr">
        <is>
          <t>✓ high-margin business
✓ minimal dilution</t>
        </is>
      </c>
      <c r="I25" s="65" t="inlineStr">
        <is>
          <t>⚠ low insider ownership
⚠ modest growth</t>
        </is>
      </c>
    </row>
    <row r="26" ht="40" customHeight="1">
      <c r="A26" s="19" t="inlineStr">
        <is>
          <t>EVLV</t>
        </is>
      </c>
      <c r="B26" s="20" t="inlineStr">
        <is>
          <t>Evolv Technologies Holdings, Inc.</t>
        </is>
      </c>
      <c r="C26" s="48" t="inlineStr">
        <is>
          <t>Small Cap</t>
        </is>
      </c>
      <c r="D26" s="27" t="inlineStr">
        <is>
          <t>Speculative</t>
        </is>
      </c>
      <c r="E26" s="20" t="inlineStr">
        <is>
          <t>Growth Inflection</t>
        </is>
      </c>
      <c r="F26" s="36" t="n">
        <v>57.5</v>
      </c>
      <c r="G26" s="47" t="inlineStr">
        <is>
          <t>Strengths: solid revenue growth, high-margin business. Risks: significant dilution.</t>
        </is>
      </c>
      <c r="H26" s="64" t="inlineStr">
        <is>
          <t>✓ solid revenue growth
✓ high-margin business</t>
        </is>
      </c>
      <c r="I26" s="65" t="inlineStr">
        <is>
          <t>⚠ significant dilution</t>
        </is>
      </c>
    </row>
    <row r="27" ht="40" customHeight="1">
      <c r="A27" s="24" t="inlineStr">
        <is>
          <t>ADTN</t>
        </is>
      </c>
      <c r="B27" s="25" t="inlineStr">
        <is>
          <t>ADTRAN Holdings Inc.</t>
        </is>
      </c>
      <c r="C27" s="50" t="inlineStr">
        <is>
          <t>Small Cap</t>
        </is>
      </c>
      <c r="D27" s="27" t="inlineStr">
        <is>
          <t>Speculative</t>
        </is>
      </c>
      <c r="E27" s="25" t="inlineStr">
        <is>
          <t>Emerging Watch</t>
        </is>
      </c>
      <c r="F27" s="42" t="n">
        <v>57.4</v>
      </c>
      <c r="G27" s="51" t="inlineStr">
        <is>
          <t>Strengths: healthy margins, minimal dilution. Risks: low insider ownership, negative momentum, modest growth.</t>
        </is>
      </c>
      <c r="H27" s="64" t="inlineStr">
        <is>
          <t>✓ healthy margins
✓ minimal dilution</t>
        </is>
      </c>
      <c r="I27" s="65" t="inlineStr">
        <is>
          <t>⚠ low insider ownership
⚠ negative momentum
⚠ modest growth</t>
        </is>
      </c>
    </row>
    <row r="28" ht="40" customHeight="1">
      <c r="A28" s="19" t="inlineStr">
        <is>
          <t>BDC</t>
        </is>
      </c>
      <c r="B28" s="20" t="inlineStr">
        <is>
          <t>Belden Inc.</t>
        </is>
      </c>
      <c r="C28" s="48" t="inlineStr">
        <is>
          <t>Breakout</t>
        </is>
      </c>
      <c r="D28" s="27" t="inlineStr">
        <is>
          <t>Speculative</t>
        </is>
      </c>
      <c r="E28" s="20" t="inlineStr">
        <is>
          <t>Emerging Watch</t>
        </is>
      </c>
      <c r="F28" s="36" t="n">
        <v>57.4</v>
      </c>
      <c r="G28" s="47" t="inlineStr">
        <is>
          <t>Strengths: healthy margins, minimal dilution. Risks: low insider ownership, modest growth.</t>
        </is>
      </c>
      <c r="H28" s="64" t="inlineStr">
        <is>
          <t>✓ healthy margins
✓ minimal dilution</t>
        </is>
      </c>
      <c r="I28" s="65" t="inlineStr">
        <is>
          <t>⚠ low insider ownership
⚠ modest growth</t>
        </is>
      </c>
    </row>
    <row r="29" ht="40" customHeight="1">
      <c r="A29" s="24" t="inlineStr">
        <is>
          <t>CMCO</t>
        </is>
      </c>
      <c r="B29" s="25" t="inlineStr">
        <is>
          <t>Columbus McKinnon Corporation</t>
        </is>
      </c>
      <c r="C29" s="50" t="inlineStr">
        <is>
          <t>Small Cap</t>
        </is>
      </c>
      <c r="D29" s="27" t="inlineStr">
        <is>
          <t>Speculative</t>
        </is>
      </c>
      <c r="E29" s="25" t="inlineStr">
        <is>
          <t>Momentum Breakout</t>
        </is>
      </c>
      <c r="F29" s="42" t="n">
        <v>57.1</v>
      </c>
      <c r="G29" s="51" t="inlineStr">
        <is>
          <t>Strengths: strong revenue growth, minimal dilution, positive momentum. Risks: thin margins, low insider ownership.</t>
        </is>
      </c>
      <c r="H29" s="64" t="inlineStr">
        <is>
          <t>✓ strong revenue growth
✓ minimal dilution
✓ positive momentum</t>
        </is>
      </c>
      <c r="I29" s="65" t="inlineStr">
        <is>
          <t>⚠ thin margins
⚠ low insider ownership</t>
        </is>
      </c>
    </row>
    <row r="30" ht="40" customHeight="1">
      <c r="A30" s="19" t="inlineStr">
        <is>
          <t>LTRX</t>
        </is>
      </c>
      <c r="B30" s="20" t="inlineStr">
        <is>
          <t>Lantronix, Inc.</t>
        </is>
      </c>
      <c r="C30" s="48" t="inlineStr">
        <is>
          <t>Nano Cap</t>
        </is>
      </c>
      <c r="D30" s="27" t="inlineStr">
        <is>
          <t>Speculative</t>
        </is>
      </c>
      <c r="E30" s="20" t="inlineStr">
        <is>
          <t>Emerging Watch</t>
        </is>
      </c>
      <c r="F30" s="36" t="n">
        <v>56.8</v>
      </c>
      <c r="G30" s="47" t="inlineStr">
        <is>
          <t>Strengths: healthy margins, high insider alignment. Risks: modest growth.</t>
        </is>
      </c>
      <c r="H30" s="64" t="inlineStr">
        <is>
          <t>✓ healthy margins
✓ high insider alignment</t>
        </is>
      </c>
      <c r="I30" s="65" t="inlineStr">
        <is>
          <t>⚠ modest growth</t>
        </is>
      </c>
    </row>
    <row r="31" ht="40" customHeight="1">
      <c r="A31" s="24" t="inlineStr">
        <is>
          <t>KD</t>
        </is>
      </c>
      <c r="B31" s="25" t="inlineStr">
        <is>
          <t>Kyndryl Holdings, Inc.</t>
        </is>
      </c>
      <c r="C31" s="50" t="inlineStr">
        <is>
          <t>Breakout</t>
        </is>
      </c>
      <c r="D31" s="27" t="inlineStr">
        <is>
          <t>Speculative</t>
        </is>
      </c>
      <c r="E31" s="25" t="inlineStr">
        <is>
          <t>Growth Inflection</t>
        </is>
      </c>
      <c r="F31" s="42" t="n">
        <v>55.2</v>
      </c>
      <c r="G31" s="51" t="inlineStr">
        <is>
          <t>Strengths: strong revenue growth, minimal dilution. Risks: thin margins.</t>
        </is>
      </c>
      <c r="H31" s="64" t="inlineStr">
        <is>
          <t>✓ strong revenue growth
✓ minimal dilution</t>
        </is>
      </c>
      <c r="I31" s="65" t="inlineStr">
        <is>
          <t>⚠ thin margins</t>
        </is>
      </c>
    </row>
    <row r="32" ht="40" customHeight="1">
      <c r="A32" s="19" t="inlineStr">
        <is>
          <t>NL</t>
        </is>
      </c>
      <c r="B32" s="20" t="inlineStr">
        <is>
          <t>NLI Holdings, Inc.</t>
        </is>
      </c>
      <c r="C32" s="48" t="inlineStr">
        <is>
          <t>Small Cap</t>
        </is>
      </c>
      <c r="D32" s="27" t="inlineStr">
        <is>
          <t>Speculative</t>
        </is>
      </c>
      <c r="E32" s="20" t="inlineStr">
        <is>
          <t>Insider Conviction</t>
        </is>
      </c>
      <c r="F32" s="36" t="n">
        <v>55</v>
      </c>
      <c r="G32" s="47" t="inlineStr">
        <is>
          <t>Strengths: healthy margins, high insider alignment, minimal dilution. Risks: modest growth.</t>
        </is>
      </c>
      <c r="H32" s="64" t="inlineStr">
        <is>
          <t>✓ healthy margins
✓ high insider alignment
✓ minimal dilution</t>
        </is>
      </c>
      <c r="I32" s="65" t="inlineStr">
        <is>
          <t>⚠ modest growth</t>
        </is>
      </c>
    </row>
    <row r="33" ht="40" customHeight="1">
      <c r="A33" s="24" t="inlineStr">
        <is>
          <t>ROC</t>
        </is>
      </c>
      <c r="B33" s="25" t="inlineStr">
        <is>
          <t>Rank One Computing Corp.</t>
        </is>
      </c>
      <c r="C33" s="50" t="inlineStr">
        <is>
          <t>Nano Cap</t>
        </is>
      </c>
      <c r="D33" s="27" t="inlineStr">
        <is>
          <t>Speculative</t>
        </is>
      </c>
      <c r="E33" s="25" t="inlineStr">
        <is>
          <t>High-Growth Quality</t>
        </is>
      </c>
      <c r="F33" s="42" t="n">
        <v>54.2</v>
      </c>
      <c r="G33" s="51" t="inlineStr">
        <is>
          <t>Strengths: strong revenue growth, high-margin business, high insider alignment, minimal dilution. Risks: none significant.</t>
        </is>
      </c>
      <c r="H33" s="64" t="inlineStr">
        <is>
          <t>✓ strong revenue growth
✓ high-margin business
✓ high insider alignment
✓ minimal dilution</t>
        </is>
      </c>
      <c r="I33" s="65" t="inlineStr">
        <is>
          <t>—</t>
        </is>
      </c>
    </row>
    <row r="34" ht="40" customHeight="1">
      <c r="A34" s="19" t="inlineStr">
        <is>
          <t>TGEN</t>
        </is>
      </c>
      <c r="B34" s="20" t="inlineStr">
        <is>
          <t>Tecogen Inc.</t>
        </is>
      </c>
      <c r="C34" s="48" t="inlineStr">
        <is>
          <t>Nano Cap</t>
        </is>
      </c>
      <c r="D34" s="27" t="inlineStr">
        <is>
          <t>Speculative</t>
        </is>
      </c>
      <c r="E34" s="20" t="inlineStr">
        <is>
          <t>Growth Inflection</t>
        </is>
      </c>
      <c r="F34" s="36" t="n">
        <v>53.9</v>
      </c>
      <c r="G34" s="47" t="inlineStr">
        <is>
          <t>Strengths: strong revenue growth, healthy margins, high insider alignment. Risks: significant dilution, negative momentum.</t>
        </is>
      </c>
      <c r="H34" s="64" t="inlineStr">
        <is>
          <t>✓ strong revenue growth
✓ healthy margins
✓ high insider alignment</t>
        </is>
      </c>
      <c r="I34" s="65" t="inlineStr">
        <is>
          <t>⚠ significant dilution
⚠ negative momentum</t>
        </is>
      </c>
    </row>
    <row r="35" ht="40" customHeight="1">
      <c r="A35" s="24" t="inlineStr">
        <is>
          <t>BKTI</t>
        </is>
      </c>
      <c r="B35" s="25" t="inlineStr">
        <is>
          <t>BK Technologies Corporation</t>
        </is>
      </c>
      <c r="C35" s="50" t="inlineStr">
        <is>
          <t>Nano Cap</t>
        </is>
      </c>
      <c r="D35" s="27" t="inlineStr">
        <is>
          <t>Speculative</t>
        </is>
      </c>
      <c r="E35" s="25" t="inlineStr">
        <is>
          <t>Emerging Watch</t>
        </is>
      </c>
      <c r="F35" s="42" t="n">
        <v>52</v>
      </c>
      <c r="G35" s="51" t="inlineStr">
        <is>
          <t>Strengths: high-margin business, high insider alignment. Risks: modest growth.</t>
        </is>
      </c>
      <c r="H35" s="64" t="inlineStr">
        <is>
          <t>✓ high-margin business
✓ high insider alignment</t>
        </is>
      </c>
      <c r="I35" s="65" t="inlineStr">
        <is>
          <t>⚠ modest growth</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0</v>
      </c>
      <c r="D40" t="n">
        <v>1</v>
      </c>
      <c r="E40" t="n">
        <v>9</v>
      </c>
    </row>
    <row r="41">
      <c r="A41" t="inlineStr">
        <is>
          <t>Small Cap</t>
        </is>
      </c>
      <c r="B41" t="n">
        <v>0</v>
      </c>
      <c r="C41" t="n">
        <v>0</v>
      </c>
      <c r="D41" t="n">
        <v>1</v>
      </c>
      <c r="E41" t="n">
        <v>9</v>
      </c>
    </row>
    <row r="42">
      <c r="A42" t="inlineStr">
        <is>
          <t>Breakout</t>
        </is>
      </c>
      <c r="B42" t="n">
        <v>0</v>
      </c>
      <c r="C42" t="n">
        <v>0</v>
      </c>
      <c r="D42" t="n">
        <v>2</v>
      </c>
      <c r="E42" t="n">
        <v>8</v>
      </c>
    </row>
    <row r="43">
      <c r="A43" t="inlineStr">
        <is>
          <t>Vital Link</t>
        </is>
      </c>
      <c r="B43" t="n">
        <v>0</v>
      </c>
      <c r="C43" t="n">
        <v>0</v>
      </c>
      <c r="D43" t="n">
        <v>0</v>
      </c>
      <c r="E43"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6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8" t="inlineStr">
        <is>
          <t>Small Cap</t>
        </is>
      </c>
      <c r="E14" s="23" t="inlineStr">
        <is>
          <t>Medium</t>
        </is>
      </c>
      <c r="F14" s="34" t="n">
        <v>0.03</v>
      </c>
      <c r="G14" s="71" t="n">
        <v>0.03</v>
      </c>
      <c r="H14" s="72" t="n">
        <v>3000</v>
      </c>
      <c r="I14" s="73" t="n">
        <v>227</v>
      </c>
      <c r="J14" s="74" t="inlineStr">
        <is>
          <t>Medium-High risk</t>
        </is>
      </c>
    </row>
    <row r="15" ht="16" customHeight="1">
      <c r="B15" s="24" t="inlineStr">
        <is>
          <t>CE</t>
        </is>
      </c>
      <c r="C15" s="25" t="inlineStr">
        <is>
          <t>Celanese Corporation</t>
        </is>
      </c>
      <c r="D15" s="50" t="inlineStr">
        <is>
          <t>Breakout</t>
        </is>
      </c>
      <c r="E15" s="23" t="inlineStr">
        <is>
          <t>Medium</t>
        </is>
      </c>
      <c r="F15" s="41" t="n">
        <v>0.03</v>
      </c>
      <c r="G15" s="75" t="n">
        <v>0.036</v>
      </c>
      <c r="H15" s="76" t="n">
        <v>3600</v>
      </c>
      <c r="I15" s="77" t="n">
        <v>80</v>
      </c>
      <c r="J15" s="78" t="inlineStr">
        <is>
          <t>High risk</t>
        </is>
      </c>
    </row>
    <row r="16" ht="16" customHeight="1">
      <c r="B16" s="19" t="inlineStr">
        <is>
          <t>CALX</t>
        </is>
      </c>
      <c r="C16" s="20" t="inlineStr">
        <is>
          <t>Calix, Inc.</t>
        </is>
      </c>
      <c r="D16" s="48" t="inlineStr">
        <is>
          <t>Breakout</t>
        </is>
      </c>
      <c r="E16" s="23" t="inlineStr">
        <is>
          <t>Medium</t>
        </is>
      </c>
      <c r="F16" s="34" t="n">
        <v>0.03</v>
      </c>
      <c r="G16" s="71" t="n">
        <v>0.036</v>
      </c>
      <c r="H16" s="72" t="n">
        <v>3600</v>
      </c>
      <c r="I16" s="73" t="n">
        <v>102</v>
      </c>
      <c r="J16" s="74" t="inlineStr">
        <is>
          <t>Medium-Low risk</t>
        </is>
      </c>
    </row>
    <row r="17" ht="16" customHeight="1">
      <c r="B17" s="24" t="inlineStr">
        <is>
          <t>AISP</t>
        </is>
      </c>
      <c r="C17" s="25" t="inlineStr">
        <is>
          <t>Airship AI Holdings, Inc.</t>
        </is>
      </c>
      <c r="D17" s="50" t="inlineStr">
        <is>
          <t>Nano Cap</t>
        </is>
      </c>
      <c r="E17" s="23" t="inlineStr">
        <is>
          <t>Medium</t>
        </is>
      </c>
      <c r="F17" s="41" t="n">
        <v>0.03</v>
      </c>
      <c r="G17" s="75" t="n">
        <v>0.018</v>
      </c>
      <c r="H17" s="76" t="n">
        <v>1800</v>
      </c>
      <c r="I17" s="77" t="n">
        <v>863</v>
      </c>
      <c r="J17" s="78" t="inlineStr">
        <is>
          <t>High risk</t>
        </is>
      </c>
    </row>
    <row r="18" ht="16" customHeight="1">
      <c r="B18" s="19" t="inlineStr">
        <is>
          <t>INTT</t>
        </is>
      </c>
      <c r="C18" s="20" t="inlineStr">
        <is>
          <t>inTEST Corporation</t>
        </is>
      </c>
      <c r="D18" s="48" t="inlineStr">
        <is>
          <t>Nano Cap</t>
        </is>
      </c>
      <c r="E18" s="27" t="inlineStr">
        <is>
          <t>Speculative</t>
        </is>
      </c>
      <c r="F18" s="34" t="n">
        <v>0.015</v>
      </c>
      <c r="G18" s="71" t="n">
        <v>0.009000000000000001</v>
      </c>
      <c r="H18" s="72" t="n">
        <v>900</v>
      </c>
      <c r="I18" s="73" t="n">
        <v>77</v>
      </c>
      <c r="J18" s="74" t="inlineStr">
        <is>
          <t>Medium-High risk</t>
        </is>
      </c>
    </row>
    <row r="19" ht="16" customHeight="1">
      <c r="B19" s="24" t="inlineStr">
        <is>
          <t>GHM</t>
        </is>
      </c>
      <c r="C19" s="25" t="inlineStr">
        <is>
          <t>Graham Corporation</t>
        </is>
      </c>
      <c r="D19" s="50" t="inlineStr">
        <is>
          <t>Small Cap</t>
        </is>
      </c>
      <c r="E19" s="27" t="inlineStr">
        <is>
          <t>Speculative</t>
        </is>
      </c>
      <c r="F19" s="41" t="n">
        <v>0.015</v>
      </c>
      <c r="G19" s="75" t="n">
        <v>0.015</v>
      </c>
      <c r="H19" s="76" t="n">
        <v>1500</v>
      </c>
      <c r="I19" s="77" t="n">
        <v>16</v>
      </c>
      <c r="J19" s="78" t="inlineStr">
        <is>
          <t>Medium-High risk</t>
        </is>
      </c>
    </row>
    <row r="20" ht="16" customHeight="1">
      <c r="B20" s="19" t="inlineStr">
        <is>
          <t>TRC</t>
        </is>
      </c>
      <c r="C20" s="20" t="inlineStr">
        <is>
          <t>Tejon Ranch Co.</t>
        </is>
      </c>
      <c r="D20" s="48" t="inlineStr">
        <is>
          <t>Small Cap</t>
        </is>
      </c>
      <c r="E20" s="27" t="inlineStr">
        <is>
          <t>Speculative</t>
        </is>
      </c>
      <c r="F20" s="34" t="n">
        <v>0.015</v>
      </c>
      <c r="G20" s="71" t="n">
        <v>0.015</v>
      </c>
      <c r="H20" s="72" t="n">
        <v>1500</v>
      </c>
      <c r="I20" s="73" t="n">
        <v>90</v>
      </c>
      <c r="J20" s="74" t="inlineStr">
        <is>
          <t>High risk</t>
        </is>
      </c>
    </row>
    <row r="21" ht="16" customHeight="1">
      <c r="B21" s="24" t="inlineStr">
        <is>
          <t>CEVA</t>
        </is>
      </c>
      <c r="C21" s="25" t="inlineStr">
        <is>
          <t>CEVA, Inc.</t>
        </is>
      </c>
      <c r="D21" s="50" t="inlineStr">
        <is>
          <t>Small Cap</t>
        </is>
      </c>
      <c r="E21" s="27" t="inlineStr">
        <is>
          <t>Speculative</t>
        </is>
      </c>
      <c r="F21" s="41" t="n">
        <v>0.015</v>
      </c>
      <c r="G21" s="75" t="n">
        <v>0.015</v>
      </c>
      <c r="H21" s="76" t="n">
        <v>1500</v>
      </c>
      <c r="I21" s="77" t="n">
        <v>53</v>
      </c>
      <c r="J21" s="78" t="inlineStr">
        <is>
          <t>Medium-High risk</t>
        </is>
      </c>
    </row>
    <row r="22" ht="16" customHeight="1">
      <c r="B22" s="19" t="inlineStr">
        <is>
          <t>KVHI</t>
        </is>
      </c>
      <c r="C22" s="20" t="inlineStr">
        <is>
          <t>KVH Industries, Inc.</t>
        </is>
      </c>
      <c r="D22" s="48" t="inlineStr">
        <is>
          <t>Nano Cap</t>
        </is>
      </c>
      <c r="E22" s="27" t="inlineStr">
        <is>
          <t>Speculative</t>
        </is>
      </c>
      <c r="F22" s="34" t="n">
        <v>0.015</v>
      </c>
      <c r="G22" s="71" t="n">
        <v>0.009000000000000001</v>
      </c>
      <c r="H22" s="72" t="n">
        <v>900</v>
      </c>
      <c r="I22" s="73" t="n">
        <v>126</v>
      </c>
      <c r="J22" s="74" t="inlineStr">
        <is>
          <t>Medium-High risk</t>
        </is>
      </c>
    </row>
    <row r="23" ht="16" customHeight="1">
      <c r="B23" s="24" t="inlineStr">
        <is>
          <t>RFIL</t>
        </is>
      </c>
      <c r="C23" s="25" t="inlineStr">
        <is>
          <t>RF Industries, Ltd.</t>
        </is>
      </c>
      <c r="D23" s="50" t="inlineStr">
        <is>
          <t>Nano Cap</t>
        </is>
      </c>
      <c r="E23" s="27" t="inlineStr">
        <is>
          <t>Speculative</t>
        </is>
      </c>
      <c r="F23" s="41" t="n">
        <v>0.015</v>
      </c>
      <c r="G23" s="75" t="n">
        <v>0.009000000000000001</v>
      </c>
      <c r="H23" s="76" t="n">
        <v>900</v>
      </c>
      <c r="I23" s="77" t="n">
        <v>82</v>
      </c>
      <c r="J23" s="78" t="inlineStr">
        <is>
          <t>Medium-High risk</t>
        </is>
      </c>
    </row>
    <row r="24" ht="16" customHeight="1">
      <c r="B24" s="19" t="inlineStr">
        <is>
          <t>ADEA</t>
        </is>
      </c>
      <c r="C24" s="20" t="inlineStr">
        <is>
          <t>Adeia Inc.</t>
        </is>
      </c>
      <c r="D24" s="48" t="inlineStr">
        <is>
          <t>Breakout</t>
        </is>
      </c>
      <c r="E24" s="27" t="inlineStr">
        <is>
          <t>Speculative</t>
        </is>
      </c>
      <c r="F24" s="34" t="n">
        <v>0.015</v>
      </c>
      <c r="G24" s="71" t="n">
        <v>0.018</v>
      </c>
      <c r="H24" s="72" t="n">
        <v>1800</v>
      </c>
      <c r="I24" s="73" t="n">
        <v>66</v>
      </c>
      <c r="J24" s="74" t="inlineStr">
        <is>
          <t>Medium-High risk</t>
        </is>
      </c>
    </row>
    <row r="25" ht="16" customHeight="1">
      <c r="B25" s="24" t="inlineStr">
        <is>
          <t>LAW</t>
        </is>
      </c>
      <c r="C25" s="25" t="inlineStr">
        <is>
          <t>CS Disco, Inc.</t>
        </is>
      </c>
      <c r="D25" s="50" t="inlineStr">
        <is>
          <t>Nano Cap</t>
        </is>
      </c>
      <c r="E25" s="27" t="inlineStr">
        <is>
          <t>Speculative</t>
        </is>
      </c>
      <c r="F25" s="41" t="n">
        <v>0.015</v>
      </c>
      <c r="G25" s="75" t="n">
        <v>0.009000000000000001</v>
      </c>
      <c r="H25" s="76" t="n">
        <v>900</v>
      </c>
      <c r="I25" s="77" t="n">
        <v>221</v>
      </c>
      <c r="J25" s="78" t="inlineStr">
        <is>
          <t>Medium-High risk</t>
        </is>
      </c>
    </row>
    <row r="26" ht="16" customHeight="1">
      <c r="B26" s="19" t="inlineStr">
        <is>
          <t>ASYS</t>
        </is>
      </c>
      <c r="C26" s="20" t="inlineStr">
        <is>
          <t>Amtech Systems, Inc.</t>
        </is>
      </c>
      <c r="D26" s="48" t="inlineStr">
        <is>
          <t>Nano Cap</t>
        </is>
      </c>
      <c r="E26" s="27" t="inlineStr">
        <is>
          <t>Speculative</t>
        </is>
      </c>
      <c r="F26" s="34" t="n">
        <v>0.015</v>
      </c>
      <c r="G26" s="71" t="n">
        <v>0.009000000000000001</v>
      </c>
      <c r="H26" s="72" t="n">
        <v>900</v>
      </c>
      <c r="I26" s="73" t="n">
        <v>58</v>
      </c>
      <c r="J26" s="74" t="inlineStr">
        <is>
          <t>Medium-High risk</t>
        </is>
      </c>
    </row>
    <row r="27" ht="16" customHeight="1">
      <c r="B27" s="24" t="inlineStr">
        <is>
          <t>DCI</t>
        </is>
      </c>
      <c r="C27" s="25" t="inlineStr">
        <is>
          <t>Donaldson Company, Inc.</t>
        </is>
      </c>
      <c r="D27" s="50" t="inlineStr">
        <is>
          <t>Breakout</t>
        </is>
      </c>
      <c r="E27" s="27" t="inlineStr">
        <is>
          <t>Speculative</t>
        </is>
      </c>
      <c r="F27" s="41" t="n">
        <v>0.015</v>
      </c>
      <c r="G27" s="75" t="n">
        <v>0.018</v>
      </c>
      <c r="H27" s="76" t="n">
        <v>1800</v>
      </c>
      <c r="I27" s="77" t="n">
        <v>19</v>
      </c>
      <c r="J27" s="78" t="inlineStr">
        <is>
          <t>Medium-Low risk</t>
        </is>
      </c>
    </row>
    <row r="28" ht="16" customHeight="1">
      <c r="B28" s="19" t="inlineStr">
        <is>
          <t>VPG</t>
        </is>
      </c>
      <c r="C28" s="20" t="inlineStr">
        <is>
          <t>Vishay Precision Group, Inc.</t>
        </is>
      </c>
      <c r="D28" s="48" t="inlineStr">
        <is>
          <t>Small Cap</t>
        </is>
      </c>
      <c r="E28" s="27" t="inlineStr">
        <is>
          <t>Speculative</t>
        </is>
      </c>
      <c r="F28" s="34" t="n">
        <v>0.015</v>
      </c>
      <c r="G28" s="71" t="n">
        <v>0.015</v>
      </c>
      <c r="H28" s="72" t="n">
        <v>1500</v>
      </c>
      <c r="I28" s="73" t="n">
        <v>22</v>
      </c>
      <c r="J28" s="74" t="inlineStr"/>
    </row>
    <row r="29" ht="16" customHeight="1">
      <c r="B29" s="24" t="inlineStr">
        <is>
          <t>MNTK</t>
        </is>
      </c>
      <c r="C29" s="25" t="inlineStr">
        <is>
          <t>Montauk Renewables, Inc.</t>
        </is>
      </c>
      <c r="D29" s="50" t="inlineStr">
        <is>
          <t>Small Cap</t>
        </is>
      </c>
      <c r="E29" s="27" t="inlineStr">
        <is>
          <t>Speculative</t>
        </is>
      </c>
      <c r="F29" s="41" t="n">
        <v>0.015</v>
      </c>
      <c r="G29" s="75" t="n">
        <v>0.015</v>
      </c>
      <c r="H29" s="76" t="n">
        <v>1500</v>
      </c>
      <c r="I29" s="77" t="n">
        <v>636</v>
      </c>
      <c r="J29" s="78" t="inlineStr">
        <is>
          <t>Medium-High risk</t>
        </is>
      </c>
    </row>
    <row r="30" ht="16" customHeight="1">
      <c r="B30" s="19" t="inlineStr">
        <is>
          <t>BCO</t>
        </is>
      </c>
      <c r="C30" s="20" t="inlineStr">
        <is>
          <t>The Brink's Company</t>
        </is>
      </c>
      <c r="D30" s="48" t="inlineStr">
        <is>
          <t>Breakout</t>
        </is>
      </c>
      <c r="E30" s="27" t="inlineStr">
        <is>
          <t>Speculative</t>
        </is>
      </c>
      <c r="F30" s="34" t="n">
        <v>0.015</v>
      </c>
      <c r="G30" s="71" t="n">
        <v>0.018</v>
      </c>
      <c r="H30" s="72" t="n">
        <v>1800</v>
      </c>
      <c r="I30" s="73" t="n">
        <v>16</v>
      </c>
      <c r="J30" s="74" t="inlineStr">
        <is>
          <t>Medium-High risk</t>
        </is>
      </c>
    </row>
    <row r="31" ht="16" customHeight="1">
      <c r="B31" s="24" t="inlineStr">
        <is>
          <t>NOVTU</t>
        </is>
      </c>
      <c r="C31" s="25" t="inlineStr">
        <is>
          <t>Novanta Inc. Tangible Equity Units</t>
        </is>
      </c>
      <c r="D31" s="50" t="inlineStr">
        <is>
          <t>Breakout</t>
        </is>
      </c>
      <c r="E31" s="27" t="inlineStr">
        <is>
          <t>Speculative</t>
        </is>
      </c>
      <c r="F31" s="41" t="n">
        <v>0.015</v>
      </c>
      <c r="G31" s="75" t="n">
        <v>0.018</v>
      </c>
      <c r="H31" s="76" t="n">
        <v>1800</v>
      </c>
      <c r="I31" s="77" t="n">
        <v>28</v>
      </c>
      <c r="J31" s="78" t="inlineStr">
        <is>
          <t>Medium-High risk</t>
        </is>
      </c>
    </row>
    <row r="32" ht="16" customHeight="1">
      <c r="B32" s="19" t="inlineStr">
        <is>
          <t>CACI</t>
        </is>
      </c>
      <c r="C32" s="20" t="inlineStr">
        <is>
          <t>CACI International Inc</t>
        </is>
      </c>
      <c r="D32" s="48" t="inlineStr">
        <is>
          <t>Breakout</t>
        </is>
      </c>
      <c r="E32" s="27" t="inlineStr">
        <is>
          <t>Speculative</t>
        </is>
      </c>
      <c r="F32" s="34" t="n">
        <v>0.015</v>
      </c>
      <c r="G32" s="71" t="n">
        <v>0.018</v>
      </c>
      <c r="H32" s="72" t="n">
        <v>1800</v>
      </c>
      <c r="I32" s="73" t="n">
        <v>2</v>
      </c>
      <c r="J32" s="74" t="inlineStr">
        <is>
          <t>Medium-High risk</t>
        </is>
      </c>
    </row>
    <row r="33" ht="16" customHeight="1">
      <c r="B33" s="24" t="inlineStr">
        <is>
          <t>RAL</t>
        </is>
      </c>
      <c r="C33" s="25" t="inlineStr">
        <is>
          <t>Ralliant Corp</t>
        </is>
      </c>
      <c r="D33" s="50" t="inlineStr">
        <is>
          <t>Breakout</t>
        </is>
      </c>
      <c r="E33" s="27" t="inlineStr">
        <is>
          <t>Speculative</t>
        </is>
      </c>
      <c r="F33" s="41" t="n">
        <v>0.015</v>
      </c>
      <c r="G33" s="75" t="n">
        <v>0.018</v>
      </c>
      <c r="H33" s="76" t="n">
        <v>1800</v>
      </c>
      <c r="I33" s="77" t="n">
        <v>28</v>
      </c>
      <c r="J33" s="78" t="inlineStr">
        <is>
          <t>Medium-Low risk</t>
        </is>
      </c>
    </row>
    <row r="34" ht="16" customHeight="1">
      <c r="B34" s="19" t="inlineStr">
        <is>
          <t>EVLV</t>
        </is>
      </c>
      <c r="C34" s="20" t="inlineStr">
        <is>
          <t>Evolv Technologies Holdings, Inc.</t>
        </is>
      </c>
      <c r="D34" s="48" t="inlineStr">
        <is>
          <t>Small Cap</t>
        </is>
      </c>
      <c r="E34" s="27" t="inlineStr">
        <is>
          <t>Speculative</t>
        </is>
      </c>
      <c r="F34" s="34" t="n">
        <v>0.015</v>
      </c>
      <c r="G34" s="71" t="n">
        <v>0.015</v>
      </c>
      <c r="H34" s="72" t="n">
        <v>1500</v>
      </c>
      <c r="I34" s="73" t="n">
        <v>294</v>
      </c>
      <c r="J34" s="74" t="inlineStr">
        <is>
          <t>Medium-High risk</t>
        </is>
      </c>
    </row>
    <row r="35" ht="16" customHeight="1">
      <c r="B35" s="24" t="inlineStr">
        <is>
          <t>ADTN</t>
        </is>
      </c>
      <c r="C35" s="25" t="inlineStr">
        <is>
          <t>ADTRAN Holdings Inc.</t>
        </is>
      </c>
      <c r="D35" s="50" t="inlineStr">
        <is>
          <t>Small Cap</t>
        </is>
      </c>
      <c r="E35" s="27" t="inlineStr">
        <is>
          <t>Speculative</t>
        </is>
      </c>
      <c r="F35" s="41" t="n">
        <v>0.015</v>
      </c>
      <c r="G35" s="75" t="n">
        <v>0.015</v>
      </c>
      <c r="H35" s="76" t="n">
        <v>1500</v>
      </c>
      <c r="I35" s="77" t="n">
        <v>199</v>
      </c>
      <c r="J35" s="78" t="inlineStr"/>
    </row>
    <row r="36" ht="16" customHeight="1">
      <c r="B36" s="19" t="inlineStr">
        <is>
          <t>BDC</t>
        </is>
      </c>
      <c r="C36" s="20" t="inlineStr">
        <is>
          <t>Belden Inc.</t>
        </is>
      </c>
      <c r="D36" s="48" t="inlineStr">
        <is>
          <t>Breakout</t>
        </is>
      </c>
      <c r="E36" s="27" t="inlineStr">
        <is>
          <t>Speculative</t>
        </is>
      </c>
      <c r="F36" s="34" t="n">
        <v>0.015</v>
      </c>
      <c r="G36" s="71" t="n">
        <v>0.018</v>
      </c>
      <c r="H36" s="72" t="n">
        <v>1800</v>
      </c>
      <c r="I36" s="73" t="n">
        <v>14</v>
      </c>
      <c r="J36" s="74" t="inlineStr">
        <is>
          <t>Medium-Low risk</t>
        </is>
      </c>
    </row>
    <row r="37" ht="16" customHeight="1">
      <c r="B37" s="24" t="inlineStr">
        <is>
          <t>CMCO</t>
        </is>
      </c>
      <c r="C37" s="25" t="inlineStr">
        <is>
          <t>Columbus McKinnon Corporation</t>
        </is>
      </c>
      <c r="D37" s="50" t="inlineStr">
        <is>
          <t>Small Cap</t>
        </is>
      </c>
      <c r="E37" s="27" t="inlineStr">
        <is>
          <t>Speculative</t>
        </is>
      </c>
      <c r="F37" s="41" t="n">
        <v>0.015</v>
      </c>
      <c r="G37" s="75" t="n">
        <v>0.015</v>
      </c>
      <c r="H37" s="76" t="n">
        <v>1500</v>
      </c>
      <c r="I37" s="77" t="n">
        <v>80</v>
      </c>
      <c r="J37" s="78" t="inlineStr">
        <is>
          <t>Medium-High risk</t>
        </is>
      </c>
    </row>
    <row r="38" ht="16" customHeight="1">
      <c r="B38" s="19" t="inlineStr">
        <is>
          <t>LTRX</t>
        </is>
      </c>
      <c r="C38" s="20" t="inlineStr">
        <is>
          <t>Lantronix, Inc.</t>
        </is>
      </c>
      <c r="D38" s="48" t="inlineStr">
        <is>
          <t>Nano Cap</t>
        </is>
      </c>
      <c r="E38" s="27" t="inlineStr">
        <is>
          <t>Speculative</t>
        </is>
      </c>
      <c r="F38" s="34" t="n">
        <v>0.015</v>
      </c>
      <c r="G38" s="71" t="n">
        <v>0.009000000000000001</v>
      </c>
      <c r="H38" s="72" t="n">
        <v>900</v>
      </c>
      <c r="I38" s="73" t="n">
        <v>168</v>
      </c>
      <c r="J38" s="74" t="inlineStr">
        <is>
          <t>Medium-High risk</t>
        </is>
      </c>
    </row>
    <row r="39" ht="16" customHeight="1">
      <c r="B39" s="24" t="inlineStr">
        <is>
          <t>KD</t>
        </is>
      </c>
      <c r="C39" s="25" t="inlineStr">
        <is>
          <t>Kyndryl Holdings, Inc.</t>
        </is>
      </c>
      <c r="D39" s="50" t="inlineStr">
        <is>
          <t>Breakout</t>
        </is>
      </c>
      <c r="E39" s="27" t="inlineStr">
        <is>
          <t>Speculative</t>
        </is>
      </c>
      <c r="F39" s="41" t="n">
        <v>0.015</v>
      </c>
      <c r="G39" s="75" t="n">
        <v>0.018</v>
      </c>
      <c r="H39" s="76" t="n">
        <v>1800</v>
      </c>
      <c r="I39" s="77" t="n">
        <v>142</v>
      </c>
      <c r="J39" s="78" t="inlineStr">
        <is>
          <t>High risk</t>
        </is>
      </c>
    </row>
    <row r="40" ht="16" customHeight="1">
      <c r="B40" s="19" t="inlineStr">
        <is>
          <t>NL</t>
        </is>
      </c>
      <c r="C40" s="20" t="inlineStr">
        <is>
          <t>NLI Holdings, Inc.</t>
        </is>
      </c>
      <c r="D40" s="48" t="inlineStr">
        <is>
          <t>Small Cap</t>
        </is>
      </c>
      <c r="E40" s="27" t="inlineStr">
        <is>
          <t>Speculative</t>
        </is>
      </c>
      <c r="F40" s="34" t="n">
        <v>0.015</v>
      </c>
      <c r="G40" s="71" t="n">
        <v>0.015</v>
      </c>
      <c r="H40" s="72" t="n">
        <v>1500</v>
      </c>
      <c r="I40" s="73" t="n">
        <v>224</v>
      </c>
      <c r="J40" s="74" t="inlineStr">
        <is>
          <t>Medium-High risk</t>
        </is>
      </c>
    </row>
    <row r="41" ht="16" customHeight="1">
      <c r="B41" s="24" t="inlineStr">
        <is>
          <t>ROC</t>
        </is>
      </c>
      <c r="C41" s="25" t="inlineStr">
        <is>
          <t>Rank One Computing Corp.</t>
        </is>
      </c>
      <c r="D41" s="50" t="inlineStr">
        <is>
          <t>Nano Cap</t>
        </is>
      </c>
      <c r="E41" s="27" t="inlineStr">
        <is>
          <t>Speculative</t>
        </is>
      </c>
      <c r="F41" s="41" t="n">
        <v>0.015</v>
      </c>
      <c r="G41" s="75" t="n">
        <v>0.009000000000000001</v>
      </c>
      <c r="H41" s="76" t="n">
        <v>900</v>
      </c>
      <c r="I41" s="77" t="n">
        <v>209</v>
      </c>
      <c r="J41" s="78" t="inlineStr">
        <is>
          <t>High risk</t>
        </is>
      </c>
    </row>
    <row r="42" ht="16" customHeight="1">
      <c r="B42" s="19" t="inlineStr">
        <is>
          <t>TGEN</t>
        </is>
      </c>
      <c r="C42" s="20" t="inlineStr">
        <is>
          <t>Tecogen Inc.</t>
        </is>
      </c>
      <c r="D42" s="48" t="inlineStr">
        <is>
          <t>Nano Cap</t>
        </is>
      </c>
      <c r="E42" s="27" t="inlineStr">
        <is>
          <t>Speculative</t>
        </is>
      </c>
      <c r="F42" s="34" t="n">
        <v>0.015</v>
      </c>
      <c r="G42" s="71" t="n">
        <v>0.009000000000000001</v>
      </c>
      <c r="H42" s="72" t="n">
        <v>900</v>
      </c>
      <c r="I42" s="73" t="n">
        <v>280</v>
      </c>
      <c r="J42" s="74" t="inlineStr">
        <is>
          <t>High risk</t>
        </is>
      </c>
    </row>
    <row r="43" ht="16" customHeight="1">
      <c r="B43" s="24" t="inlineStr">
        <is>
          <t>BKTI</t>
        </is>
      </c>
      <c r="C43" s="25" t="inlineStr">
        <is>
          <t>BK Technologies Corporation</t>
        </is>
      </c>
      <c r="D43" s="50" t="inlineStr">
        <is>
          <t>Nano Cap</t>
        </is>
      </c>
      <c r="E43" s="27" t="inlineStr">
        <is>
          <t>Speculative</t>
        </is>
      </c>
      <c r="F43" s="41" t="n">
        <v>0.015</v>
      </c>
      <c r="G43" s="75" t="n">
        <v>0.009000000000000001</v>
      </c>
      <c r="H43" s="76" t="n">
        <v>900</v>
      </c>
      <c r="I43" s="77" t="n">
        <v>12</v>
      </c>
      <c r="J43" s="78" t="inlineStr">
        <is>
          <t>Medium-High risk</t>
        </is>
      </c>
    </row>
    <row r="45">
      <c r="B45" s="79" t="inlineStr">
        <is>
          <t>TOTAL ALLOCATED</t>
        </is>
      </c>
      <c r="C45" s="80" t="n"/>
      <c r="D45" s="80" t="n"/>
      <c r="E45" s="80" t="n"/>
      <c r="F45" s="80" t="n"/>
      <c r="G45" s="81" t="n">
        <v>0.4799999999999998</v>
      </c>
      <c r="H45" s="82" t="n">
        <v>48000</v>
      </c>
    </row>
    <row r="46">
      <c r="B46" s="79" t="inlineStr">
        <is>
          <t>CASH RESERVE</t>
        </is>
      </c>
      <c r="C46" s="80" t="n"/>
      <c r="D46" s="80" t="n"/>
      <c r="E46" s="80" t="n"/>
      <c r="F46" s="80" t="n"/>
      <c r="G46" s="83" t="n">
        <v>0.5200000000000002</v>
      </c>
      <c r="H46" s="84" t="n">
        <v>52000</v>
      </c>
    </row>
    <row r="49" ht="22" customHeight="1">
      <c r="B49" s="16" t="inlineStr">
        <is>
          <t>SENSITIVITY TO PORTFOLIO SIZE</t>
        </is>
      </c>
      <c r="C49" s="17" t="n"/>
      <c r="D49" s="17" t="n"/>
      <c r="E49" s="17" t="n"/>
      <c r="F49" s="17" t="n"/>
      <c r="G49" s="17" t="n"/>
      <c r="H49" s="17" t="n"/>
      <c r="I49" s="17" t="n"/>
      <c r="J49" s="17" t="n"/>
    </row>
    <row r="50" ht="18" customHeight="1">
      <c r="B50" s="18" t="inlineStr">
        <is>
          <t>Ticker</t>
        </is>
      </c>
      <c r="C50" s="18" t="inlineStr">
        <is>
          <t>$50K</t>
        </is>
      </c>
      <c r="D50" s="18" t="inlineStr">
        <is>
          <t>$100K</t>
        </is>
      </c>
      <c r="E50" s="18" t="inlineStr">
        <is>
          <t>$250K</t>
        </is>
      </c>
      <c r="F50" s="18" t="inlineStr">
        <is>
          <t>$500K</t>
        </is>
      </c>
      <c r="G50" s="18" t="inlineStr">
        <is>
          <t>$1M</t>
        </is>
      </c>
      <c r="L50" t="inlineStr">
        <is>
          <t>Tier</t>
        </is>
      </c>
      <c r="M50" t="inlineStr">
        <is>
          <t>Allocation %</t>
        </is>
      </c>
    </row>
    <row r="51" ht="16" customHeight="1">
      <c r="B51" s="19" t="inlineStr">
        <is>
          <t>SWBI</t>
        </is>
      </c>
      <c r="C51" s="21" t="n">
        <v>1500</v>
      </c>
      <c r="D51" s="85" t="n">
        <v>3000</v>
      </c>
      <c r="E51" s="21" t="n">
        <v>7500</v>
      </c>
      <c r="F51" s="21" t="n">
        <v>15000</v>
      </c>
      <c r="G51" s="21" t="n">
        <v>30000</v>
      </c>
      <c r="L51" t="inlineStr">
        <is>
          <t>Small Cap</t>
        </is>
      </c>
      <c r="M51" t="n">
        <v>16.5</v>
      </c>
    </row>
    <row r="52" ht="16" customHeight="1">
      <c r="B52" s="24" t="inlineStr">
        <is>
          <t>CE</t>
        </is>
      </c>
      <c r="C52" s="26" t="n">
        <v>1800</v>
      </c>
      <c r="D52" s="85" t="n">
        <v>3600</v>
      </c>
      <c r="E52" s="26" t="n">
        <v>9000.000000000002</v>
      </c>
      <c r="F52" s="26" t="n">
        <v>18000</v>
      </c>
      <c r="G52" s="26" t="n">
        <v>36000.00000000001</v>
      </c>
      <c r="L52" t="inlineStr">
        <is>
          <t>Breakout</t>
        </is>
      </c>
      <c r="M52" t="n">
        <v>21.6</v>
      </c>
    </row>
    <row r="53" ht="16" customHeight="1">
      <c r="B53" s="19" t="inlineStr">
        <is>
          <t>CALX</t>
        </is>
      </c>
      <c r="C53" s="21" t="n">
        <v>1800</v>
      </c>
      <c r="D53" s="85" t="n">
        <v>3600</v>
      </c>
      <c r="E53" s="21" t="n">
        <v>9000.000000000002</v>
      </c>
      <c r="F53" s="21" t="n">
        <v>18000</v>
      </c>
      <c r="G53" s="21" t="n">
        <v>36000.00000000001</v>
      </c>
      <c r="L53" t="inlineStr">
        <is>
          <t>Nano Cap</t>
        </is>
      </c>
      <c r="M53" t="n">
        <v>9.900000000000002</v>
      </c>
    </row>
    <row r="54" ht="16" customHeight="1">
      <c r="B54" s="24" t="inlineStr">
        <is>
          <t>AISP</t>
        </is>
      </c>
      <c r="C54" s="26" t="n">
        <v>900.0000000000001</v>
      </c>
      <c r="D54" s="85" t="n">
        <v>1800</v>
      </c>
      <c r="E54" s="26" t="n">
        <v>4500.000000000001</v>
      </c>
      <c r="F54" s="26" t="n">
        <v>9000.000000000002</v>
      </c>
      <c r="G54" s="26" t="n">
        <v>18000</v>
      </c>
      <c r="L54" t="inlineStr">
        <is>
          <t>Cash</t>
        </is>
      </c>
      <c r="M54" t="n">
        <v>52.00000000000002</v>
      </c>
    </row>
    <row r="55" ht="16" customHeight="1">
      <c r="B55" s="19" t="inlineStr">
        <is>
          <t>INTT</t>
        </is>
      </c>
      <c r="C55" s="21" t="n">
        <v>450.0000000000001</v>
      </c>
      <c r="D55" s="85" t="n">
        <v>900.0000000000001</v>
      </c>
      <c r="E55" s="21" t="n">
        <v>2250</v>
      </c>
      <c r="F55" s="21" t="n">
        <v>4500.000000000001</v>
      </c>
      <c r="G55" s="21" t="n">
        <v>9000.000000000002</v>
      </c>
    </row>
    <row r="56" ht="16" customHeight="1">
      <c r="B56" s="24" t="inlineStr">
        <is>
          <t>GHM</t>
        </is>
      </c>
      <c r="C56" s="26" t="n">
        <v>750</v>
      </c>
      <c r="D56" s="85" t="n">
        <v>1500</v>
      </c>
      <c r="E56" s="26" t="n">
        <v>3750</v>
      </c>
      <c r="F56" s="26" t="n">
        <v>7500</v>
      </c>
      <c r="G56" s="26" t="n">
        <v>15000</v>
      </c>
    </row>
    <row r="57" ht="16" customHeight="1">
      <c r="B57" s="19" t="inlineStr">
        <is>
          <t>TRC</t>
        </is>
      </c>
      <c r="C57" s="21" t="n">
        <v>750</v>
      </c>
      <c r="D57" s="85" t="n">
        <v>1500</v>
      </c>
      <c r="E57" s="21" t="n">
        <v>3750</v>
      </c>
      <c r="F57" s="21" t="n">
        <v>7500</v>
      </c>
      <c r="G57" s="21" t="n">
        <v>15000</v>
      </c>
    </row>
    <row r="58" ht="16" customHeight="1">
      <c r="B58" s="24" t="inlineStr">
        <is>
          <t>CEVA</t>
        </is>
      </c>
      <c r="C58" s="26" t="n">
        <v>750</v>
      </c>
      <c r="D58" s="85" t="n">
        <v>1500</v>
      </c>
      <c r="E58" s="26" t="n">
        <v>3750</v>
      </c>
      <c r="F58" s="26" t="n">
        <v>7500</v>
      </c>
      <c r="G58" s="26" t="n">
        <v>15000</v>
      </c>
    </row>
    <row r="59" ht="16" customHeight="1">
      <c r="B59" s="19" t="inlineStr">
        <is>
          <t>KVHI</t>
        </is>
      </c>
      <c r="C59" s="21" t="n">
        <v>450.0000000000001</v>
      </c>
      <c r="D59" s="85" t="n">
        <v>900.0000000000001</v>
      </c>
      <c r="E59" s="21" t="n">
        <v>2250</v>
      </c>
      <c r="F59" s="21" t="n">
        <v>4500.000000000001</v>
      </c>
      <c r="G59" s="21" t="n">
        <v>9000.000000000002</v>
      </c>
    </row>
    <row r="60" ht="16" customHeight="1">
      <c r="B60" s="24" t="inlineStr">
        <is>
          <t>RFIL</t>
        </is>
      </c>
      <c r="C60" s="26" t="n">
        <v>450.0000000000001</v>
      </c>
      <c r="D60" s="85" t="n">
        <v>900.0000000000001</v>
      </c>
      <c r="E60" s="26" t="n">
        <v>2250</v>
      </c>
      <c r="F60" s="26" t="n">
        <v>4500.000000000001</v>
      </c>
      <c r="G60" s="26" t="n">
        <v>9000.000000000002</v>
      </c>
    </row>
  </sheetData>
  <mergeCells count="5">
    <mergeCell ref="A2:N2"/>
    <mergeCell ref="B49:J49"/>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5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Fingerprint Only</t>
        </is>
      </c>
      <c r="E7" s="18" t="inlineStr">
        <is>
          <t>Insider Heavy</t>
        </is>
      </c>
      <c r="F7" s="18" t="inlineStr">
        <is>
          <t>Legacy 35/25/40</t>
        </is>
      </c>
      <c r="G7" s="18" t="inlineStr">
        <is>
          <t>Custom</t>
        </is>
      </c>
    </row>
    <row r="8" ht="16" customHeight="1">
      <c r="B8" s="20" t="inlineStr">
        <is>
          <t>Composite</t>
        </is>
      </c>
      <c r="C8" s="87" t="n">
        <v>0</v>
      </c>
      <c r="D8" s="88" t="n">
        <v>0</v>
      </c>
      <c r="E8" s="88" t="n">
        <v>0</v>
      </c>
      <c r="F8" s="88" t="n">
        <v>0.35</v>
      </c>
      <c r="G8" s="89" t="n">
        <v>0</v>
      </c>
    </row>
    <row r="9" ht="16" customHeight="1">
      <c r="B9" s="20" t="inlineStr">
        <is>
          <t>Fingerprint</t>
        </is>
      </c>
      <c r="C9" s="87" t="n">
        <v>0.5</v>
      </c>
      <c r="D9" s="88" t="n">
        <v>1</v>
      </c>
      <c r="E9" s="88" t="n">
        <v>0.4</v>
      </c>
      <c r="F9" s="88" t="n">
        <v>0.25</v>
      </c>
      <c r="G9" s="89" t="n">
        <v>0.5</v>
      </c>
    </row>
    <row r="10" ht="16" customHeight="1">
      <c r="B10" s="20" t="inlineStr">
        <is>
          <t>WPS</t>
        </is>
      </c>
      <c r="C10" s="87" t="n">
        <v>0.2</v>
      </c>
      <c r="D10" s="88" t="n">
        <v>0</v>
      </c>
      <c r="E10" s="88" t="n">
        <v>0</v>
      </c>
      <c r="F10" s="88" t="n">
        <v>0.4</v>
      </c>
      <c r="G10" s="89" t="n">
        <v>0.2</v>
      </c>
    </row>
    <row r="11" ht="16" customHeight="1">
      <c r="B11" s="20" t="inlineStr">
        <is>
          <t>Insider Flow</t>
        </is>
      </c>
      <c r="C11" s="87" t="n">
        <v>0.3</v>
      </c>
      <c r="D11" s="88" t="n">
        <v>0</v>
      </c>
      <c r="E11" s="88" t="n">
        <v>0.6</v>
      </c>
      <c r="F11" s="88" t="n">
        <v>0</v>
      </c>
      <c r="G11" s="89" t="n">
        <v>0.3</v>
      </c>
    </row>
    <row r="13" ht="22" customHeight="1">
      <c r="B13" s="16" t="inlineStr">
        <is>
          <t>COMBINED SCORES UNDER EACH PROFILE</t>
        </is>
      </c>
      <c r="C13" s="17" t="n"/>
      <c r="D13" s="17" t="n"/>
      <c r="E13" s="17" t="n"/>
      <c r="F13" s="17" t="n"/>
      <c r="G13" s="17" t="n"/>
      <c r="H13" s="17" t="n"/>
      <c r="I13" s="17" t="n"/>
      <c r="J13" s="17" t="n"/>
      <c r="K13" s="17" t="n"/>
      <c r="L13" s="17" t="n"/>
      <c r="M13" s="17" t="n"/>
    </row>
    <row r="14" ht="18" customHeight="1">
      <c r="B14" s="18" t="inlineStr">
        <is>
          <t>Ticker</t>
        </is>
      </c>
      <c r="C14" s="18" t="inlineStr">
        <is>
          <t>Name</t>
        </is>
      </c>
      <c r="D14" s="18" t="inlineStr">
        <is>
          <t>Tier</t>
        </is>
      </c>
      <c r="E14" s="18" t="inlineStr">
        <is>
          <t>Baseline</t>
        </is>
      </c>
      <c r="F14" s="18" t="inlineStr">
        <is>
          <t>Fingerprint Only</t>
        </is>
      </c>
      <c r="G14" s="18" t="inlineStr">
        <is>
          <t>Insider Heavy</t>
        </is>
      </c>
      <c r="H14" s="18" t="inlineStr">
        <is>
          <t>Legacy 35/25/40</t>
        </is>
      </c>
      <c r="I14" s="18" t="inlineStr">
        <is>
          <t>Max Score</t>
        </is>
      </c>
      <c r="J14" s="18" t="inlineStr">
        <is>
          <t>Min Score</t>
        </is>
      </c>
      <c r="K14" s="18" t="inlineStr">
        <is>
          <t>Score Range</t>
        </is>
      </c>
      <c r="L14" s="18" t="inlineStr">
        <is>
          <t>Rank Stability</t>
        </is>
      </c>
    </row>
    <row r="15" ht="16" customHeight="1">
      <c r="B15" s="19" t="inlineStr">
        <is>
          <t>SWBI</t>
        </is>
      </c>
      <c r="C15" s="20" t="inlineStr">
        <is>
          <t>Smith &amp; Wesson Brands, Inc.</t>
        </is>
      </c>
      <c r="D15" s="48" t="inlineStr">
        <is>
          <t>Small Cap</t>
        </is>
      </c>
      <c r="E15" s="36" t="n">
        <v>70</v>
      </c>
      <c r="F15" s="36" t="n">
        <v>85.40000000000001</v>
      </c>
      <c r="G15" s="36" t="n">
        <v>64.2</v>
      </c>
      <c r="H15" s="36" t="n">
        <v>71.7</v>
      </c>
      <c r="I15" s="36" t="n">
        <v>85.40000000000001</v>
      </c>
      <c r="J15" s="36" t="n">
        <v>64.2</v>
      </c>
      <c r="K15" s="36" t="n">
        <v>21.2</v>
      </c>
      <c r="L15" s="27" t="inlineStr">
        <is>
          <t>Sensitive</t>
        </is>
      </c>
    </row>
    <row r="16" ht="16" customHeight="1">
      <c r="B16" s="24" t="inlineStr">
        <is>
          <t>CE</t>
        </is>
      </c>
      <c r="C16" s="25" t="inlineStr">
        <is>
          <t>Celanese Corporation</t>
        </is>
      </c>
      <c r="D16" s="50" t="inlineStr">
        <is>
          <t>Breakout</t>
        </is>
      </c>
      <c r="E16" s="42" t="n">
        <v>68.90000000000001</v>
      </c>
      <c r="F16" s="42" t="n">
        <v>73.5</v>
      </c>
      <c r="G16" s="42" t="n">
        <v>70.7</v>
      </c>
      <c r="H16" s="42" t="n">
        <v>62.2</v>
      </c>
      <c r="I16" s="42" t="n">
        <v>73.5</v>
      </c>
      <c r="J16" s="42" t="n">
        <v>62.2</v>
      </c>
      <c r="K16" s="42" t="n">
        <v>11.3</v>
      </c>
      <c r="L16" s="23" t="inlineStr">
        <is>
          <t>Moderate</t>
        </is>
      </c>
    </row>
    <row r="17" ht="16" customHeight="1">
      <c r="B17" s="19" t="inlineStr">
        <is>
          <t>CALX</t>
        </is>
      </c>
      <c r="C17" s="20" t="inlineStr">
        <is>
          <t>Calix, Inc.</t>
        </is>
      </c>
      <c r="D17" s="48" t="inlineStr">
        <is>
          <t>Breakout</t>
        </is>
      </c>
      <c r="E17" s="36" t="n">
        <v>68.59999999999999</v>
      </c>
      <c r="F17" s="36" t="n">
        <v>83.90000000000001</v>
      </c>
      <c r="G17" s="36" t="n">
        <v>63.6</v>
      </c>
      <c r="H17" s="36" t="n">
        <v>70.3</v>
      </c>
      <c r="I17" s="36" t="n">
        <v>83.90000000000001</v>
      </c>
      <c r="J17" s="36" t="n">
        <v>63.6</v>
      </c>
      <c r="K17" s="36" t="n">
        <v>20.3</v>
      </c>
      <c r="L17" s="27" t="inlineStr">
        <is>
          <t>Sensitive</t>
        </is>
      </c>
    </row>
    <row r="18" ht="16" customHeight="1">
      <c r="B18" s="24" t="inlineStr">
        <is>
          <t>AISP</t>
        </is>
      </c>
      <c r="C18" s="25" t="inlineStr">
        <is>
          <t>Airship AI Holdings, Inc.</t>
        </is>
      </c>
      <c r="D18" s="50" t="inlineStr">
        <is>
          <t>Nano Cap</t>
        </is>
      </c>
      <c r="E18" s="42" t="n">
        <v>67</v>
      </c>
      <c r="F18" s="42" t="n">
        <v>41.5</v>
      </c>
      <c r="G18" s="42" t="n">
        <v>76.59999999999999</v>
      </c>
      <c r="H18" s="42" t="n">
        <v>73.3</v>
      </c>
      <c r="I18" s="42" t="n">
        <v>76.59999999999999</v>
      </c>
      <c r="J18" s="42" t="n">
        <v>41.5</v>
      </c>
      <c r="K18" s="42" t="n">
        <v>35.09999999999999</v>
      </c>
      <c r="L18" s="27" t="inlineStr">
        <is>
          <t>Sensitive</t>
        </is>
      </c>
    </row>
    <row r="19" ht="16" customHeight="1">
      <c r="B19" s="19" t="inlineStr">
        <is>
          <t>INTT</t>
        </is>
      </c>
      <c r="C19" s="20" t="inlineStr">
        <is>
          <t>inTEST Corporation</t>
        </is>
      </c>
      <c r="D19" s="48" t="inlineStr">
        <is>
          <t>Nano Cap</t>
        </is>
      </c>
      <c r="E19" s="36" t="n">
        <v>63.9</v>
      </c>
      <c r="F19" s="36" t="n">
        <v>71.2</v>
      </c>
      <c r="G19" s="36" t="n">
        <v>58.1</v>
      </c>
      <c r="H19" s="36" t="n">
        <v>74.5</v>
      </c>
      <c r="I19" s="36" t="n">
        <v>74.5</v>
      </c>
      <c r="J19" s="36" t="n">
        <v>58.1</v>
      </c>
      <c r="K19" s="36" t="n">
        <v>16.4</v>
      </c>
      <c r="L19" s="23" t="inlineStr">
        <is>
          <t>Moderate</t>
        </is>
      </c>
    </row>
    <row r="20" ht="16" customHeight="1">
      <c r="B20" s="24" t="inlineStr">
        <is>
          <t>GHM</t>
        </is>
      </c>
      <c r="C20" s="25" t="inlineStr">
        <is>
          <t>Graham Corporation</t>
        </is>
      </c>
      <c r="D20" s="50" t="inlineStr">
        <is>
          <t>Small Cap</t>
        </is>
      </c>
      <c r="E20" s="42" t="n">
        <v>63.6</v>
      </c>
      <c r="F20" s="42" t="n">
        <v>77</v>
      </c>
      <c r="G20" s="42" t="n">
        <v>60.2</v>
      </c>
      <c r="H20" s="42" t="n">
        <v>61</v>
      </c>
      <c r="I20" s="42" t="n">
        <v>77</v>
      </c>
      <c r="J20" s="42" t="n">
        <v>60.2</v>
      </c>
      <c r="K20" s="42" t="n">
        <v>16.8</v>
      </c>
      <c r="L20" s="23" t="inlineStr">
        <is>
          <t>Moderate</t>
        </is>
      </c>
    </row>
    <row r="21" ht="16" customHeight="1">
      <c r="B21" s="19" t="inlineStr">
        <is>
          <t>TRC</t>
        </is>
      </c>
      <c r="C21" s="20" t="inlineStr">
        <is>
          <t>Tejon Ranch Co.</t>
        </is>
      </c>
      <c r="D21" s="48" t="inlineStr">
        <is>
          <t>Small Cap</t>
        </is>
      </c>
      <c r="E21" s="36" t="n">
        <v>63.5</v>
      </c>
      <c r="F21" s="36" t="n">
        <v>69.40000000000001</v>
      </c>
      <c r="G21" s="36" t="n">
        <v>57.8</v>
      </c>
      <c r="H21" s="36" t="n">
        <v>75.90000000000001</v>
      </c>
      <c r="I21" s="36" t="n">
        <v>75.90000000000001</v>
      </c>
      <c r="J21" s="36" t="n">
        <v>57.8</v>
      </c>
      <c r="K21" s="36" t="n">
        <v>18.10000000000001</v>
      </c>
      <c r="L21" s="23" t="inlineStr">
        <is>
          <t>Moderate</t>
        </is>
      </c>
    </row>
    <row r="22" ht="16" customHeight="1">
      <c r="B22" s="24" t="inlineStr">
        <is>
          <t>CEVA</t>
        </is>
      </c>
      <c r="C22" s="25" t="inlineStr">
        <is>
          <t>CEVA, Inc.</t>
        </is>
      </c>
      <c r="D22" s="50" t="inlineStr">
        <is>
          <t>Small Cap</t>
        </is>
      </c>
      <c r="E22" s="42" t="n">
        <v>62.2</v>
      </c>
      <c r="F22" s="42" t="n">
        <v>62.7</v>
      </c>
      <c r="G22" s="42" t="n">
        <v>66.7</v>
      </c>
      <c r="H22" s="42" t="n">
        <v>59.1</v>
      </c>
      <c r="I22" s="42" t="n">
        <v>66.7</v>
      </c>
      <c r="J22" s="42" t="n">
        <v>59.1</v>
      </c>
      <c r="K22" s="42" t="n">
        <v>7.600000000000001</v>
      </c>
      <c r="L22" s="90" t="inlineStr">
        <is>
          <t>Stable</t>
        </is>
      </c>
    </row>
    <row r="23" ht="16" customHeight="1">
      <c r="B23" s="19" t="inlineStr">
        <is>
          <t>KVHI</t>
        </is>
      </c>
      <c r="C23" s="20" t="inlineStr">
        <is>
          <t>KVH Industries, Inc.</t>
        </is>
      </c>
      <c r="D23" s="48" t="inlineStr">
        <is>
          <t>Nano Cap</t>
        </is>
      </c>
      <c r="E23" s="36" t="n">
        <v>62.1</v>
      </c>
      <c r="F23" s="36" t="n">
        <v>58.4</v>
      </c>
      <c r="G23" s="36" t="n">
        <v>64.3</v>
      </c>
      <c r="H23" s="36" t="n">
        <v>67.90000000000001</v>
      </c>
      <c r="I23" s="36" t="n">
        <v>67.90000000000001</v>
      </c>
      <c r="J23" s="36" t="n">
        <v>58.4</v>
      </c>
      <c r="K23" s="36" t="n">
        <v>9.500000000000007</v>
      </c>
      <c r="L23" s="90" t="inlineStr">
        <is>
          <t>Stable</t>
        </is>
      </c>
    </row>
    <row r="24" ht="16" customHeight="1">
      <c r="B24" s="24" t="inlineStr">
        <is>
          <t>RFIL</t>
        </is>
      </c>
      <c r="C24" s="25" t="inlineStr">
        <is>
          <t>RF Industries, Ltd.</t>
        </is>
      </c>
      <c r="D24" s="50" t="inlineStr">
        <is>
          <t>Nano Cap</t>
        </is>
      </c>
      <c r="E24" s="42" t="n">
        <v>62.1</v>
      </c>
      <c r="F24" s="42" t="n">
        <v>65.7</v>
      </c>
      <c r="G24" s="42" t="n">
        <v>56.3</v>
      </c>
      <c r="H24" s="42" t="n">
        <v>66.8</v>
      </c>
      <c r="I24" s="42" t="n">
        <v>66.8</v>
      </c>
      <c r="J24" s="42" t="n">
        <v>56.3</v>
      </c>
      <c r="K24" s="42" t="n">
        <v>10.5</v>
      </c>
      <c r="L24" s="23" t="inlineStr">
        <is>
          <t>Moderate</t>
        </is>
      </c>
    </row>
    <row r="25" ht="16" customHeight="1">
      <c r="B25" s="19" t="inlineStr">
        <is>
          <t>ADEA</t>
        </is>
      </c>
      <c r="C25" s="20" t="inlineStr">
        <is>
          <t>Adeia Inc.</t>
        </is>
      </c>
      <c r="D25" s="48" t="inlineStr">
        <is>
          <t>Breakout</t>
        </is>
      </c>
      <c r="E25" s="36" t="n">
        <v>61.8</v>
      </c>
      <c r="F25" s="36" t="n">
        <v>75.09999999999999</v>
      </c>
      <c r="G25" s="36" t="n">
        <v>51.2</v>
      </c>
      <c r="H25" s="36" t="n">
        <v>64.90000000000001</v>
      </c>
      <c r="I25" s="36" t="n">
        <v>75.09999999999999</v>
      </c>
      <c r="J25" s="36" t="n">
        <v>51.2</v>
      </c>
      <c r="K25" s="36" t="n">
        <v>23.89999999999999</v>
      </c>
      <c r="L25" s="27" t="inlineStr">
        <is>
          <t>Sensitive</t>
        </is>
      </c>
    </row>
    <row r="26" ht="16" customHeight="1">
      <c r="B26" s="24" t="inlineStr">
        <is>
          <t>LAW</t>
        </is>
      </c>
      <c r="C26" s="25" t="inlineStr">
        <is>
          <t>CS Disco, Inc.</t>
        </is>
      </c>
      <c r="D26" s="50" t="inlineStr">
        <is>
          <t>Nano Cap</t>
        </is>
      </c>
      <c r="E26" s="42" t="n">
        <v>61.6</v>
      </c>
      <c r="F26" s="42" t="n">
        <v>47.5</v>
      </c>
      <c r="G26" s="42" t="n">
        <v>71.8</v>
      </c>
      <c r="H26" s="42" t="n">
        <v>59.9</v>
      </c>
      <c r="I26" s="42" t="n">
        <v>71.8</v>
      </c>
      <c r="J26" s="42" t="n">
        <v>47.5</v>
      </c>
      <c r="K26" s="42" t="n">
        <v>24.3</v>
      </c>
      <c r="L26" s="27" t="inlineStr">
        <is>
          <t>Sensitive</t>
        </is>
      </c>
    </row>
    <row r="27" ht="16" customHeight="1">
      <c r="B27" s="19" t="inlineStr">
        <is>
          <t>ASYS</t>
        </is>
      </c>
      <c r="C27" s="20" t="inlineStr">
        <is>
          <t>Amtech Systems, Inc.</t>
        </is>
      </c>
      <c r="D27" s="48" t="inlineStr">
        <is>
          <t>Nano Cap</t>
        </is>
      </c>
      <c r="E27" s="36" t="n">
        <v>59.9</v>
      </c>
      <c r="F27" s="36" t="n">
        <v>62.4</v>
      </c>
      <c r="G27" s="36" t="n">
        <v>58.6</v>
      </c>
      <c r="H27" s="36" t="n">
        <v>65.2</v>
      </c>
      <c r="I27" s="36" t="n">
        <v>65.2</v>
      </c>
      <c r="J27" s="36" t="n">
        <v>58.6</v>
      </c>
      <c r="K27" s="36" t="n">
        <v>6.600000000000001</v>
      </c>
      <c r="L27" s="90" t="inlineStr">
        <is>
          <t>Stable</t>
        </is>
      </c>
    </row>
    <row r="28" ht="16" customHeight="1">
      <c r="B28" s="24" t="inlineStr">
        <is>
          <t>DCI</t>
        </is>
      </c>
      <c r="C28" s="25" t="inlineStr">
        <is>
          <t>Donaldson Company, Inc.</t>
        </is>
      </c>
      <c r="D28" s="50" t="inlineStr">
        <is>
          <t>Breakout</t>
        </is>
      </c>
      <c r="E28" s="42" t="n">
        <v>59.6</v>
      </c>
      <c r="F28" s="42" t="n">
        <v>79.40000000000001</v>
      </c>
      <c r="G28" s="42" t="n">
        <v>49.9</v>
      </c>
      <c r="H28" s="42" t="n">
        <v>59.9</v>
      </c>
      <c r="I28" s="42" t="n">
        <v>79.40000000000001</v>
      </c>
      <c r="J28" s="42" t="n">
        <v>49.9</v>
      </c>
      <c r="K28" s="42" t="n">
        <v>29.50000000000001</v>
      </c>
      <c r="L28" s="27" t="inlineStr">
        <is>
          <t>Sensitive</t>
        </is>
      </c>
    </row>
    <row r="29" ht="16" customHeight="1">
      <c r="B29" s="19" t="inlineStr">
        <is>
          <t>VPG</t>
        </is>
      </c>
      <c r="C29" s="20" t="inlineStr">
        <is>
          <t>Vishay Precision Group, Inc.</t>
        </is>
      </c>
      <c r="D29" s="48" t="inlineStr">
        <is>
          <t>Small Cap</t>
        </is>
      </c>
      <c r="E29" s="36" t="n">
        <v>59.1</v>
      </c>
      <c r="F29" s="36" t="n">
        <v>66.2</v>
      </c>
      <c r="G29" s="36" t="n">
        <v>53.4</v>
      </c>
      <c r="H29" s="36" t="n">
        <v>72.8</v>
      </c>
      <c r="I29" s="36" t="n">
        <v>72.8</v>
      </c>
      <c r="J29" s="36" t="n">
        <v>53.4</v>
      </c>
      <c r="K29" s="36" t="n">
        <v>19.4</v>
      </c>
      <c r="L29" s="23" t="inlineStr">
        <is>
          <t>Moderate</t>
        </is>
      </c>
    </row>
    <row r="30" ht="16" customHeight="1">
      <c r="B30" s="24" t="inlineStr">
        <is>
          <t>MNTK</t>
        </is>
      </c>
      <c r="C30" s="25" t="inlineStr">
        <is>
          <t>Montauk Renewables, Inc.</t>
        </is>
      </c>
      <c r="D30" s="50" t="inlineStr">
        <is>
          <t>Small Cap</t>
        </is>
      </c>
      <c r="E30" s="42" t="n">
        <v>58.4</v>
      </c>
      <c r="F30" s="42" t="n">
        <v>67.5</v>
      </c>
      <c r="G30" s="42" t="n">
        <v>60.7</v>
      </c>
      <c r="H30" s="42" t="n">
        <v>58.6</v>
      </c>
      <c r="I30" s="42" t="n">
        <v>67.5</v>
      </c>
      <c r="J30" s="42" t="n">
        <v>58.4</v>
      </c>
      <c r="K30" s="42" t="n">
        <v>9.100000000000001</v>
      </c>
      <c r="L30" s="90" t="inlineStr">
        <is>
          <t>Stable</t>
        </is>
      </c>
    </row>
    <row r="31" ht="16" customHeight="1">
      <c r="B31" s="19" t="inlineStr">
        <is>
          <t>BCO</t>
        </is>
      </c>
      <c r="C31" s="20" t="inlineStr">
        <is>
          <t>The Brink's Company</t>
        </is>
      </c>
      <c r="D31" s="48" t="inlineStr">
        <is>
          <t>Breakout</t>
        </is>
      </c>
      <c r="E31" s="36" t="n">
        <v>57.8</v>
      </c>
      <c r="F31" s="36" t="n">
        <v>72.09999999999999</v>
      </c>
      <c r="G31" s="36" t="n">
        <v>55.1</v>
      </c>
      <c r="H31" s="36" t="n">
        <v>51.9</v>
      </c>
      <c r="I31" s="36" t="n">
        <v>72.09999999999999</v>
      </c>
      <c r="J31" s="36" t="n">
        <v>51.9</v>
      </c>
      <c r="K31" s="36" t="n">
        <v>20.2</v>
      </c>
      <c r="L31" s="27" t="inlineStr">
        <is>
          <t>Sensitive</t>
        </is>
      </c>
    </row>
    <row r="32" ht="16" customHeight="1">
      <c r="B32" s="24" t="inlineStr">
        <is>
          <t>NOVTU</t>
        </is>
      </c>
      <c r="C32" s="25" t="inlineStr">
        <is>
          <t>Novanta Inc. Tangible Equity Units</t>
        </is>
      </c>
      <c r="D32" s="50" t="inlineStr">
        <is>
          <t>Breakout</t>
        </is>
      </c>
      <c r="E32" s="42" t="n">
        <v>57.8</v>
      </c>
      <c r="F32" s="42" t="n">
        <v>63.1</v>
      </c>
      <c r="G32" s="42" t="n">
        <v>55.2</v>
      </c>
      <c r="H32" s="42" t="n">
        <v>52.3</v>
      </c>
      <c r="I32" s="42" t="n">
        <v>63.1</v>
      </c>
      <c r="J32" s="42" t="n">
        <v>52.3</v>
      </c>
      <c r="K32" s="42" t="n">
        <v>10.8</v>
      </c>
      <c r="L32" s="23" t="inlineStr">
        <is>
          <t>Moderate</t>
        </is>
      </c>
    </row>
    <row r="33" ht="16" customHeight="1">
      <c r="B33" s="19" t="inlineStr">
        <is>
          <t>CACI</t>
        </is>
      </c>
      <c r="C33" s="20" t="inlineStr">
        <is>
          <t>CACI International Inc</t>
        </is>
      </c>
      <c r="D33" s="48" t="inlineStr">
        <is>
          <t>Breakout</t>
        </is>
      </c>
      <c r="E33" s="36" t="n">
        <v>57.8</v>
      </c>
      <c r="F33" s="36" t="n">
        <v>76.90000000000001</v>
      </c>
      <c r="G33" s="36" t="n">
        <v>47</v>
      </c>
      <c r="H33" s="36" t="n">
        <v>61.3</v>
      </c>
      <c r="I33" s="36" t="n">
        <v>76.90000000000001</v>
      </c>
      <c r="J33" s="36" t="n">
        <v>47</v>
      </c>
      <c r="K33" s="36" t="n">
        <v>29.90000000000001</v>
      </c>
      <c r="L33" s="27" t="inlineStr">
        <is>
          <t>Sensitive</t>
        </is>
      </c>
    </row>
    <row r="34" ht="16" customHeight="1">
      <c r="B34" s="24" t="inlineStr">
        <is>
          <t>RAL</t>
        </is>
      </c>
      <c r="C34" s="25" t="inlineStr">
        <is>
          <t>Ralliant Corp</t>
        </is>
      </c>
      <c r="D34" s="50" t="inlineStr">
        <is>
          <t>Breakout</t>
        </is>
      </c>
      <c r="E34" s="42" t="n">
        <v>57.6</v>
      </c>
      <c r="F34" s="42" t="n">
        <v>57.6</v>
      </c>
      <c r="G34" s="42" t="n">
        <v>60.5</v>
      </c>
      <c r="H34" s="42" t="n">
        <v>55.6</v>
      </c>
      <c r="I34" s="42" t="n">
        <v>60.5</v>
      </c>
      <c r="J34" s="42" t="n">
        <v>55.6</v>
      </c>
      <c r="K34" s="42" t="n">
        <v>4.899999999999999</v>
      </c>
      <c r="L34" s="90" t="inlineStr">
        <is>
          <t>Stable</t>
        </is>
      </c>
    </row>
    <row r="35" ht="16" customHeight="1">
      <c r="B35" s="19" t="inlineStr">
        <is>
          <t>EVLV</t>
        </is>
      </c>
      <c r="C35" s="20" t="inlineStr">
        <is>
          <t>Evolv Technologies Holdings, Inc.</t>
        </is>
      </c>
      <c r="D35" s="48" t="inlineStr">
        <is>
          <t>Small Cap</t>
        </is>
      </c>
      <c r="E35" s="36" t="n">
        <v>57.5</v>
      </c>
      <c r="F35" s="36" t="n">
        <v>74</v>
      </c>
      <c r="G35" s="36" t="n">
        <v>44</v>
      </c>
      <c r="H35" s="36" t="n">
        <v>68.40000000000001</v>
      </c>
      <c r="I35" s="36" t="n">
        <v>74</v>
      </c>
      <c r="J35" s="36" t="n">
        <v>44</v>
      </c>
      <c r="K35" s="36" t="n">
        <v>30</v>
      </c>
      <c r="L35" s="27" t="inlineStr">
        <is>
          <t>Sensitive</t>
        </is>
      </c>
    </row>
    <row r="36" ht="16" customHeight="1">
      <c r="B36" s="24" t="inlineStr">
        <is>
          <t>ADTN</t>
        </is>
      </c>
      <c r="C36" s="25" t="inlineStr">
        <is>
          <t>ADTRAN Holdings Inc.</t>
        </is>
      </c>
      <c r="D36" s="50" t="inlineStr">
        <is>
          <t>Small Cap</t>
        </is>
      </c>
      <c r="E36" s="42" t="n">
        <v>57.4</v>
      </c>
      <c r="F36" s="42" t="n">
        <v>76.7</v>
      </c>
      <c r="G36" s="42" t="n">
        <v>48</v>
      </c>
      <c r="H36" s="42" t="n">
        <v>56.8</v>
      </c>
      <c r="I36" s="42" t="n">
        <v>76.7</v>
      </c>
      <c r="J36" s="42" t="n">
        <v>48</v>
      </c>
      <c r="K36" s="42" t="n">
        <v>28.7</v>
      </c>
      <c r="L36" s="27" t="inlineStr">
        <is>
          <t>Sensitive</t>
        </is>
      </c>
    </row>
    <row r="37" ht="16" customHeight="1">
      <c r="B37" s="19" t="inlineStr">
        <is>
          <t>BDC</t>
        </is>
      </c>
      <c r="C37" s="20" t="inlineStr">
        <is>
          <t>Belden Inc.</t>
        </is>
      </c>
      <c r="D37" s="48" t="inlineStr">
        <is>
          <t>Breakout</t>
        </is>
      </c>
      <c r="E37" s="36" t="n">
        <v>57.4</v>
      </c>
      <c r="F37" s="36" t="n">
        <v>67.3</v>
      </c>
      <c r="G37" s="36" t="n">
        <v>48.8</v>
      </c>
      <c r="H37" s="36" t="n">
        <v>62.4</v>
      </c>
      <c r="I37" s="36" t="n">
        <v>67.3</v>
      </c>
      <c r="J37" s="36" t="n">
        <v>48.8</v>
      </c>
      <c r="K37" s="36" t="n">
        <v>18.5</v>
      </c>
      <c r="L37" s="23" t="inlineStr">
        <is>
          <t>Moderate</t>
        </is>
      </c>
    </row>
    <row r="38" ht="16" customHeight="1">
      <c r="B38" s="24" t="inlineStr">
        <is>
          <t>CMCO</t>
        </is>
      </c>
      <c r="C38" s="25" t="inlineStr">
        <is>
          <t>Columbus McKinnon Corporation</t>
        </is>
      </c>
      <c r="D38" s="50" t="inlineStr">
        <is>
          <t>Small Cap</t>
        </is>
      </c>
      <c r="E38" s="42" t="n">
        <v>57.1</v>
      </c>
      <c r="F38" s="42" t="n">
        <v>72.2</v>
      </c>
      <c r="G38" s="42" t="n">
        <v>51.9</v>
      </c>
      <c r="H38" s="42" t="n">
        <v>66</v>
      </c>
      <c r="I38" s="42" t="n">
        <v>72.2</v>
      </c>
      <c r="J38" s="42" t="n">
        <v>51.9</v>
      </c>
      <c r="K38" s="42" t="n">
        <v>20.3</v>
      </c>
      <c r="L38" s="27" t="inlineStr">
        <is>
          <t>Sensitive</t>
        </is>
      </c>
    </row>
    <row r="39" ht="16" customHeight="1">
      <c r="B39" s="19" t="inlineStr">
        <is>
          <t>LTRX</t>
        </is>
      </c>
      <c r="C39" s="20" t="inlineStr">
        <is>
          <t>Lantronix, Inc.</t>
        </is>
      </c>
      <c r="D39" s="48" t="inlineStr">
        <is>
          <t>Nano Cap</t>
        </is>
      </c>
      <c r="E39" s="36" t="n">
        <v>56.8</v>
      </c>
      <c r="F39" s="36" t="n">
        <v>61.6</v>
      </c>
      <c r="G39" s="36" t="n">
        <v>45</v>
      </c>
      <c r="H39" s="36" t="n">
        <v>70.59999999999999</v>
      </c>
      <c r="I39" s="36" t="n">
        <v>70.59999999999999</v>
      </c>
      <c r="J39" s="36" t="n">
        <v>45</v>
      </c>
      <c r="K39" s="36" t="n">
        <v>25.59999999999999</v>
      </c>
      <c r="L39" s="27" t="inlineStr">
        <is>
          <t>Sensitive</t>
        </is>
      </c>
    </row>
    <row r="40" ht="16" customHeight="1">
      <c r="B40" s="24" t="inlineStr">
        <is>
          <t>KD</t>
        </is>
      </c>
      <c r="C40" s="25" t="inlineStr">
        <is>
          <t>Kyndryl Holdings, Inc.</t>
        </is>
      </c>
      <c r="D40" s="50" t="inlineStr">
        <is>
          <t>Breakout</t>
        </is>
      </c>
      <c r="E40" s="42" t="n">
        <v>55.2</v>
      </c>
      <c r="F40" s="42" t="n">
        <v>61.6</v>
      </c>
      <c r="G40" s="42" t="n">
        <v>50.8</v>
      </c>
      <c r="H40" s="42" t="n">
        <v>68.59999999999999</v>
      </c>
      <c r="I40" s="42" t="n">
        <v>68.59999999999999</v>
      </c>
      <c r="J40" s="42" t="n">
        <v>50.8</v>
      </c>
      <c r="K40" s="42" t="n">
        <v>17.8</v>
      </c>
      <c r="L40" s="23" t="inlineStr">
        <is>
          <t>Moderate</t>
        </is>
      </c>
    </row>
    <row r="41" ht="16" customHeight="1">
      <c r="B41" s="19" t="inlineStr">
        <is>
          <t>NL</t>
        </is>
      </c>
      <c r="C41" s="20" t="inlineStr">
        <is>
          <t>NLI Holdings, Inc.</t>
        </is>
      </c>
      <c r="D41" s="48" t="inlineStr">
        <is>
          <t>Small Cap</t>
        </is>
      </c>
      <c r="E41" s="36" t="n">
        <v>55</v>
      </c>
      <c r="F41" s="36" t="n">
        <v>57.8</v>
      </c>
      <c r="G41" s="36" t="n">
        <v>53.1</v>
      </c>
      <c r="H41" s="36" t="n">
        <v>58.8</v>
      </c>
      <c r="I41" s="36" t="n">
        <v>58.8</v>
      </c>
      <c r="J41" s="36" t="n">
        <v>53.1</v>
      </c>
      <c r="K41" s="36" t="n">
        <v>5.699999999999996</v>
      </c>
      <c r="L41" s="90" t="inlineStr">
        <is>
          <t>Stable</t>
        </is>
      </c>
    </row>
    <row r="42" ht="16" customHeight="1">
      <c r="B42" s="24" t="inlineStr">
        <is>
          <t>ROC</t>
        </is>
      </c>
      <c r="C42" s="25" t="inlineStr">
        <is>
          <t>Rank One Computing Corp.</t>
        </is>
      </c>
      <c r="D42" s="50" t="inlineStr">
        <is>
          <t>Nano Cap</t>
        </is>
      </c>
      <c r="E42" s="42" t="n">
        <v>54.2</v>
      </c>
      <c r="F42" s="42" t="n">
        <v>47.3</v>
      </c>
      <c r="G42" s="42" t="n">
        <v>48.9</v>
      </c>
      <c r="H42" s="42" t="n">
        <v>72.7</v>
      </c>
      <c r="I42" s="42" t="n">
        <v>72.7</v>
      </c>
      <c r="J42" s="42" t="n">
        <v>47.3</v>
      </c>
      <c r="K42" s="42" t="n">
        <v>25.40000000000001</v>
      </c>
      <c r="L42" s="27" t="inlineStr">
        <is>
          <t>Sensitive</t>
        </is>
      </c>
    </row>
    <row r="43" ht="16" customHeight="1">
      <c r="B43" s="19" t="inlineStr">
        <is>
          <t>TGEN</t>
        </is>
      </c>
      <c r="C43" s="20" t="inlineStr">
        <is>
          <t>Tecogen Inc.</t>
        </is>
      </c>
      <c r="D43" s="48" t="inlineStr">
        <is>
          <t>Nano Cap</t>
        </is>
      </c>
      <c r="E43" s="36" t="n">
        <v>53.9</v>
      </c>
      <c r="F43" s="36" t="n">
        <v>41.8</v>
      </c>
      <c r="G43" s="36" t="n">
        <v>62.8</v>
      </c>
      <c r="H43" s="36" t="n">
        <v>59.9</v>
      </c>
      <c r="I43" s="36" t="n">
        <v>62.8</v>
      </c>
      <c r="J43" s="36" t="n">
        <v>41.8</v>
      </c>
      <c r="K43" s="36" t="n">
        <v>21</v>
      </c>
      <c r="L43" s="27" t="inlineStr">
        <is>
          <t>Sensitive</t>
        </is>
      </c>
    </row>
    <row r="44" ht="16" customHeight="1">
      <c r="B44" s="24" t="inlineStr">
        <is>
          <t>BKTI</t>
        </is>
      </c>
      <c r="C44" s="25" t="inlineStr">
        <is>
          <t>BK Technologies Corporation</t>
        </is>
      </c>
      <c r="D44" s="50" t="inlineStr">
        <is>
          <t>Nano Cap</t>
        </is>
      </c>
      <c r="E44" s="42" t="n">
        <v>52</v>
      </c>
      <c r="F44" s="42" t="n">
        <v>62.1</v>
      </c>
      <c r="G44" s="42" t="n">
        <v>40.3</v>
      </c>
      <c r="H44" s="42" t="n">
        <v>65.5</v>
      </c>
      <c r="I44" s="42" t="n">
        <v>65.5</v>
      </c>
      <c r="J44" s="42" t="n">
        <v>40.3</v>
      </c>
      <c r="K44" s="42" t="n">
        <v>25.2</v>
      </c>
      <c r="L44" s="27" t="inlineStr">
        <is>
          <t>Sensitive</t>
        </is>
      </c>
    </row>
    <row r="46">
      <c r="B46" s="91" t="inlineStr">
        <is>
          <t>Note: Stocks with high Score Range are ranking artifacts — their attractiveness depends heavily on your investment philosophy.</t>
        </is>
      </c>
    </row>
    <row r="48" ht="22" customHeight="1">
      <c r="B48" s="16" t="inlineStr">
        <is>
          <t>TORNADO ANALYSIS — SWBI (Score Impact of ±10% Weight Changes)</t>
        </is>
      </c>
      <c r="C48" s="17" t="n"/>
      <c r="D48" s="17" t="n"/>
      <c r="E48" s="17" t="n"/>
      <c r="F48" s="17" t="n"/>
      <c r="G48" s="17" t="n"/>
      <c r="H48" s="17" t="n"/>
      <c r="I48" s="17" t="n"/>
      <c r="J48" s="17" t="n"/>
      <c r="K48" s="17" t="n"/>
      <c r="L48" s="17" t="n"/>
      <c r="M48" s="17" t="n"/>
    </row>
    <row r="49" ht="18" customHeight="1">
      <c r="B49" s="18" t="inlineStr">
        <is>
          <t>Component</t>
        </is>
      </c>
      <c r="C49" s="18" t="inlineStr">
        <is>
          <t>−10% Impact</t>
        </is>
      </c>
      <c r="D49" s="18" t="inlineStr">
        <is>
          <t>+10% Impact</t>
        </is>
      </c>
    </row>
    <row r="50" ht="16" customHeight="1">
      <c r="B50" s="20" t="inlineStr">
        <is>
          <t>Composite</t>
        </is>
      </c>
      <c r="C50" s="92" t="n">
        <v>0</v>
      </c>
      <c r="D50" s="92" t="n">
        <v>0.34</v>
      </c>
    </row>
    <row r="51" ht="16" customHeight="1">
      <c r="B51" s="25" t="inlineStr">
        <is>
          <t>Fingerprint</t>
        </is>
      </c>
      <c r="C51" s="93" t="n">
        <v>-1.71</v>
      </c>
      <c r="D51" s="93" t="n">
        <v>1.4</v>
      </c>
    </row>
    <row r="52" ht="16" customHeight="1">
      <c r="B52" s="20" t="inlineStr">
        <is>
          <t>WPS</t>
        </is>
      </c>
      <c r="C52" s="92" t="n">
        <v>0.95</v>
      </c>
      <c r="D52" s="92" t="n">
        <v>-0.78</v>
      </c>
    </row>
    <row r="53" ht="16" customHeight="1">
      <c r="B53" s="25" t="inlineStr">
        <is>
          <t>Insider Flow</t>
        </is>
      </c>
      <c r="C53" s="93" t="n">
        <v>2.22</v>
      </c>
      <c r="D53" s="93" t="n">
        <v>-1.82</v>
      </c>
    </row>
  </sheetData>
  <mergeCells count="6">
    <mergeCell ref="B48:M48"/>
    <mergeCell ref="A1:M1"/>
    <mergeCell ref="B46:M46"/>
    <mergeCell ref="B13:M13"/>
    <mergeCell ref="B4:M4"/>
    <mergeCell ref="A2:M2"/>
  </mergeCells>
  <conditionalFormatting sqref="E15:E44">
    <cfRule type="colorScale" priority="1">
      <colorScale>
        <cfvo type="num" val="0"/>
        <cfvo type="num" val="50"/>
        <cfvo type="num" val="100"/>
        <color rgb="00C1121F"/>
        <color rgb="00F9C74F"/>
        <color rgb="001A6B3C"/>
      </colorScale>
    </cfRule>
  </conditionalFormatting>
  <conditionalFormatting sqref="F15:F44">
    <cfRule type="colorScale" priority="2">
      <colorScale>
        <cfvo type="num" val="0"/>
        <cfvo type="num" val="50"/>
        <cfvo type="num" val="100"/>
        <color rgb="00C1121F"/>
        <color rgb="00F9C74F"/>
        <color rgb="001A6B3C"/>
      </colorScale>
    </cfRule>
  </conditionalFormatting>
  <conditionalFormatting sqref="G15:G44">
    <cfRule type="colorScale" priority="3">
      <colorScale>
        <cfvo type="num" val="0"/>
        <cfvo type="num" val="50"/>
        <cfvo type="num" val="100"/>
        <color rgb="00C1121F"/>
        <color rgb="00F9C74F"/>
        <color rgb="001A6B3C"/>
      </colorScale>
    </cfRule>
  </conditionalFormatting>
  <conditionalFormatting sqref="H15:H44">
    <cfRule type="colorScale" priority="4">
      <colorScale>
        <cfvo type="num" val="0"/>
        <cfvo type="num" val="50"/>
        <cfvo type="num" val="100"/>
        <color rgb="00C1121F"/>
        <color rgb="00F9C74F"/>
        <color rgb="001A6B3C"/>
      </colorScale>
    </cfRule>
  </conditionalFormatting>
  <conditionalFormatting sqref="K15:K44">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AISP  —  Airship AI Holdings, Inc.</t>
        </is>
      </c>
      <c r="C5" s="38" t="inlineStr">
        <is>
          <t>Nano Cap</t>
        </is>
      </c>
      <c r="D5" s="74" t="inlineStr">
        <is>
          <t>Mkt Cap: $72M</t>
        </is>
      </c>
      <c r="E5" s="95" t="n"/>
      <c r="F5" s="95" t="n"/>
      <c r="G5" s="95" t="n"/>
      <c r="H5" s="95" t="n"/>
      <c r="I5" s="95" t="n"/>
      <c r="J5" s="95" t="n"/>
      <c r="K5" s="95" t="n"/>
    </row>
    <row r="6" ht="16" customHeight="1">
      <c r="A6" s="96" t="inlineStr"/>
      <c r="B6" s="18" t="inlineStr">
        <is>
          <t>Quarter</t>
        </is>
      </c>
      <c r="C6" s="18" t="inlineStr">
        <is>
          <t>2024-03-31</t>
        </is>
      </c>
      <c r="D6" s="18" t="inlineStr">
        <is>
          <t>2024-06-30</t>
        </is>
      </c>
      <c r="E6" s="18" t="inlineStr">
        <is>
          <t>2024-09-30</t>
        </is>
      </c>
      <c r="F6" s="18" t="inlineStr">
        <is>
          <t>2024-12-31</t>
        </is>
      </c>
      <c r="G6" s="18" t="inlineStr">
        <is>
          <t>2025-03-31</t>
        </is>
      </c>
      <c r="H6" s="18" t="inlineStr">
        <is>
          <t>2025-06-30</t>
        </is>
      </c>
      <c r="I6" s="18" t="inlineStr">
        <is>
          <t>2025-09-30</t>
        </is>
      </c>
      <c r="J6" s="18" t="inlineStr">
        <is>
          <t>2025-12-31</t>
        </is>
      </c>
    </row>
    <row r="7" ht="16" customHeight="1">
      <c r="A7" s="96" t="inlineStr"/>
      <c r="B7" s="66" t="inlineStr">
        <is>
          <t>Revenue ($M)</t>
        </is>
      </c>
      <c r="C7" s="97" t="n">
        <v>10.575</v>
      </c>
      <c r="D7" s="97" t="n">
        <v>6.401</v>
      </c>
      <c r="E7" s="97" t="n">
        <v>2.868</v>
      </c>
      <c r="F7" s="97" t="n">
        <v>3.206518</v>
      </c>
      <c r="G7" s="97" t="n">
        <v>5.503</v>
      </c>
      <c r="H7" s="97" t="n">
        <v>2.14689</v>
      </c>
      <c r="I7" s="97" t="n">
        <v>1.17745</v>
      </c>
      <c r="J7" s="97" t="n">
        <v>6.493981</v>
      </c>
    </row>
    <row r="8" ht="16" customHeight="1">
      <c r="A8" s="96" t="inlineStr"/>
      <c r="B8" s="94" t="inlineStr">
        <is>
          <t>Gross Margin %</t>
        </is>
      </c>
      <c r="C8" s="71" t="n">
        <v>0.249</v>
      </c>
      <c r="D8" s="71" t="n">
        <v>0.7040000000000001</v>
      </c>
      <c r="E8" s="71" t="n">
        <v>0.7509999999999999</v>
      </c>
      <c r="F8" s="71" t="n">
        <v>0.386</v>
      </c>
      <c r="G8" s="71" t="n">
        <v>0.406</v>
      </c>
      <c r="H8" s="71" t="n">
        <v>0.7140000000000001</v>
      </c>
      <c r="I8" s="71" t="n">
        <v>0.513</v>
      </c>
      <c r="J8" s="71" t="n">
        <v>0.512</v>
      </c>
    </row>
    <row r="9" ht="16" customHeight="1">
      <c r="A9" s="96" t="inlineStr"/>
      <c r="B9" s="25" t="inlineStr">
        <is>
          <t>QoQ Rev Growth</t>
        </is>
      </c>
      <c r="C9" s="50" t="n"/>
      <c r="D9" s="75" t="n">
        <v>-0.3947044917257683</v>
      </c>
      <c r="E9" s="75" t="n">
        <v>-0.5519450085924075</v>
      </c>
      <c r="F9" s="75" t="n">
        <v>0.1180327754532775</v>
      </c>
      <c r="G9" s="75" t="n">
        <v>0.7161918317626784</v>
      </c>
      <c r="H9" s="75" t="n">
        <v>-0.6098691622751227</v>
      </c>
      <c r="I9" s="75" t="n">
        <v>-0.4515555058712836</v>
      </c>
      <c r="J9" s="75" t="n">
        <v>4.515292369102722</v>
      </c>
    </row>
    <row r="10" ht="16" customHeight="1">
      <c r="A10" s="96" t="inlineStr"/>
      <c r="B10" s="20" t="inlineStr">
        <is>
          <t>YoY Rev Growth</t>
        </is>
      </c>
      <c r="C10" s="48" t="n"/>
      <c r="D10" s="48" t="n"/>
      <c r="E10" s="48" t="n"/>
      <c r="F10" s="48" t="n"/>
      <c r="G10" s="71" t="n">
        <v>-0.4796217494089834</v>
      </c>
      <c r="H10" s="71" t="n">
        <v>-0.6646008436181846</v>
      </c>
      <c r="I10" s="71" t="n">
        <v>-0.589452580195258</v>
      </c>
      <c r="J10" s="71" t="n">
        <v>1.025243893843727</v>
      </c>
    </row>
    <row r="11" ht="8" customHeight="1"/>
    <row r="12" ht="18" customHeight="1">
      <c r="A12" s="94" t="inlineStr">
        <is>
          <t>INTT  —  inTEST Corporation</t>
        </is>
      </c>
      <c r="C12" s="38" t="inlineStr">
        <is>
          <t>Nano Cap</t>
        </is>
      </c>
      <c r="D12" s="74" t="inlineStr">
        <is>
          <t>Mkt Cap: $146M</t>
        </is>
      </c>
      <c r="E12" s="95" t="n"/>
      <c r="F12" s="95" t="n"/>
      <c r="G12" s="95" t="n"/>
      <c r="H12" s="95" t="n"/>
      <c r="I12" s="95" t="n"/>
      <c r="J12" s="95" t="n"/>
      <c r="K12" s="95" t="n"/>
    </row>
    <row r="13" ht="16" customHeight="1">
      <c r="A13" s="96"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6" t="inlineStr"/>
      <c r="B14" s="66" t="inlineStr">
        <is>
          <t>Revenue ($M)</t>
        </is>
      </c>
      <c r="C14" s="97" t="n">
        <v>29.824</v>
      </c>
      <c r="D14" s="97" t="n">
        <v>33.991</v>
      </c>
      <c r="E14" s="97" t="n">
        <v>30.272</v>
      </c>
      <c r="F14" s="97" t="n">
        <v>36.603</v>
      </c>
      <c r="G14" s="97" t="n">
        <v>26.637</v>
      </c>
      <c r="H14" s="97" t="n">
        <v>28.13</v>
      </c>
      <c r="I14" s="97" t="n">
        <v>26.236</v>
      </c>
      <c r="J14" s="97" t="n">
        <v>32.822</v>
      </c>
    </row>
    <row r="15" ht="16" customHeight="1">
      <c r="A15" s="96" t="inlineStr"/>
      <c r="B15" s="94" t="inlineStr">
        <is>
          <t>Gross Margin %</t>
        </is>
      </c>
      <c r="C15" s="71" t="n">
        <v>0.4379999999999999</v>
      </c>
      <c r="D15" s="71" t="n">
        <v>0.406</v>
      </c>
      <c r="E15" s="71" t="n">
        <v>0.463</v>
      </c>
      <c r="F15" s="71" t="n">
        <v>0.397</v>
      </c>
      <c r="G15" s="71" t="n">
        <v>0.415</v>
      </c>
      <c r="H15" s="71" t="n">
        <v>0.426</v>
      </c>
      <c r="I15" s="71" t="n">
        <v>0.419</v>
      </c>
      <c r="J15" s="71" t="n">
        <v>0.454</v>
      </c>
    </row>
    <row r="16" ht="16" customHeight="1">
      <c r="A16" s="96" t="inlineStr"/>
      <c r="B16" s="25" t="inlineStr">
        <is>
          <t>QoQ Rev Growth</t>
        </is>
      </c>
      <c r="C16" s="50" t="n"/>
      <c r="D16" s="75" t="n">
        <v>0.1397196888412017</v>
      </c>
      <c r="E16" s="75" t="n">
        <v>-0.1094113147597894</v>
      </c>
      <c r="F16" s="75" t="n">
        <v>0.209137156448203</v>
      </c>
      <c r="G16" s="75" t="n">
        <v>-0.2722727645274978</v>
      </c>
      <c r="H16" s="75" t="n">
        <v>0.05604985546420393</v>
      </c>
      <c r="I16" s="75" t="n">
        <v>-0.06733025239957341</v>
      </c>
      <c r="J16" s="75" t="n">
        <v>0.2510291202927276</v>
      </c>
    </row>
    <row r="17" ht="16" customHeight="1">
      <c r="A17" s="96" t="inlineStr"/>
      <c r="B17" s="20" t="inlineStr">
        <is>
          <t>YoY Rev Growth</t>
        </is>
      </c>
      <c r="C17" s="48" t="n"/>
      <c r="D17" s="48" t="n"/>
      <c r="E17" s="48" t="n"/>
      <c r="F17" s="48" t="n"/>
      <c r="G17" s="71" t="n">
        <v>-0.1068602467811159</v>
      </c>
      <c r="H17" s="71" t="n">
        <v>-0.1724279956459063</v>
      </c>
      <c r="I17" s="71" t="n">
        <v>-0.1333245243128964</v>
      </c>
      <c r="J17" s="71" t="n">
        <v>-0.1032975439171653</v>
      </c>
    </row>
    <row r="18" ht="8" customHeight="1"/>
    <row r="19" ht="18" customHeight="1">
      <c r="A19" s="94" t="inlineStr">
        <is>
          <t>KVHI  —  KVH Industries, Inc.</t>
        </is>
      </c>
      <c r="C19" s="38" t="inlineStr">
        <is>
          <t>Nano Cap</t>
        </is>
      </c>
      <c r="D19" s="74" t="inlineStr">
        <is>
          <t>Mkt Cap: $139M</t>
        </is>
      </c>
      <c r="E19" s="95" t="n"/>
      <c r="F19" s="95" t="n"/>
      <c r="G19" s="95" t="n"/>
      <c r="H19" s="95" t="n"/>
      <c r="I19" s="95" t="n"/>
      <c r="J19" s="95" t="n"/>
      <c r="K19" s="95" t="n"/>
    </row>
    <row r="20" ht="16" customHeight="1">
      <c r="A20" s="96" t="inlineStr"/>
      <c r="B20" s="18" t="inlineStr">
        <is>
          <t>Quarter</t>
        </is>
      </c>
      <c r="C20" s="18" t="inlineStr">
        <is>
          <t>2024-03-31</t>
        </is>
      </c>
      <c r="D20" s="18" t="inlineStr">
        <is>
          <t>2024-06-30</t>
        </is>
      </c>
      <c r="E20" s="18" t="inlineStr">
        <is>
          <t>2024-09-30</t>
        </is>
      </c>
      <c r="F20" s="18" t="inlineStr">
        <is>
          <t>2024-12-31</t>
        </is>
      </c>
      <c r="G20" s="18" t="inlineStr">
        <is>
          <t>2025-03-31</t>
        </is>
      </c>
      <c r="H20" s="18" t="inlineStr">
        <is>
          <t>2025-06-30</t>
        </is>
      </c>
      <c r="I20" s="18" t="inlineStr">
        <is>
          <t>2025-09-30</t>
        </is>
      </c>
      <c r="J20" s="18" t="inlineStr">
        <is>
          <t>2025-12-31</t>
        </is>
      </c>
    </row>
    <row r="21" ht="16" customHeight="1">
      <c r="A21" s="96" t="inlineStr"/>
      <c r="B21" s="66" t="inlineStr">
        <is>
          <t>Revenue ($M)</t>
        </is>
      </c>
      <c r="C21" s="97" t="n">
        <v>29.267</v>
      </c>
      <c r="D21" s="97" t="n">
        <v>28.673</v>
      </c>
      <c r="E21" s="97" t="n">
        <v>28.971</v>
      </c>
      <c r="F21" s="97" t="n">
        <v>26.917</v>
      </c>
      <c r="G21" s="97" t="n">
        <v>25.414</v>
      </c>
      <c r="H21" s="97" t="n">
        <v>26.623</v>
      </c>
      <c r="I21" s="97" t="n">
        <v>28.453</v>
      </c>
      <c r="J21" s="97" t="n">
        <v>30.519</v>
      </c>
    </row>
    <row r="22" ht="16" customHeight="1">
      <c r="A22" s="96" t="inlineStr"/>
      <c r="B22" s="94" t="inlineStr">
        <is>
          <t>Gross Margin %</t>
        </is>
      </c>
      <c r="C22" s="71" t="n">
        <v>0.339</v>
      </c>
      <c r="D22" s="71" t="n">
        <v>0.311</v>
      </c>
      <c r="E22" s="71" t="n">
        <v>0.32</v>
      </c>
      <c r="F22" s="71" t="n">
        <v>0.265</v>
      </c>
      <c r="G22" s="71" t="n">
        <v>0.293</v>
      </c>
      <c r="H22" s="71" t="n">
        <v>0.343</v>
      </c>
      <c r="I22" s="71" t="n">
        <v>0.067</v>
      </c>
      <c r="J22" s="71" t="n">
        <v>0.295</v>
      </c>
    </row>
    <row r="23" ht="16" customHeight="1">
      <c r="A23" s="96" t="inlineStr"/>
      <c r="B23" s="25" t="inlineStr">
        <is>
          <t>QoQ Rev Growth</t>
        </is>
      </c>
      <c r="C23" s="50" t="n"/>
      <c r="D23" s="75" t="n">
        <v>-0.02029589640209109</v>
      </c>
      <c r="E23" s="75" t="n">
        <v>0.01039305269765982</v>
      </c>
      <c r="F23" s="75" t="n">
        <v>-0.07089848469158815</v>
      </c>
      <c r="G23" s="75" t="n">
        <v>-0.05583831779173013</v>
      </c>
      <c r="H23" s="75" t="n">
        <v>0.04757220429684426</v>
      </c>
      <c r="I23" s="75" t="n">
        <v>0.06873755775081697</v>
      </c>
      <c r="J23" s="75" t="n">
        <v>0.07261097248093347</v>
      </c>
    </row>
    <row r="24" ht="16" customHeight="1">
      <c r="A24" s="96" t="inlineStr"/>
      <c r="B24" s="20" t="inlineStr">
        <is>
          <t>YoY Rev Growth</t>
        </is>
      </c>
      <c r="C24" s="48" t="n"/>
      <c r="D24" s="48" t="n"/>
      <c r="E24" s="48" t="n"/>
      <c r="F24" s="48" t="n"/>
      <c r="G24" s="71" t="n">
        <v>-0.1316499812075033</v>
      </c>
      <c r="H24" s="71" t="n">
        <v>-0.07149583231611621</v>
      </c>
      <c r="I24" s="71" t="n">
        <v>-0.01787994891443167</v>
      </c>
      <c r="J24" s="71" t="n">
        <v>0.1338187762380652</v>
      </c>
    </row>
    <row r="25" ht="8" customHeight="1"/>
    <row r="26" ht="18" customHeight="1">
      <c r="A26" s="94" t="inlineStr">
        <is>
          <t>RFIL  —  RF Industries, Ltd.</t>
        </is>
      </c>
      <c r="C26" s="38" t="inlineStr">
        <is>
          <t>Nano Cap</t>
        </is>
      </c>
      <c r="D26" s="74" t="inlineStr">
        <is>
          <t>Mkt Cap: $117M</t>
        </is>
      </c>
      <c r="E26" s="95" t="n"/>
      <c r="F26" s="95" t="n"/>
      <c r="G26" s="95" t="n"/>
      <c r="H26" s="95" t="n"/>
      <c r="I26" s="95" t="n"/>
      <c r="J26" s="95" t="n"/>
      <c r="K26" s="95" t="n"/>
    </row>
    <row r="27" ht="16" customHeight="1">
      <c r="A27" s="96"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6" t="inlineStr"/>
      <c r="B28" s="66" t="inlineStr">
        <is>
          <t>Revenue ($M)</t>
        </is>
      </c>
      <c r="C28" s="97" t="n">
        <v>13.458</v>
      </c>
      <c r="D28" s="97" t="n">
        <v>16.11</v>
      </c>
      <c r="E28" s="97" t="n">
        <v>16.836</v>
      </c>
      <c r="F28" s="97" t="n">
        <v>18.453</v>
      </c>
      <c r="G28" s="97" t="n">
        <v>19.2</v>
      </c>
      <c r="H28" s="97" t="n">
        <v>18.91</v>
      </c>
      <c r="I28" s="97" t="n">
        <v>19.79</v>
      </c>
      <c r="J28" s="97" t="n">
        <v>22.686</v>
      </c>
    </row>
    <row r="29" ht="16" customHeight="1">
      <c r="A29" s="96" t="inlineStr"/>
      <c r="B29" s="94" t="inlineStr">
        <is>
          <t>Gross Margin %</t>
        </is>
      </c>
      <c r="C29" s="71" t="n">
        <v>0.188</v>
      </c>
      <c r="D29" s="71" t="n">
        <v>0.26</v>
      </c>
      <c r="E29" s="71" t="n">
        <v>0.256</v>
      </c>
      <c r="F29" s="71" t="n">
        <v>0.274</v>
      </c>
      <c r="G29" s="71" t="n">
        <v>0.298</v>
      </c>
      <c r="H29" s="71" t="n">
        <v>0.315</v>
      </c>
      <c r="I29" s="71" t="n">
        <v>0.34</v>
      </c>
      <c r="J29" s="71" t="n">
        <v>0.368</v>
      </c>
    </row>
    <row r="30" ht="16" customHeight="1">
      <c r="A30" s="96" t="inlineStr"/>
      <c r="B30" s="25" t="inlineStr">
        <is>
          <t>QoQ Rev Growth</t>
        </is>
      </c>
      <c r="C30" s="50" t="n"/>
      <c r="D30" s="75" t="n">
        <v>0.1970575122603656</v>
      </c>
      <c r="E30" s="75" t="n">
        <v>0.04506517690875233</v>
      </c>
      <c r="F30" s="75" t="n">
        <v>0.09604419101924448</v>
      </c>
      <c r="G30" s="75" t="n">
        <v>0.04048122256543651</v>
      </c>
      <c r="H30" s="75" t="n">
        <v>-0.01510416666666667</v>
      </c>
      <c r="I30" s="75" t="n">
        <v>0.04653622421998942</v>
      </c>
      <c r="J30" s="75" t="n">
        <v>0.1463365336028297</v>
      </c>
    </row>
    <row r="31" ht="16" customHeight="1">
      <c r="A31" s="96" t="inlineStr"/>
      <c r="B31" s="20" t="inlineStr">
        <is>
          <t>YoY Rev Growth</t>
        </is>
      </c>
      <c r="C31" s="48" t="n"/>
      <c r="D31" s="48" t="n"/>
      <c r="E31" s="48" t="n"/>
      <c r="F31" s="48" t="n"/>
      <c r="G31" s="71" t="n">
        <v>0.4266607222469906</v>
      </c>
      <c r="H31" s="71" t="n">
        <v>0.1738050900062073</v>
      </c>
      <c r="I31" s="71" t="n">
        <v>0.1754573532905678</v>
      </c>
      <c r="J31" s="71" t="n">
        <v>0.2293935945374736</v>
      </c>
    </row>
    <row r="32" ht="8" customHeight="1"/>
    <row r="33" ht="18" customHeight="1">
      <c r="A33" s="94" t="inlineStr">
        <is>
          <t>LAW  —  CS Disco, Inc.</t>
        </is>
      </c>
      <c r="C33" s="38" t="inlineStr">
        <is>
          <t>Nano Cap</t>
        </is>
      </c>
      <c r="D33" s="74" t="inlineStr">
        <is>
          <t>Mkt Cap: $261M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35.571</v>
      </c>
      <c r="D35" s="97" t="n">
        <v>36.005</v>
      </c>
      <c r="E35" s="97" t="n">
        <v>36.266</v>
      </c>
      <c r="F35" s="97" t="n">
        <v>36.999</v>
      </c>
      <c r="G35" s="97" t="n">
        <v>36.653</v>
      </c>
      <c r="H35" s="97" t="n">
        <v>38.106</v>
      </c>
      <c r="I35" s="97" t="n">
        <v>40.919</v>
      </c>
      <c r="J35" s="97" t="n">
        <v>41.171</v>
      </c>
    </row>
    <row r="36" ht="16" customHeight="1">
      <c r="A36" s="96" t="inlineStr"/>
      <c r="B36" s="94" t="inlineStr">
        <is>
          <t>Gross Margin %</t>
        </is>
      </c>
      <c r="C36" s="71" t="n">
        <v>0.7509999999999999</v>
      </c>
      <c r="D36" s="71" t="n">
        <v>0.742</v>
      </c>
      <c r="E36" s="71" t="n">
        <v>0.731</v>
      </c>
      <c r="F36" s="71" t="n">
        <v>0.742</v>
      </c>
      <c r="G36" s="71" t="n">
        <v>0.741</v>
      </c>
      <c r="H36" s="71" t="n">
        <v>0.746</v>
      </c>
      <c r="I36" s="71" t="n">
        <v>0.755</v>
      </c>
      <c r="J36" s="71" t="n">
        <v>0.7509999999999999</v>
      </c>
    </row>
    <row r="37" ht="16" customHeight="1">
      <c r="A37" s="96" t="inlineStr"/>
      <c r="B37" s="25" t="inlineStr">
        <is>
          <t>QoQ Rev Growth</t>
        </is>
      </c>
      <c r="C37" s="50" t="n"/>
      <c r="D37" s="75" t="n">
        <v>0.01220095021225155</v>
      </c>
      <c r="E37" s="75" t="n">
        <v>0.00724899319538953</v>
      </c>
      <c r="F37" s="75" t="n">
        <v>0.02021176859868748</v>
      </c>
      <c r="G37" s="75" t="n">
        <v>-0.009351604097408038</v>
      </c>
      <c r="H37" s="75" t="n">
        <v>0.03964204839985813</v>
      </c>
      <c r="I37" s="75" t="n">
        <v>0.07382039573820395</v>
      </c>
      <c r="J37" s="75" t="n">
        <v>0.006158508272440675</v>
      </c>
    </row>
    <row r="38" ht="16" customHeight="1">
      <c r="A38" s="96" t="inlineStr"/>
      <c r="B38" s="20" t="inlineStr">
        <is>
          <t>YoY Rev Growth</t>
        </is>
      </c>
      <c r="C38" s="48" t="n"/>
      <c r="D38" s="48" t="n"/>
      <c r="E38" s="48" t="n"/>
      <c r="F38" s="48" t="n"/>
      <c r="G38" s="71" t="n">
        <v>0.03041803716510641</v>
      </c>
      <c r="H38" s="71" t="n">
        <v>0.05835300652687127</v>
      </c>
      <c r="I38" s="71" t="n">
        <v>0.12830199084542</v>
      </c>
      <c r="J38" s="71" t="n">
        <v>0.1127598043190357</v>
      </c>
    </row>
    <row r="39" ht="8" customHeight="1"/>
    <row r="40" ht="18" customHeight="1">
      <c r="A40" s="94" t="inlineStr">
        <is>
          <t>ASYS  —  Amtech Systems, Inc.</t>
        </is>
      </c>
      <c r="C40" s="38" t="inlineStr">
        <is>
          <t>Nano Cap</t>
        </is>
      </c>
      <c r="D40" s="74" t="inlineStr">
        <is>
          <t>Mkt Cap: $269M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25.433</v>
      </c>
      <c r="D42" s="97" t="n">
        <v>26.749</v>
      </c>
      <c r="E42" s="97" t="n">
        <v>24.112</v>
      </c>
      <c r="F42" s="97" t="n">
        <v>24.385</v>
      </c>
      <c r="G42" s="97" t="n">
        <v>15.58</v>
      </c>
      <c r="H42" s="97" t="n">
        <v>19.557</v>
      </c>
      <c r="I42" s="97" t="n">
        <v>19.842</v>
      </c>
      <c r="J42" s="97" t="n">
        <v>18.973</v>
      </c>
    </row>
    <row r="43" ht="16" customHeight="1">
      <c r="A43" s="96" t="inlineStr"/>
      <c r="B43" s="94" t="inlineStr">
        <is>
          <t>Gross Margin %</t>
        </is>
      </c>
      <c r="C43" s="71" t="n">
        <v>0.332</v>
      </c>
      <c r="D43" s="71" t="n">
        <v>0.365</v>
      </c>
      <c r="E43" s="71" t="n">
        <v>0.407</v>
      </c>
      <c r="F43" s="71" t="n">
        <v>0.384</v>
      </c>
      <c r="G43" s="71" t="n">
        <v>-0.021</v>
      </c>
      <c r="H43" s="71" t="n">
        <v>0.467</v>
      </c>
      <c r="I43" s="71" t="n">
        <v>0.444</v>
      </c>
      <c r="J43" s="71" t="n">
        <v>0.448</v>
      </c>
    </row>
    <row r="44" ht="16" customHeight="1">
      <c r="A44" s="96" t="inlineStr"/>
      <c r="B44" s="25" t="inlineStr">
        <is>
          <t>QoQ Rev Growth</t>
        </is>
      </c>
      <c r="C44" s="50" t="n"/>
      <c r="D44" s="75" t="n">
        <v>0.05174379742853773</v>
      </c>
      <c r="E44" s="75" t="n">
        <v>-0.09858312460278888</v>
      </c>
      <c r="F44" s="75" t="n">
        <v>0.01132216323822163</v>
      </c>
      <c r="G44" s="75" t="n">
        <v>-0.3610826327660447</v>
      </c>
      <c r="H44" s="75" t="n">
        <v>0.2552631578947369</v>
      </c>
      <c r="I44" s="75" t="n">
        <v>0.01457278723730633</v>
      </c>
      <c r="J44" s="75" t="n">
        <v>-0.04379598830763028</v>
      </c>
    </row>
    <row r="45" ht="16" customHeight="1">
      <c r="A45" s="96" t="inlineStr"/>
      <c r="B45" s="20" t="inlineStr">
        <is>
          <t>YoY Rev Growth</t>
        </is>
      </c>
      <c r="C45" s="48" t="n"/>
      <c r="D45" s="48" t="n"/>
      <c r="E45" s="48" t="n"/>
      <c r="F45" s="48" t="n"/>
      <c r="G45" s="71" t="n">
        <v>-0.3874100577989227</v>
      </c>
      <c r="H45" s="71" t="n">
        <v>-0.2688698642939923</v>
      </c>
      <c r="I45" s="71" t="n">
        <v>-0.1770902455209025</v>
      </c>
      <c r="J45" s="71" t="n">
        <v>-0.2219397170391634</v>
      </c>
    </row>
    <row r="46" ht="8" customHeight="1"/>
    <row r="47" ht="18" customHeight="1">
      <c r="A47" s="94" t="inlineStr">
        <is>
          <t>LTRX  —  Lantronix, Inc.</t>
        </is>
      </c>
      <c r="C47" s="38" t="inlineStr">
        <is>
          <t>Nano Cap</t>
        </is>
      </c>
      <c r="D47" s="74" t="inlineStr">
        <is>
          <t>Mkt Cap: $237M</t>
        </is>
      </c>
      <c r="E47" s="95" t="n"/>
      <c r="F47" s="95" t="n"/>
      <c r="G47" s="95" t="n"/>
      <c r="H47" s="95" t="n"/>
      <c r="I47" s="95" t="n"/>
      <c r="J47" s="95" t="n"/>
      <c r="K47" s="95" t="n"/>
    </row>
    <row r="48" ht="16" customHeight="1">
      <c r="A48" s="96" t="inlineStr"/>
      <c r="B48" s="18" t="inlineStr">
        <is>
          <t>Quarter</t>
        </is>
      </c>
      <c r="C48" s="18" t="inlineStr">
        <is>
          <t>2024-03-31</t>
        </is>
      </c>
      <c r="D48" s="18" t="inlineStr">
        <is>
          <t>2024-06-30</t>
        </is>
      </c>
      <c r="E48" s="18" t="inlineStr">
        <is>
          <t>2024-09-30</t>
        </is>
      </c>
      <c r="F48" s="18" t="inlineStr">
        <is>
          <t>2024-12-31</t>
        </is>
      </c>
      <c r="G48" s="18" t="inlineStr">
        <is>
          <t>2025-03-31</t>
        </is>
      </c>
      <c r="H48" s="18" t="inlineStr">
        <is>
          <t>2025-06-30</t>
        </is>
      </c>
      <c r="I48" s="18" t="inlineStr">
        <is>
          <t>2025-09-30</t>
        </is>
      </c>
      <c r="J48" s="18" t="inlineStr">
        <is>
          <t>2025-12-31</t>
        </is>
      </c>
    </row>
    <row r="49" ht="16" customHeight="1">
      <c r="A49" s="96" t="inlineStr"/>
      <c r="B49" s="66" t="inlineStr">
        <is>
          <t>Revenue ($M)</t>
        </is>
      </c>
      <c r="C49" s="97" t="n">
        <v>41.183</v>
      </c>
      <c r="D49" s="97" t="n">
        <v>49.075</v>
      </c>
      <c r="E49" s="97" t="n">
        <v>34.423</v>
      </c>
      <c r="F49" s="97" t="n">
        <v>31.161</v>
      </c>
      <c r="G49" s="97" t="n">
        <v>28.5</v>
      </c>
      <c r="H49" s="97" t="n">
        <v>28.839</v>
      </c>
      <c r="I49" s="97" t="n">
        <v>29.794</v>
      </c>
      <c r="J49" s="97" t="n">
        <v>29.774</v>
      </c>
    </row>
    <row r="50" ht="16" customHeight="1">
      <c r="A50" s="96" t="inlineStr"/>
      <c r="B50" s="94" t="inlineStr">
        <is>
          <t>Gross Margin %</t>
        </is>
      </c>
      <c r="C50" s="71" t="n">
        <v>0.401</v>
      </c>
      <c r="D50" s="71" t="n">
        <v>0.381</v>
      </c>
      <c r="E50" s="71" t="n">
        <v>0.421</v>
      </c>
      <c r="F50" s="71" t="n">
        <v>0.426</v>
      </c>
      <c r="G50" s="71" t="n">
        <v>0.435</v>
      </c>
      <c r="H50" s="71" t="n">
        <v>0.4</v>
      </c>
      <c r="I50" s="71" t="n">
        <v>0.448</v>
      </c>
      <c r="J50" s="71" t="n">
        <v>0.409</v>
      </c>
    </row>
    <row r="51" ht="16" customHeight="1">
      <c r="A51" s="96" t="inlineStr"/>
      <c r="B51" s="25" t="inlineStr">
        <is>
          <t>QoQ Rev Growth</t>
        </is>
      </c>
      <c r="C51" s="50" t="n"/>
      <c r="D51" s="75" t="n">
        <v>0.1916324697083748</v>
      </c>
      <c r="E51" s="75" t="n">
        <v>-0.2985634233316353</v>
      </c>
      <c r="F51" s="75" t="n">
        <v>-0.09476222293234175</v>
      </c>
      <c r="G51" s="75" t="n">
        <v>-0.08539520554539327</v>
      </c>
      <c r="H51" s="75" t="n">
        <v>0.01189473684210526</v>
      </c>
      <c r="I51" s="75" t="n">
        <v>0.03311487915669753</v>
      </c>
      <c r="J51" s="75" t="n">
        <v>-0.0006712760958582265</v>
      </c>
    </row>
    <row r="52" ht="16" customHeight="1">
      <c r="A52" s="96" t="inlineStr"/>
      <c r="B52" s="20" t="inlineStr">
        <is>
          <t>YoY Rev Growth</t>
        </is>
      </c>
      <c r="C52" s="48" t="n"/>
      <c r="D52" s="48" t="n"/>
      <c r="E52" s="48" t="n"/>
      <c r="F52" s="48" t="n"/>
      <c r="G52" s="71" t="n">
        <v>-0.3079668795376733</v>
      </c>
      <c r="H52" s="71" t="n">
        <v>-0.412348446255731</v>
      </c>
      <c r="I52" s="71" t="n">
        <v>-0.1344740435174157</v>
      </c>
      <c r="J52" s="71" t="n">
        <v>-0.04451076666345753</v>
      </c>
    </row>
    <row r="53" ht="8" customHeight="1"/>
    <row r="54" ht="18" customHeight="1">
      <c r="A54" s="94" t="inlineStr">
        <is>
          <t>ROC  —  Rank One Computing Corp.</t>
        </is>
      </c>
      <c r="C54" s="38" t="inlineStr">
        <is>
          <t>Nano Cap</t>
        </is>
      </c>
      <c r="D54" s="74" t="inlineStr">
        <is>
          <t>Mkt Cap: $80M</t>
        </is>
      </c>
      <c r="E54" s="95" t="n"/>
      <c r="F54" s="95" t="n"/>
      <c r="G54" s="95" t="n"/>
      <c r="H54" s="95" t="n"/>
      <c r="I54" s="95" t="n"/>
      <c r="J54" s="95" t="n"/>
      <c r="K54" s="95" t="n"/>
    </row>
    <row r="55" ht="16" customHeight="1">
      <c r="A55" s="96" t="inlineStr"/>
      <c r="B55" s="18" t="inlineStr">
        <is>
          <t>Quarter</t>
        </is>
      </c>
      <c r="C55" s="18" t="inlineStr">
        <is>
          <t>2024-12-31</t>
        </is>
      </c>
      <c r="D55" s="18" t="inlineStr">
        <is>
          <t>2025-09-30</t>
        </is>
      </c>
      <c r="E55" s="18" t="inlineStr">
        <is>
          <t>2025-12-31</t>
        </is>
      </c>
      <c r="F55" s="18" t="inlineStr">
        <is>
          <t>2026-03-31</t>
        </is>
      </c>
      <c r="G55" s="18" t="inlineStr">
        <is>
          <t>2026-06-30</t>
        </is>
      </c>
    </row>
    <row r="56" ht="16" customHeight="1">
      <c r="A56" s="96" t="inlineStr"/>
      <c r="B56" s="66" t="inlineStr">
        <is>
          <t>Revenue ($M)</t>
        </is>
      </c>
      <c r="C56" s="97" t="n">
        <v>2.642924</v>
      </c>
      <c r="D56" s="97" t="n">
        <v>5.34999</v>
      </c>
      <c r="E56" s="97" t="n">
        <v>3.487245</v>
      </c>
      <c r="F56" s="97" t="n">
        <v>2.548642</v>
      </c>
      <c r="G56" s="97" t="n">
        <v>5.092982</v>
      </c>
    </row>
    <row r="57" ht="16" customHeight="1">
      <c r="A57" s="96" t="inlineStr"/>
      <c r="B57" s="94" t="inlineStr">
        <is>
          <t>Gross Margin %</t>
        </is>
      </c>
      <c r="C57" s="71" t="n">
        <v>0.882</v>
      </c>
      <c r="D57" s="71" t="n">
        <v>0.7859999999999999</v>
      </c>
      <c r="E57" s="71" t="n">
        <v>0.6779999999999999</v>
      </c>
      <c r="F57" s="71" t="n">
        <v>0.787</v>
      </c>
      <c r="G57" s="71" t="n">
        <v>0.897</v>
      </c>
    </row>
    <row r="58" ht="16" customHeight="1">
      <c r="A58" s="96" t="inlineStr"/>
      <c r="B58" s="25" t="inlineStr">
        <is>
          <t>QoQ Rev Growth</t>
        </is>
      </c>
      <c r="C58" s="50" t="n"/>
      <c r="D58" s="75" t="n">
        <v>1.024269331997439</v>
      </c>
      <c r="E58" s="75" t="n">
        <v>-0.3481772863126847</v>
      </c>
      <c r="F58" s="75" t="n">
        <v>-0.269153156718269</v>
      </c>
      <c r="G58" s="75" t="n">
        <v>0.998312042256229</v>
      </c>
    </row>
    <row r="59" ht="16" customHeight="1">
      <c r="A59" s="96" t="inlineStr"/>
      <c r="B59" s="20" t="inlineStr">
        <is>
          <t>YoY Rev Growth</t>
        </is>
      </c>
      <c r="C59" s="48" t="n"/>
      <c r="D59" s="48" t="n"/>
      <c r="E59" s="48" t="n"/>
      <c r="F59" s="48" t="n"/>
      <c r="G59" s="71" t="n">
        <v>0.9270255217327475</v>
      </c>
    </row>
    <row r="60" ht="8" customHeight="1"/>
    <row r="61" ht="18" customHeight="1">
      <c r="A61" s="94" t="inlineStr">
        <is>
          <t>TGEN  —  Tecogen Inc.</t>
        </is>
      </c>
      <c r="C61" s="38" t="inlineStr">
        <is>
          <t>Nano Cap</t>
        </is>
      </c>
      <c r="D61" s="74" t="inlineStr">
        <is>
          <t>Mkt Cap: $97M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6.186097</v>
      </c>
      <c r="D63" s="97" t="n">
        <v>4.727787</v>
      </c>
      <c r="E63" s="97" t="n">
        <v>5.63013</v>
      </c>
      <c r="F63" s="97" t="n">
        <v>6.075522</v>
      </c>
      <c r="G63" s="97" t="n">
        <v>7.27777</v>
      </c>
      <c r="H63" s="97" t="n">
        <v>7.29482</v>
      </c>
      <c r="I63" s="97" t="n">
        <v>7.183121</v>
      </c>
      <c r="J63" s="97" t="n">
        <v>5.317997</v>
      </c>
    </row>
    <row r="64" ht="16" customHeight="1">
      <c r="A64" s="96" t="inlineStr"/>
      <c r="B64" s="94" t="inlineStr">
        <is>
          <t>Gross Margin %</t>
        </is>
      </c>
      <c r="C64" s="71" t="n">
        <v>0.416</v>
      </c>
      <c r="D64" s="71" t="n">
        <v>0.44</v>
      </c>
      <c r="E64" s="71" t="n">
        <v>0.441</v>
      </c>
      <c r="F64" s="71" t="n">
        <v>0.45</v>
      </c>
      <c r="G64" s="71" t="n">
        <v>0.4429999999999999</v>
      </c>
      <c r="H64" s="71" t="n">
        <v>0.338</v>
      </c>
      <c r="I64" s="71" t="n">
        <v>0.304</v>
      </c>
      <c r="J64" s="71" t="n">
        <v>0.368</v>
      </c>
    </row>
    <row r="65" ht="16" customHeight="1">
      <c r="A65" s="96" t="inlineStr"/>
      <c r="B65" s="25" t="inlineStr">
        <is>
          <t>QoQ Rev Growth</t>
        </is>
      </c>
      <c r="C65" s="50" t="n"/>
      <c r="D65" s="75" t="n">
        <v>-0.2357399180775859</v>
      </c>
      <c r="E65" s="75" t="n">
        <v>0.190859486690073</v>
      </c>
      <c r="F65" s="75" t="n">
        <v>0.07910865290854741</v>
      </c>
      <c r="G65" s="75" t="n">
        <v>0.1978839019922897</v>
      </c>
      <c r="H65" s="75" t="n">
        <v>0.00234275059530598</v>
      </c>
      <c r="I65" s="75" t="n">
        <v>-0.01531209817377262</v>
      </c>
      <c r="J65" s="75" t="n">
        <v>-0.259653707629316</v>
      </c>
    </row>
    <row r="66" ht="16" customHeight="1">
      <c r="A66" s="96" t="inlineStr"/>
      <c r="B66" s="20" t="inlineStr">
        <is>
          <t>YoY Rev Growth</t>
        </is>
      </c>
      <c r="C66" s="48" t="n"/>
      <c r="D66" s="48" t="n"/>
      <c r="E66" s="48" t="n"/>
      <c r="F66" s="48" t="n"/>
      <c r="G66" s="71" t="n">
        <v>0.1764720145836705</v>
      </c>
      <c r="H66" s="71" t="n">
        <v>0.5429671429783109</v>
      </c>
      <c r="I66" s="71" t="n">
        <v>0.2758357267061329</v>
      </c>
      <c r="J66" s="71" t="n">
        <v>-0.1246847595976115</v>
      </c>
    </row>
    <row r="67" ht="8" customHeight="1"/>
    <row r="68" ht="18" customHeight="1">
      <c r="A68" s="94" t="inlineStr">
        <is>
          <t>BKTI  —  BK Technologies Corporation</t>
        </is>
      </c>
      <c r="C68" s="38" t="inlineStr">
        <is>
          <t>Nano Cap</t>
        </is>
      </c>
      <c r="D68" s="74" t="inlineStr">
        <is>
          <t>Mkt Cap: $274M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2024-09-30</t>
        </is>
      </c>
      <c r="F69" s="18" t="inlineStr">
        <is>
          <t>2024-12-31</t>
        </is>
      </c>
      <c r="G69" s="18" t="inlineStr">
        <is>
          <t>2025-03-31</t>
        </is>
      </c>
      <c r="H69" s="18" t="inlineStr">
        <is>
          <t>2025-06-30</t>
        </is>
      </c>
      <c r="I69" s="18" t="inlineStr">
        <is>
          <t>2025-09-30</t>
        </is>
      </c>
      <c r="J69" s="18" t="inlineStr">
        <is>
          <t>2025-12-31</t>
        </is>
      </c>
    </row>
    <row r="70" ht="16" customHeight="1">
      <c r="A70" s="96" t="inlineStr"/>
      <c r="B70" s="66" t="inlineStr">
        <is>
          <t>Revenue ($M)</t>
        </is>
      </c>
      <c r="C70" s="97" t="n">
        <v>18.231</v>
      </c>
      <c r="D70" s="97" t="n">
        <v>20.254</v>
      </c>
      <c r="E70" s="97" t="n">
        <v>20.179</v>
      </c>
      <c r="F70" s="97" t="n">
        <v>17.928</v>
      </c>
      <c r="G70" s="97" t="n">
        <v>19.054</v>
      </c>
      <c r="H70" s="97" t="n">
        <v>21.165</v>
      </c>
      <c r="I70" s="97" t="n">
        <v>24.411</v>
      </c>
      <c r="J70" s="97" t="n">
        <v>21.509</v>
      </c>
    </row>
    <row r="71" ht="16" customHeight="1">
      <c r="A71" s="96" t="inlineStr"/>
      <c r="B71" s="94" t="inlineStr">
        <is>
          <t>Gross Margin %</t>
        </is>
      </c>
      <c r="C71" s="71" t="n">
        <v>0.345</v>
      </c>
      <c r="D71" s="71" t="n">
        <v>0.373</v>
      </c>
      <c r="E71" s="71" t="n">
        <v>0.388</v>
      </c>
      <c r="F71" s="71" t="n">
        <v>0.412</v>
      </c>
      <c r="G71" s="71" t="n">
        <v>0.47</v>
      </c>
      <c r="H71" s="71" t="n">
        <v>0.474</v>
      </c>
      <c r="I71" s="71" t="n">
        <v>0.499</v>
      </c>
      <c r="J71" s="71" t="n">
        <v>0.505</v>
      </c>
    </row>
    <row r="72" ht="16" customHeight="1">
      <c r="A72" s="96" t="inlineStr"/>
      <c r="B72" s="25" t="inlineStr">
        <is>
          <t>QoQ Rev Growth</t>
        </is>
      </c>
      <c r="C72" s="50" t="n"/>
      <c r="D72" s="75" t="n">
        <v>0.1109648401075092</v>
      </c>
      <c r="E72" s="75" t="n">
        <v>-0.003702972252394589</v>
      </c>
      <c r="F72" s="75" t="n">
        <v>-0.1115516130630854</v>
      </c>
      <c r="G72" s="75" t="n">
        <v>0.06280678268630076</v>
      </c>
      <c r="H72" s="75" t="n">
        <v>0.110790385220951</v>
      </c>
      <c r="I72" s="75" t="n">
        <v>0.1533664068036853</v>
      </c>
      <c r="J72" s="75" t="n">
        <v>-0.1188808324116177</v>
      </c>
    </row>
    <row r="73" ht="16" customHeight="1">
      <c r="A73" s="96" t="inlineStr"/>
      <c r="B73" s="20" t="inlineStr">
        <is>
          <t>YoY Rev Growth</t>
        </is>
      </c>
      <c r="C73" s="48" t="n"/>
      <c r="D73" s="48" t="n"/>
      <c r="E73" s="48" t="n"/>
      <c r="F73" s="48" t="n"/>
      <c r="G73" s="71" t="n">
        <v>0.04514288848664363</v>
      </c>
      <c r="H73" s="71" t="n">
        <v>0.04497876962575294</v>
      </c>
      <c r="I73" s="71" t="n">
        <v>0.2097229793349522</v>
      </c>
      <c r="J73" s="71" t="n">
        <v>0.1997434181169121</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SWBI  —  Smith &amp; Wesson Brands, Inc.</t>
        </is>
      </c>
      <c r="C76" s="38" t="inlineStr">
        <is>
          <t>Small Cap</t>
        </is>
      </c>
      <c r="D76" s="74" t="inlineStr">
        <is>
          <t>Mkt Cap: $588M</t>
        </is>
      </c>
      <c r="E76" s="95" t="n"/>
      <c r="F76" s="95" t="n"/>
      <c r="G76" s="95" t="n"/>
      <c r="H76" s="95" t="n"/>
      <c r="I76" s="95" t="n"/>
      <c r="J76" s="95" t="n"/>
      <c r="K76" s="95" t="n"/>
    </row>
    <row r="77" ht="16" customHeight="1">
      <c r="A77" s="96"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6" t="inlineStr"/>
      <c r="B78" s="66" t="inlineStr">
        <is>
          <t>Revenue ($M)</t>
        </is>
      </c>
      <c r="C78" s="97" t="n">
        <v>159.147</v>
      </c>
      <c r="D78" s="97" t="n">
        <v>88.334</v>
      </c>
      <c r="E78" s="97" t="n">
        <v>129.679</v>
      </c>
      <c r="F78" s="97" t="n">
        <v>115.885</v>
      </c>
      <c r="G78" s="97" t="n">
        <v>140.762</v>
      </c>
      <c r="H78" s="97" t="n">
        <v>85.077</v>
      </c>
      <c r="I78" s="97" t="n">
        <v>124.67</v>
      </c>
      <c r="J78" s="97" t="n">
        <v>135.71</v>
      </c>
    </row>
    <row r="79" ht="16" customHeight="1">
      <c r="A79" s="96" t="inlineStr"/>
      <c r="B79" s="94" t="inlineStr">
        <is>
          <t>Gross Margin %</t>
        </is>
      </c>
      <c r="C79" s="71" t="n">
        <v>0.356</v>
      </c>
      <c r="D79" s="71" t="n">
        <v>0.274</v>
      </c>
      <c r="E79" s="71" t="n">
        <v>0.266</v>
      </c>
      <c r="F79" s="71" t="n">
        <v>0.241</v>
      </c>
      <c r="G79" s="71" t="n">
        <v>0.288</v>
      </c>
      <c r="H79" s="71" t="n">
        <v>0.259</v>
      </c>
      <c r="I79" s="71" t="n">
        <v>0.243</v>
      </c>
      <c r="J79" s="71" t="n">
        <v>0.262</v>
      </c>
    </row>
    <row r="80" ht="16" customHeight="1">
      <c r="A80" s="96" t="inlineStr"/>
      <c r="B80" s="25" t="inlineStr">
        <is>
          <t>QoQ Rev Growth</t>
        </is>
      </c>
      <c r="C80" s="50" t="n"/>
      <c r="D80" s="75" t="n">
        <v>-0.4449534078556303</v>
      </c>
      <c r="E80" s="75" t="n">
        <v>0.4680530712975751</v>
      </c>
      <c r="F80" s="75" t="n">
        <v>-0.1063703452370854</v>
      </c>
      <c r="G80" s="75" t="n">
        <v>0.2146697156663934</v>
      </c>
      <c r="H80" s="75" t="n">
        <v>-0.3955968230062091</v>
      </c>
      <c r="I80" s="75" t="n">
        <v>0.465378421900161</v>
      </c>
      <c r="J80" s="75" t="n">
        <v>0.08855378198443892</v>
      </c>
    </row>
    <row r="81" ht="16" customHeight="1">
      <c r="A81" s="96" t="inlineStr"/>
      <c r="B81" s="20" t="inlineStr">
        <is>
          <t>YoY Rev Growth</t>
        </is>
      </c>
      <c r="C81" s="48" t="n"/>
      <c r="D81" s="48" t="n"/>
      <c r="E81" s="48" t="n"/>
      <c r="F81" s="48" t="n"/>
      <c r="G81" s="71" t="n">
        <v>-0.1155221273413888</v>
      </c>
      <c r="H81" s="71" t="n">
        <v>-0.03687141983834084</v>
      </c>
      <c r="I81" s="71" t="n">
        <v>-0.03862614609921421</v>
      </c>
      <c r="J81" s="71" t="n">
        <v>0.1710747724036761</v>
      </c>
    </row>
    <row r="82" ht="8" customHeight="1"/>
    <row r="83" ht="18" customHeight="1">
      <c r="A83" s="94" t="inlineStr">
        <is>
          <t>GHM  —  Graham Corporation</t>
        </is>
      </c>
      <c r="C83" s="38" t="inlineStr">
        <is>
          <t>Small Cap</t>
        </is>
      </c>
      <c r="D83" s="74" t="inlineStr">
        <is>
          <t>Mkt Cap: $1047M</t>
        </is>
      </c>
      <c r="E83" s="95" t="n"/>
      <c r="F83" s="95" t="n"/>
      <c r="G83" s="95" t="n"/>
      <c r="H83" s="95" t="n"/>
      <c r="I83" s="95" t="n"/>
      <c r="J83" s="95" t="n"/>
      <c r="K83" s="95" t="n"/>
    </row>
    <row r="84" ht="16" customHeight="1">
      <c r="A84" s="96" t="inlineStr"/>
      <c r="B84" s="18" t="inlineStr">
        <is>
          <t>Quarter</t>
        </is>
      </c>
      <c r="C84" s="18" t="inlineStr">
        <is>
          <t>2024-03-31</t>
        </is>
      </c>
      <c r="D84" s="18" t="inlineStr">
        <is>
          <t>2024-06-30</t>
        </is>
      </c>
      <c r="E84" s="18" t="inlineStr">
        <is>
          <t>2024-09-30</t>
        </is>
      </c>
      <c r="F84" s="18" t="inlineStr">
        <is>
          <t>2024-12-31</t>
        </is>
      </c>
      <c r="G84" s="18" t="inlineStr">
        <is>
          <t>2025-03-31</t>
        </is>
      </c>
      <c r="H84" s="18" t="inlineStr">
        <is>
          <t>2025-06-30</t>
        </is>
      </c>
      <c r="I84" s="18" t="inlineStr">
        <is>
          <t>2025-09-30</t>
        </is>
      </c>
      <c r="J84" s="18" t="inlineStr">
        <is>
          <t>2025-12-31</t>
        </is>
      </c>
    </row>
    <row r="85" ht="16" customHeight="1">
      <c r="A85" s="96" t="inlineStr"/>
      <c r="B85" s="66" t="inlineStr">
        <is>
          <t>Revenue ($M)</t>
        </is>
      </c>
      <c r="C85" s="97" t="n">
        <v>49.07</v>
      </c>
      <c r="D85" s="97" t="n">
        <v>49.951</v>
      </c>
      <c r="E85" s="97" t="n">
        <v>53.563</v>
      </c>
      <c r="F85" s="97" t="n">
        <v>47.037</v>
      </c>
      <c r="G85" s="97" t="n">
        <v>59.345</v>
      </c>
      <c r="H85" s="97" t="n">
        <v>55.487</v>
      </c>
      <c r="I85" s="97" t="n">
        <v>66.027</v>
      </c>
      <c r="J85" s="97" t="n">
        <v>56.701</v>
      </c>
    </row>
    <row r="86" ht="16" customHeight="1">
      <c r="A86" s="96" t="inlineStr"/>
      <c r="B86" s="94" t="inlineStr">
        <is>
          <t>Gross Margin %</t>
        </is>
      </c>
      <c r="C86" s="71" t="n">
        <v>0.259</v>
      </c>
      <c r="D86" s="71" t="n">
        <v>0.248</v>
      </c>
      <c r="E86" s="71" t="n">
        <v>0.239</v>
      </c>
      <c r="F86" s="71" t="n">
        <v>0.248</v>
      </c>
      <c r="G86" s="71" t="n">
        <v>0.27</v>
      </c>
      <c r="H86" s="71" t="n">
        <v>0.265</v>
      </c>
      <c r="I86" s="71" t="n">
        <v>0.217</v>
      </c>
      <c r="J86" s="71" t="n">
        <v>0.23</v>
      </c>
    </row>
    <row r="87" ht="16" customHeight="1">
      <c r="A87" s="96" t="inlineStr"/>
      <c r="B87" s="25" t="inlineStr">
        <is>
          <t>QoQ Rev Growth</t>
        </is>
      </c>
      <c r="C87" s="50" t="n"/>
      <c r="D87" s="75" t="n">
        <v>0.01795394334624006</v>
      </c>
      <c r="E87" s="75" t="n">
        <v>0.07231086464735441</v>
      </c>
      <c r="F87" s="75" t="n">
        <v>-0.1218378358195023</v>
      </c>
      <c r="G87" s="75" t="n">
        <v>0.2616663477687778</v>
      </c>
      <c r="H87" s="75" t="n">
        <v>-0.06500968910607464</v>
      </c>
      <c r="I87" s="75" t="n">
        <v>0.189954403734208</v>
      </c>
      <c r="J87" s="75" t="n">
        <v>-0.1412452481560574</v>
      </c>
    </row>
    <row r="88" ht="16" customHeight="1">
      <c r="A88" s="96" t="inlineStr"/>
      <c r="B88" s="20" t="inlineStr">
        <is>
          <t>YoY Rev Growth</t>
        </is>
      </c>
      <c r="C88" s="48" t="n"/>
      <c r="D88" s="48" t="n"/>
      <c r="E88" s="48" t="n"/>
      <c r="F88" s="48" t="n"/>
      <c r="G88" s="71" t="n">
        <v>0.2093947422050133</v>
      </c>
      <c r="H88" s="71" t="n">
        <v>0.110828612039799</v>
      </c>
      <c r="I88" s="71" t="n">
        <v>0.2326979444765976</v>
      </c>
      <c r="J88" s="71" t="n">
        <v>0.2054552798860471</v>
      </c>
    </row>
    <row r="89" ht="8" customHeight="1"/>
    <row r="90" ht="18" customHeight="1">
      <c r="A90" s="94" t="inlineStr">
        <is>
          <t>TRC  —  Tejon Ranch Co.</t>
        </is>
      </c>
      <c r="C90" s="38" t="inlineStr">
        <is>
          <t>Small Cap</t>
        </is>
      </c>
      <c r="D90" s="74" t="inlineStr">
        <is>
          <t>Mkt Cap: $446M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7.406</v>
      </c>
      <c r="D92" s="97" t="n">
        <v>5.689</v>
      </c>
      <c r="E92" s="97" t="n">
        <v>10.856</v>
      </c>
      <c r="F92" s="97" t="n">
        <v>17.935</v>
      </c>
      <c r="G92" s="97" t="n">
        <v>8.209</v>
      </c>
      <c r="H92" s="97" t="n">
        <v>8.307</v>
      </c>
      <c r="I92" s="97" t="n">
        <v>11.969</v>
      </c>
      <c r="J92" s="97" t="n">
        <v>21.106</v>
      </c>
    </row>
    <row r="93" ht="16" customHeight="1">
      <c r="A93" s="96" t="inlineStr"/>
      <c r="B93" s="94" t="inlineStr">
        <is>
          <t>Gross Margin %</t>
        </is>
      </c>
      <c r="C93" s="71" t="n">
        <v>-0.201</v>
      </c>
      <c r="D93" s="71" t="n">
        <v>-0.034</v>
      </c>
      <c r="E93" s="71" t="n">
        <v>-0.078</v>
      </c>
      <c r="F93" s="71" t="n">
        <v>0.247</v>
      </c>
      <c r="G93" s="71" t="n">
        <v>0.009000000000000001</v>
      </c>
      <c r="H93" s="71" t="n">
        <v>0.102</v>
      </c>
      <c r="I93" s="71" t="n">
        <v>0.07099999999999999</v>
      </c>
      <c r="J93" s="71" t="n">
        <v>0.206</v>
      </c>
    </row>
    <row r="94" ht="16" customHeight="1">
      <c r="A94" s="96" t="inlineStr"/>
      <c r="B94" s="25" t="inlineStr">
        <is>
          <t>QoQ Rev Growth</t>
        </is>
      </c>
      <c r="C94" s="50" t="n"/>
      <c r="D94" s="75" t="n">
        <v>-0.2318390494193897</v>
      </c>
      <c r="E94" s="75" t="n">
        <v>0.9082439796097732</v>
      </c>
      <c r="F94" s="75" t="n">
        <v>0.6520817980840088</v>
      </c>
      <c r="G94" s="75" t="n">
        <v>-0.5422916085865626</v>
      </c>
      <c r="H94" s="75" t="n">
        <v>0.01193811670118163</v>
      </c>
      <c r="I94" s="75" t="n">
        <v>0.4408330323823282</v>
      </c>
      <c r="J94" s="75" t="n">
        <v>0.7633887542818949</v>
      </c>
    </row>
    <row r="95" ht="16" customHeight="1">
      <c r="A95" s="96" t="inlineStr"/>
      <c r="B95" s="20" t="inlineStr">
        <is>
          <t>YoY Rev Growth</t>
        </is>
      </c>
      <c r="C95" s="48" t="n"/>
      <c r="D95" s="48" t="n"/>
      <c r="E95" s="48" t="n"/>
      <c r="F95" s="48" t="n"/>
      <c r="G95" s="71" t="n">
        <v>0.1084256008641642</v>
      </c>
      <c r="H95" s="71" t="n">
        <v>0.4601863244858499</v>
      </c>
      <c r="I95" s="71" t="n">
        <v>0.102523949889462</v>
      </c>
      <c r="J95" s="71" t="n">
        <v>0.1768051296347923</v>
      </c>
    </row>
    <row r="96" ht="8" customHeight="1"/>
    <row r="97" ht="18" customHeight="1">
      <c r="A97" s="94" t="inlineStr">
        <is>
          <t>CEVA  —  CEVA, Inc.</t>
        </is>
      </c>
      <c r="C97" s="38" t="inlineStr">
        <is>
          <t>Small Cap</t>
        </is>
      </c>
      <c r="D97" s="74" t="inlineStr">
        <is>
          <t>Mkt Cap: $784M</t>
        </is>
      </c>
      <c r="E97" s="95" t="n"/>
      <c r="F97" s="95" t="n"/>
      <c r="G97" s="95" t="n"/>
      <c r="H97" s="95" t="n"/>
      <c r="I97" s="95" t="n"/>
      <c r="J97" s="95" t="n"/>
      <c r="K97" s="95" t="n"/>
    </row>
    <row r="98" ht="16" customHeight="1">
      <c r="A98" s="96" t="inlineStr"/>
      <c r="B98" s="18" t="inlineStr">
        <is>
          <t>Quarter</t>
        </is>
      </c>
      <c r="C98" s="18" t="inlineStr">
        <is>
          <t>2024-03-31</t>
        </is>
      </c>
      <c r="D98" s="18" t="inlineStr">
        <is>
          <t>2024-06-30</t>
        </is>
      </c>
      <c r="E98" s="18" t="inlineStr">
        <is>
          <t>2024-09-30</t>
        </is>
      </c>
      <c r="F98" s="18" t="inlineStr">
        <is>
          <t>2024-12-31</t>
        </is>
      </c>
      <c r="G98" s="18" t="inlineStr">
        <is>
          <t>2025-03-31</t>
        </is>
      </c>
      <c r="H98" s="18" t="inlineStr">
        <is>
          <t>2025-06-30</t>
        </is>
      </c>
      <c r="I98" s="18" t="inlineStr">
        <is>
          <t>2025-09-30</t>
        </is>
      </c>
      <c r="J98" s="18" t="inlineStr">
        <is>
          <t>2025-12-31</t>
        </is>
      </c>
    </row>
    <row r="99" ht="16" customHeight="1">
      <c r="A99" s="96" t="inlineStr"/>
      <c r="B99" s="66" t="inlineStr">
        <is>
          <t>Revenue ($M)</t>
        </is>
      </c>
      <c r="C99" s="97" t="n">
        <v>22.072</v>
      </c>
      <c r="D99" s="97" t="n">
        <v>28.437</v>
      </c>
      <c r="E99" s="97" t="n">
        <v>27.207</v>
      </c>
      <c r="F99" s="97" t="n">
        <v>29.223</v>
      </c>
      <c r="G99" s="97" t="n">
        <v>24.245</v>
      </c>
      <c r="H99" s="97" t="n">
        <v>25.678</v>
      </c>
      <c r="I99" s="97" t="n">
        <v>28.384</v>
      </c>
      <c r="J99" s="97" t="n">
        <v>31.291</v>
      </c>
    </row>
    <row r="100" ht="16" customHeight="1">
      <c r="A100" s="96" t="inlineStr"/>
      <c r="B100" s="94" t="inlineStr">
        <is>
          <t>Gross Margin %</t>
        </is>
      </c>
      <c r="C100" s="71" t="n">
        <v>0.887</v>
      </c>
      <c r="D100" s="71" t="n">
        <v>0.897</v>
      </c>
      <c r="E100" s="71" t="n">
        <v>0.8540000000000001</v>
      </c>
      <c r="F100" s="71" t="n">
        <v>0.885</v>
      </c>
      <c r="G100" s="71" t="n">
        <v>0.856</v>
      </c>
      <c r="H100" s="71" t="n">
        <v>0.862</v>
      </c>
      <c r="I100" s="71" t="n">
        <v>0.88</v>
      </c>
      <c r="J100" s="71" t="n">
        <v>0.8809999999999999</v>
      </c>
    </row>
    <row r="101" ht="16" customHeight="1">
      <c r="A101" s="96" t="inlineStr"/>
      <c r="B101" s="25" t="inlineStr">
        <is>
          <t>QoQ Rev Growth</t>
        </is>
      </c>
      <c r="C101" s="50" t="n"/>
      <c r="D101" s="75" t="n">
        <v>0.2883744110184849</v>
      </c>
      <c r="E101" s="75" t="n">
        <v>-0.04325350775398248</v>
      </c>
      <c r="F101" s="75" t="n">
        <v>0.07409857757194839</v>
      </c>
      <c r="G101" s="75" t="n">
        <v>-0.1703452759812477</v>
      </c>
      <c r="H101" s="75" t="n">
        <v>0.0591049700969272</v>
      </c>
      <c r="I101" s="75" t="n">
        <v>0.1053820390996184</v>
      </c>
      <c r="J101" s="75" t="n">
        <v>0.1024168545659526</v>
      </c>
    </row>
    <row r="102" ht="16" customHeight="1">
      <c r="A102" s="96" t="inlineStr"/>
      <c r="B102" s="20" t="inlineStr">
        <is>
          <t>YoY Rev Growth</t>
        </is>
      </c>
      <c r="C102" s="48" t="n"/>
      <c r="D102" s="48" t="n"/>
      <c r="E102" s="48" t="n"/>
      <c r="F102" s="48" t="n"/>
      <c r="G102" s="71" t="n">
        <v>0.09845052555273649</v>
      </c>
      <c r="H102" s="71" t="n">
        <v>-0.09702148609206315</v>
      </c>
      <c r="I102" s="71" t="n">
        <v>0.04326092549711472</v>
      </c>
      <c r="J102" s="71" t="n">
        <v>0.07076617732607877</v>
      </c>
    </row>
    <row r="103" ht="8" customHeight="1"/>
    <row r="104" ht="18" customHeight="1">
      <c r="A104" s="94" t="inlineStr">
        <is>
          <t>VPG  —  Vishay Precision Group, Inc.</t>
        </is>
      </c>
      <c r="C104" s="38" t="inlineStr">
        <is>
          <t>Small Cap</t>
        </is>
      </c>
      <c r="D104" s="74" t="inlineStr">
        <is>
          <t>Mkt Cap: $868M</t>
        </is>
      </c>
      <c r="E104" s="95" t="n"/>
      <c r="F104" s="95" t="n"/>
      <c r="G104" s="95" t="n"/>
      <c r="H104" s="95" t="n"/>
      <c r="I104" s="95" t="n"/>
      <c r="J104" s="95" t="n"/>
      <c r="K104" s="95" t="n"/>
    </row>
    <row r="105" ht="16" customHeight="1">
      <c r="A105" s="96" t="inlineStr"/>
      <c r="B105" s="18" t="inlineStr">
        <is>
          <t>Quarter</t>
        </is>
      </c>
      <c r="C105" s="18" t="inlineStr">
        <is>
          <t>2024-03-30</t>
        </is>
      </c>
      <c r="D105" s="18" t="inlineStr">
        <is>
          <t>2024-06-29</t>
        </is>
      </c>
      <c r="E105" s="18" t="inlineStr">
        <is>
          <t>2024-09-28</t>
        </is>
      </c>
      <c r="F105" s="18" t="inlineStr">
        <is>
          <t>2024-12-31</t>
        </is>
      </c>
      <c r="G105" s="18" t="inlineStr">
        <is>
          <t>2025-03-29</t>
        </is>
      </c>
      <c r="H105" s="18" t="inlineStr">
        <is>
          <t>2025-06-28</t>
        </is>
      </c>
      <c r="I105" s="18" t="inlineStr">
        <is>
          <t>2025-09-27</t>
        </is>
      </c>
      <c r="J105" s="18" t="inlineStr">
        <is>
          <t>2025-12-31</t>
        </is>
      </c>
    </row>
    <row r="106" ht="16" customHeight="1">
      <c r="A106" s="96" t="inlineStr"/>
      <c r="B106" s="66" t="inlineStr">
        <is>
          <t>Revenue ($M)</t>
        </is>
      </c>
      <c r="C106" s="97" t="n">
        <v>80.783</v>
      </c>
      <c r="D106" s="97" t="n">
        <v>77.35899999999999</v>
      </c>
      <c r="E106" s="97" t="n">
        <v>75.727</v>
      </c>
      <c r="F106" s="97" t="n">
        <v>72.65300000000001</v>
      </c>
      <c r="G106" s="97" t="n">
        <v>71.741</v>
      </c>
      <c r="H106" s="97" t="n">
        <v>75.161</v>
      </c>
      <c r="I106" s="97" t="n">
        <v>79.72799999999999</v>
      </c>
      <c r="J106" s="97" t="n">
        <v>80.572</v>
      </c>
    </row>
    <row r="107" ht="16" customHeight="1">
      <c r="A107" s="96" t="inlineStr"/>
      <c r="B107" s="94" t="inlineStr">
        <is>
          <t>Gross Margin %</t>
        </is>
      </c>
      <c r="C107" s="71" t="n">
        <v>0.434</v>
      </c>
      <c r="D107" s="71" t="n">
        <v>0.419</v>
      </c>
      <c r="E107" s="71" t="n">
        <v>0.4</v>
      </c>
      <c r="F107" s="71" t="n">
        <v>0.382</v>
      </c>
      <c r="G107" s="71" t="n">
        <v>0.377</v>
      </c>
      <c r="H107" s="71" t="n">
        <v>0.407</v>
      </c>
      <c r="I107" s="71" t="n">
        <v>0.403</v>
      </c>
      <c r="J107" s="71" t="n">
        <v>0.368</v>
      </c>
    </row>
    <row r="108" ht="16" customHeight="1">
      <c r="A108" s="96" t="inlineStr"/>
      <c r="B108" s="25" t="inlineStr">
        <is>
          <t>QoQ Rev Growth</t>
        </is>
      </c>
      <c r="C108" s="50" t="n"/>
      <c r="D108" s="75" t="n">
        <v>-0.04238515529257393</v>
      </c>
      <c r="E108" s="75" t="n">
        <v>-0.02109644643803565</v>
      </c>
      <c r="F108" s="75" t="n">
        <v>-0.0405931834088238</v>
      </c>
      <c r="G108" s="75" t="n">
        <v>-0.01255281956698278</v>
      </c>
      <c r="H108" s="75" t="n">
        <v>0.04767148492493832</v>
      </c>
      <c r="I108" s="75" t="n">
        <v>0.0607628956506699</v>
      </c>
      <c r="J108" s="75" t="n">
        <v>0.01058599237407184</v>
      </c>
    </row>
    <row r="109" ht="16" customHeight="1">
      <c r="A109" s="96" t="inlineStr"/>
      <c r="B109" s="20" t="inlineStr">
        <is>
          <t>YoY Rev Growth</t>
        </is>
      </c>
      <c r="C109" s="48" t="n"/>
      <c r="D109" s="48" t="n"/>
      <c r="E109" s="48" t="n"/>
      <c r="F109" s="48" t="n"/>
      <c r="G109" s="71" t="n">
        <v>-0.1119294901154946</v>
      </c>
      <c r="H109" s="71" t="n">
        <v>-0.02841298362181518</v>
      </c>
      <c r="I109" s="71" t="n">
        <v>0.05283452401389201</v>
      </c>
      <c r="J109" s="71" t="n">
        <v>0.1089975637619919</v>
      </c>
    </row>
    <row r="110" ht="8" customHeight="1"/>
    <row r="111" ht="18" customHeight="1">
      <c r="A111" s="94" t="inlineStr">
        <is>
          <t>MNTK  —  Montauk Renewables, Inc.</t>
        </is>
      </c>
      <c r="C111" s="38" t="inlineStr">
        <is>
          <t>Small Cap</t>
        </is>
      </c>
      <c r="D111" s="74" t="inlineStr">
        <is>
          <t>Mkt Cap: $337M</t>
        </is>
      </c>
      <c r="E111" s="95" t="n"/>
      <c r="F111" s="95" t="n"/>
      <c r="G111" s="95" t="n"/>
      <c r="H111" s="95" t="n"/>
      <c r="I111" s="95" t="n"/>
      <c r="J111" s="95" t="n"/>
      <c r="K111" s="95" t="n"/>
    </row>
    <row r="112" ht="16" customHeight="1">
      <c r="A112" s="96" t="inlineStr"/>
      <c r="B112" s="18" t="inlineStr">
        <is>
          <t>Quarter</t>
        </is>
      </c>
      <c r="C112" s="18" t="inlineStr">
        <is>
          <t>2024-03-31</t>
        </is>
      </c>
      <c r="D112" s="18" t="inlineStr">
        <is>
          <t>2024-06-30</t>
        </is>
      </c>
      <c r="E112" s="18" t="inlineStr">
        <is>
          <t>2024-09-30</t>
        </is>
      </c>
      <c r="F112" s="18" t="inlineStr">
        <is>
          <t>2024-12-31</t>
        </is>
      </c>
      <c r="G112" s="18" t="inlineStr">
        <is>
          <t>2025-03-31</t>
        </is>
      </c>
      <c r="H112" s="18" t="inlineStr">
        <is>
          <t>2025-06-30</t>
        </is>
      </c>
      <c r="I112" s="18" t="inlineStr">
        <is>
          <t>2025-09-30</t>
        </is>
      </c>
      <c r="J112" s="18" t="inlineStr">
        <is>
          <t>2025-12-31</t>
        </is>
      </c>
    </row>
    <row r="113" ht="16" customHeight="1">
      <c r="A113" s="96" t="inlineStr"/>
      <c r="B113" s="66" t="inlineStr">
        <is>
          <t>Revenue ($M)</t>
        </is>
      </c>
      <c r="C113" s="97" t="n">
        <v>38.787</v>
      </c>
      <c r="D113" s="97" t="n">
        <v>43.338</v>
      </c>
      <c r="E113" s="97" t="n">
        <v>65.917</v>
      </c>
      <c r="F113" s="97" t="n">
        <v>27.694</v>
      </c>
      <c r="G113" s="97" t="n">
        <v>42.603</v>
      </c>
      <c r="H113" s="97" t="n">
        <v>45.127</v>
      </c>
      <c r="I113" s="97" t="n">
        <v>45.258</v>
      </c>
      <c r="J113" s="97" t="n">
        <v>43.394</v>
      </c>
    </row>
    <row r="114" ht="16" customHeight="1">
      <c r="A114" s="96" t="inlineStr"/>
      <c r="B114" s="94" t="inlineStr">
        <is>
          <t>Gross Margin %</t>
        </is>
      </c>
      <c r="C114" s="71" t="n">
        <v>0.459</v>
      </c>
      <c r="D114" s="71" t="n">
        <v>0.36</v>
      </c>
      <c r="E114" s="71" t="n">
        <v>0.597</v>
      </c>
      <c r="F114" s="71" t="n">
        <v>0.174</v>
      </c>
      <c r="G114" s="71" t="n">
        <v>0.41</v>
      </c>
      <c r="H114" s="71" t="n">
        <v>0.312</v>
      </c>
      <c r="I114" s="71" t="n">
        <v>0.428</v>
      </c>
      <c r="J114" s="71" t="n">
        <v>0.343</v>
      </c>
    </row>
    <row r="115" ht="16" customHeight="1">
      <c r="A115" s="96" t="inlineStr"/>
      <c r="B115" s="25" t="inlineStr">
        <is>
          <t>QoQ Rev Growth</t>
        </is>
      </c>
      <c r="C115" s="50" t="n"/>
      <c r="D115" s="75" t="n">
        <v>0.1173331270786604</v>
      </c>
      <c r="E115" s="75" t="n">
        <v>0.5209977387050625</v>
      </c>
      <c r="F115" s="75" t="n">
        <v>-0.5798655885431679</v>
      </c>
      <c r="G115" s="75" t="n">
        <v>0.5383476565321008</v>
      </c>
      <c r="H115" s="75" t="n">
        <v>0.0592446541323381</v>
      </c>
      <c r="I115" s="75" t="n">
        <v>0.002902918430208079</v>
      </c>
      <c r="J115" s="75" t="n">
        <v>-0.04118608864731097</v>
      </c>
    </row>
    <row r="116" ht="16" customHeight="1">
      <c r="A116" s="96" t="inlineStr"/>
      <c r="B116" s="20" t="inlineStr">
        <is>
          <t>YoY Rev Growth</t>
        </is>
      </c>
      <c r="C116" s="48" t="n"/>
      <c r="D116" s="48" t="n"/>
      <c r="E116" s="48" t="n"/>
      <c r="F116" s="48" t="n"/>
      <c r="G116" s="71" t="n">
        <v>0.09838347900069611</v>
      </c>
      <c r="H116" s="71" t="n">
        <v>0.04128016982786469</v>
      </c>
      <c r="I116" s="71" t="n">
        <v>-0.3134092874372317</v>
      </c>
      <c r="J116" s="71" t="n">
        <v>0.5669097999566693</v>
      </c>
    </row>
    <row r="117" ht="8" customHeight="1"/>
    <row r="118" ht="18" customHeight="1">
      <c r="A118" s="94" t="inlineStr">
        <is>
          <t>EVLV  —  Evolv Technologies Holdings, Inc.</t>
        </is>
      </c>
      <c r="C118" s="38" t="inlineStr">
        <is>
          <t>Small Cap</t>
        </is>
      </c>
      <c r="D118" s="74" t="inlineStr">
        <is>
          <t>Mkt Cap: $913M</t>
        </is>
      </c>
      <c r="E118" s="95" t="n"/>
      <c r="F118" s="95" t="n"/>
      <c r="G118" s="95" t="n"/>
      <c r="H118" s="95" t="n"/>
      <c r="I118" s="95" t="n"/>
      <c r="J118" s="95" t="n"/>
      <c r="K118" s="95" t="n"/>
    </row>
    <row r="119" ht="16" customHeight="1">
      <c r="A119" s="96"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6" t="inlineStr"/>
      <c r="B120" s="66" t="inlineStr">
        <is>
          <t>Revenue ($M)</t>
        </is>
      </c>
      <c r="C120" s="97" t="n">
        <v>22.181</v>
      </c>
      <c r="D120" s="97" t="n">
        <v>25.54</v>
      </c>
      <c r="E120" s="97" t="n">
        <v>27.36</v>
      </c>
      <c r="F120" s="97" t="n">
        <v>29.1</v>
      </c>
      <c r="G120" s="97" t="n">
        <v>32.007</v>
      </c>
      <c r="H120" s="97" t="n">
        <v>32.544</v>
      </c>
      <c r="I120" s="97" t="n">
        <v>42.85</v>
      </c>
      <c r="J120" s="97" t="n">
        <v>38.504</v>
      </c>
    </row>
    <row r="121" ht="16" customHeight="1">
      <c r="A121" s="96" t="inlineStr"/>
      <c r="B121" s="94" t="inlineStr">
        <is>
          <t>Gross Margin %</t>
        </is>
      </c>
      <c r="C121" s="71" t="n">
        <v>0.5479999999999999</v>
      </c>
      <c r="D121" s="71" t="n">
        <v>0.5670000000000001</v>
      </c>
      <c r="E121" s="71" t="n">
        <v>0.578</v>
      </c>
      <c r="F121" s="71" t="n">
        <v>0.575</v>
      </c>
      <c r="G121" s="71" t="n">
        <v>0.598</v>
      </c>
      <c r="H121" s="71" t="n">
        <v>0.498</v>
      </c>
      <c r="I121" s="71" t="n">
        <v>0.4970000000000001</v>
      </c>
      <c r="J121" s="71" t="n">
        <v>0.484</v>
      </c>
    </row>
    <row r="122" ht="16" customHeight="1">
      <c r="A122" s="96" t="inlineStr"/>
      <c r="B122" s="25" t="inlineStr">
        <is>
          <t>QoQ Rev Growth</t>
        </is>
      </c>
      <c r="C122" s="50" t="n"/>
      <c r="D122" s="75" t="n">
        <v>0.1514359136197647</v>
      </c>
      <c r="E122" s="75" t="n">
        <v>0.07126076742364917</v>
      </c>
      <c r="F122" s="75" t="n">
        <v>0.06359649122807018</v>
      </c>
      <c r="G122" s="75" t="n">
        <v>0.09989690721649484</v>
      </c>
      <c r="H122" s="75" t="n">
        <v>0.01677757990439591</v>
      </c>
      <c r="I122" s="75" t="n">
        <v>0.3166789577187807</v>
      </c>
      <c r="J122" s="75" t="n">
        <v>-0.1014235705950992</v>
      </c>
    </row>
    <row r="123" ht="16" customHeight="1">
      <c r="A123" s="96" t="inlineStr"/>
      <c r="B123" s="20" t="inlineStr">
        <is>
          <t>YoY Rev Growth</t>
        </is>
      </c>
      <c r="C123" s="48" t="n"/>
      <c r="D123" s="48" t="n"/>
      <c r="E123" s="48" t="n"/>
      <c r="F123" s="48" t="n"/>
      <c r="G123" s="71" t="n">
        <v>0.4429917496956855</v>
      </c>
      <c r="H123" s="71" t="n">
        <v>0.2742364917776038</v>
      </c>
      <c r="I123" s="71" t="n">
        <v>0.5661549707602339</v>
      </c>
      <c r="J123" s="71" t="n">
        <v>0.3231615120274914</v>
      </c>
    </row>
    <row r="124" ht="8" customHeight="1"/>
    <row r="125" ht="18" customHeight="1">
      <c r="A125" s="94" t="inlineStr">
        <is>
          <t>ADTN  —  ADTRAN Holdings Inc.</t>
        </is>
      </c>
      <c r="C125" s="38" t="inlineStr">
        <is>
          <t>Small Cap</t>
        </is>
      </c>
      <c r="D125" s="74" t="inlineStr">
        <is>
          <t>Mkt Cap: $608M</t>
        </is>
      </c>
      <c r="E125" s="95" t="n"/>
      <c r="F125" s="95" t="n"/>
      <c r="G125" s="95" t="n"/>
      <c r="H125" s="95" t="n"/>
      <c r="I125" s="95" t="n"/>
      <c r="J125" s="95" t="n"/>
      <c r="K125" s="95" t="n"/>
    </row>
    <row r="126" ht="16" customHeight="1">
      <c r="A126" s="96"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6" t="inlineStr"/>
      <c r="B127" s="66" t="inlineStr">
        <is>
          <t>Revenue ($M)</t>
        </is>
      </c>
      <c r="C127" s="97" t="n">
        <v>226.173</v>
      </c>
      <c r="D127" s="97" t="n">
        <v>225.991</v>
      </c>
      <c r="E127" s="97" t="n">
        <v>227.704</v>
      </c>
      <c r="F127" s="97" t="n">
        <v>242.852</v>
      </c>
      <c r="G127" s="97" t="n">
        <v>247.744</v>
      </c>
      <c r="H127" s="97" t="n">
        <v>265.068</v>
      </c>
      <c r="I127" s="97" t="n">
        <v>279.435</v>
      </c>
      <c r="J127" s="97" t="n">
        <v>291.56</v>
      </c>
    </row>
    <row r="128" ht="16" customHeight="1">
      <c r="A128" s="96" t="inlineStr"/>
      <c r="B128" s="94" t="inlineStr">
        <is>
          <t>Gross Margin %</t>
        </is>
      </c>
      <c r="C128" s="71" t="n">
        <v>0.311</v>
      </c>
      <c r="D128" s="71" t="n">
        <v>0.361</v>
      </c>
      <c r="E128" s="71" t="n">
        <v>0.374</v>
      </c>
      <c r="F128" s="71" t="n">
        <v>0.376</v>
      </c>
      <c r="G128" s="71" t="n">
        <v>0.384</v>
      </c>
      <c r="H128" s="71" t="n">
        <v>0.373</v>
      </c>
      <c r="I128" s="71" t="n">
        <v>0.383</v>
      </c>
      <c r="J128" s="71" t="n">
        <v>0.39</v>
      </c>
    </row>
    <row r="129" ht="16" customHeight="1">
      <c r="A129" s="96" t="inlineStr"/>
      <c r="B129" s="25" t="inlineStr">
        <is>
          <t>QoQ Rev Growth</t>
        </is>
      </c>
      <c r="C129" s="50" t="n"/>
      <c r="D129" s="75" t="n">
        <v>-0.000804693752127796</v>
      </c>
      <c r="E129" s="75" t="n">
        <v>0.007579947874030382</v>
      </c>
      <c r="F129" s="75" t="n">
        <v>0.06652496223166919</v>
      </c>
      <c r="G129" s="75" t="n">
        <v>0.02014395598965625</v>
      </c>
      <c r="H129" s="75" t="n">
        <v>0.06992702144148799</v>
      </c>
      <c r="I129" s="75" t="n">
        <v>0.05420118611073385</v>
      </c>
      <c r="J129" s="75" t="n">
        <v>0.04339112852720668</v>
      </c>
    </row>
    <row r="130" ht="16" customHeight="1">
      <c r="A130" s="96" t="inlineStr"/>
      <c r="B130" s="20" t="inlineStr">
        <is>
          <t>YoY Rev Growth</t>
        </is>
      </c>
      <c r="C130" s="48" t="n"/>
      <c r="D130" s="48" t="n"/>
      <c r="E130" s="48" t="n"/>
      <c r="F130" s="48" t="n"/>
      <c r="G130" s="71" t="n">
        <v>0.09537389520411367</v>
      </c>
      <c r="H130" s="71" t="n">
        <v>0.1729139656004</v>
      </c>
      <c r="I130" s="71" t="n">
        <v>0.2271852931876471</v>
      </c>
      <c r="J130" s="71" t="n">
        <v>0.2005666002338873</v>
      </c>
    </row>
    <row r="131" ht="8" customHeight="1"/>
    <row r="132" ht="18" customHeight="1">
      <c r="A132" s="94" t="inlineStr">
        <is>
          <t>CMCO  —  Columbus McKinnon Corporation</t>
        </is>
      </c>
      <c r="C132" s="38" t="inlineStr">
        <is>
          <t>Small Cap</t>
        </is>
      </c>
      <c r="D132" s="74" t="inlineStr">
        <is>
          <t>Mkt Cap: $540M</t>
        </is>
      </c>
      <c r="E132" s="95" t="n"/>
      <c r="F132" s="95" t="n"/>
      <c r="G132" s="95" t="n"/>
      <c r="H132" s="95" t="n"/>
      <c r="I132" s="95" t="n"/>
      <c r="J132" s="95" t="n"/>
      <c r="K132" s="95" t="n"/>
    </row>
    <row r="133" ht="16" customHeight="1">
      <c r="A133" s="96"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6" t="inlineStr"/>
      <c r="B134" s="66" t="inlineStr">
        <is>
          <t>Revenue ($M)</t>
        </is>
      </c>
      <c r="C134" s="97" t="n">
        <v>265.504</v>
      </c>
      <c r="D134" s="97" t="n">
        <v>239.726</v>
      </c>
      <c r="E134" s="97" t="n">
        <v>242.274</v>
      </c>
      <c r="F134" s="97" t="n">
        <v>234.138</v>
      </c>
      <c r="G134" s="97" t="n">
        <v>246.889</v>
      </c>
      <c r="H134" s="97" t="n">
        <v>235.92</v>
      </c>
      <c r="I134" s="97" t="n">
        <v>261.047</v>
      </c>
      <c r="J134" s="97" t="n">
        <v>258.655</v>
      </c>
    </row>
    <row r="135" ht="16" customHeight="1">
      <c r="A135" s="96" t="inlineStr"/>
      <c r="B135" s="94" t="inlineStr">
        <is>
          <t>Gross Margin %</t>
        </is>
      </c>
      <c r="C135" s="71" t="n">
        <v>0.355</v>
      </c>
      <c r="D135" s="71" t="n">
        <v>0.371</v>
      </c>
      <c r="E135" s="71" t="n">
        <v>0.309</v>
      </c>
      <c r="F135" s="71" t="n">
        <v>0.351</v>
      </c>
      <c r="G135" s="71" t="n">
        <v>0.323</v>
      </c>
      <c r="H135" s="71" t="n">
        <v>0.327</v>
      </c>
      <c r="I135" s="71" t="n">
        <v>0.345</v>
      </c>
      <c r="J135" s="71" t="n">
        <v>0.345</v>
      </c>
    </row>
    <row r="136" ht="16" customHeight="1">
      <c r="A136" s="96" t="inlineStr"/>
      <c r="B136" s="25" t="inlineStr">
        <is>
          <t>QoQ Rev Growth</t>
        </is>
      </c>
      <c r="C136" s="50" t="n"/>
      <c r="D136" s="75" t="n">
        <v>-0.09709081595757503</v>
      </c>
      <c r="E136" s="75" t="n">
        <v>0.01062880121472014</v>
      </c>
      <c r="F136" s="75" t="n">
        <v>-0.03358181232819039</v>
      </c>
      <c r="G136" s="75" t="n">
        <v>0.05445933594717645</v>
      </c>
      <c r="H136" s="75" t="n">
        <v>-0.04442887289429662</v>
      </c>
      <c r="I136" s="75" t="n">
        <v>0.1065064428619871</v>
      </c>
      <c r="J136" s="75" t="n">
        <v>-0.009163100897539524</v>
      </c>
    </row>
    <row r="137" ht="16" customHeight="1">
      <c r="A137" s="96" t="inlineStr"/>
      <c r="B137" s="20" t="inlineStr">
        <is>
          <t>YoY Rev Growth</t>
        </is>
      </c>
      <c r="C137" s="48" t="n"/>
      <c r="D137" s="48" t="n"/>
      <c r="E137" s="48" t="n"/>
      <c r="F137" s="48" t="n"/>
      <c r="G137" s="71" t="n">
        <v>-0.07011193804989756</v>
      </c>
      <c r="H137" s="71" t="n">
        <v>-0.0158764589573096</v>
      </c>
      <c r="I137" s="71" t="n">
        <v>0.07748664734969497</v>
      </c>
      <c r="J137" s="71" t="n">
        <v>0.1047117511894695</v>
      </c>
    </row>
    <row r="138" ht="8" customHeight="1"/>
    <row r="139" ht="18" customHeight="1">
      <c r="A139" s="94" t="inlineStr">
        <is>
          <t>NL  —  NLI Holdings, Inc.</t>
        </is>
      </c>
      <c r="C139" s="38" t="inlineStr">
        <is>
          <t>Small Cap</t>
        </is>
      </c>
      <c r="D139" s="74" t="inlineStr">
        <is>
          <t>Mkt Cap: $327M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37.971</v>
      </c>
      <c r="D141" s="97" t="n">
        <v>35.887</v>
      </c>
      <c r="E141" s="97" t="n">
        <v>33.667</v>
      </c>
      <c r="F141" s="97" t="n">
        <v>38.416</v>
      </c>
      <c r="G141" s="97" t="n">
        <v>40.272</v>
      </c>
      <c r="H141" s="97" t="n">
        <v>40.366</v>
      </c>
      <c r="I141" s="97" t="n">
        <v>39.95</v>
      </c>
      <c r="J141" s="97" t="n">
        <v>37.697</v>
      </c>
    </row>
    <row r="142" ht="16" customHeight="1">
      <c r="A142" s="96" t="inlineStr"/>
      <c r="B142" s="94" t="inlineStr">
        <is>
          <t>Gross Margin %</t>
        </is>
      </c>
      <c r="C142" s="71" t="n">
        <v>0.255</v>
      </c>
      <c r="D142" s="71" t="n">
        <v>0.311</v>
      </c>
      <c r="E142" s="71" t="n">
        <v>0.281</v>
      </c>
      <c r="F142" s="71" t="n">
        <v>0.288</v>
      </c>
      <c r="G142" s="71" t="n">
        <v>0.302</v>
      </c>
      <c r="H142" s="71" t="n">
        <v>0.319</v>
      </c>
      <c r="I142" s="71" t="n">
        <v>0.276</v>
      </c>
      <c r="J142" s="71" t="n">
        <v>0.321</v>
      </c>
    </row>
    <row r="143" ht="16" customHeight="1">
      <c r="A143" s="96" t="inlineStr"/>
      <c r="B143" s="25" t="inlineStr">
        <is>
          <t>QoQ Rev Growth</t>
        </is>
      </c>
      <c r="C143" s="50" t="n"/>
      <c r="D143" s="75" t="n">
        <v>-0.0548839904137368</v>
      </c>
      <c r="E143" s="75" t="n">
        <v>-0.06186084097305431</v>
      </c>
      <c r="F143" s="75" t="n">
        <v>0.1410580093266403</v>
      </c>
      <c r="G143" s="75" t="n">
        <v>0.04831320283215327</v>
      </c>
      <c r="H143" s="75" t="n">
        <v>0.002334127930075487</v>
      </c>
      <c r="I143" s="75" t="n">
        <v>-0.01030570281920428</v>
      </c>
      <c r="J143" s="75" t="n">
        <v>-0.05639549436795995</v>
      </c>
    </row>
    <row r="144" ht="16" customHeight="1">
      <c r="A144" s="96" t="inlineStr"/>
      <c r="B144" s="20" t="inlineStr">
        <is>
          <t>YoY Rev Growth</t>
        </is>
      </c>
      <c r="C144" s="48" t="n"/>
      <c r="D144" s="48" t="n"/>
      <c r="E144" s="48" t="n"/>
      <c r="F144" s="48" t="n"/>
      <c r="G144" s="71" t="n">
        <v>0.06059887809117485</v>
      </c>
      <c r="H144" s="71" t="n">
        <v>0.1248084264496893</v>
      </c>
      <c r="I144" s="71" t="n">
        <v>0.1866219146345086</v>
      </c>
      <c r="J144" s="71" t="n">
        <v>-0.0187161599333611</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CE  —  Celanese Corporation</t>
        </is>
      </c>
      <c r="C147" s="38" t="inlineStr">
        <is>
          <t>Breakout</t>
        </is>
      </c>
      <c r="D147" s="74" t="inlineStr">
        <is>
          <t>Mkt Cap: $4874M</t>
        </is>
      </c>
      <c r="E147" s="95" t="n"/>
      <c r="F147" s="95" t="n"/>
      <c r="G147" s="95" t="n"/>
      <c r="H147" s="95" t="n"/>
      <c r="I147" s="95" t="n"/>
      <c r="J147" s="95" t="n"/>
      <c r="K147" s="95" t="n"/>
    </row>
    <row r="148" ht="16" customHeight="1">
      <c r="A148" s="96" t="inlineStr"/>
      <c r="B148" s="18" t="inlineStr">
        <is>
          <t>Quarter</t>
        </is>
      </c>
      <c r="C148" s="18" t="inlineStr">
        <is>
          <t>2024-03-31</t>
        </is>
      </c>
      <c r="D148" s="18" t="inlineStr">
        <is>
          <t>2024-06-30</t>
        </is>
      </c>
      <c r="E148" s="18" t="inlineStr">
        <is>
          <t>2024-09-30</t>
        </is>
      </c>
      <c r="F148" s="18" t="inlineStr">
        <is>
          <t>2024-12-31</t>
        </is>
      </c>
      <c r="G148" s="18" t="inlineStr">
        <is>
          <t>2025-03-31</t>
        </is>
      </c>
      <c r="H148" s="18" t="inlineStr">
        <is>
          <t>2025-06-30</t>
        </is>
      </c>
      <c r="I148" s="18" t="inlineStr">
        <is>
          <t>2025-09-30</t>
        </is>
      </c>
      <c r="J148" s="18" t="inlineStr">
        <is>
          <t>2025-12-31</t>
        </is>
      </c>
    </row>
    <row r="149" ht="16" customHeight="1">
      <c r="A149" s="96" t="inlineStr"/>
      <c r="B149" s="66" t="inlineStr">
        <is>
          <t>Revenue ($M)</t>
        </is>
      </c>
      <c r="C149" s="97" t="n">
        <v>2611</v>
      </c>
      <c r="D149" s="97" t="n">
        <v>2651</v>
      </c>
      <c r="E149" s="97" t="n">
        <v>2648</v>
      </c>
      <c r="F149" s="97" t="n">
        <v>2370</v>
      </c>
      <c r="G149" s="97" t="n">
        <v>2389</v>
      </c>
      <c r="H149" s="97" t="n">
        <v>2532</v>
      </c>
      <c r="I149" s="97" t="n">
        <v>2419</v>
      </c>
      <c r="J149" s="97" t="n">
        <v>2204</v>
      </c>
    </row>
    <row r="150" ht="16" customHeight="1">
      <c r="A150" s="96" t="inlineStr"/>
      <c r="B150" s="94" t="inlineStr">
        <is>
          <t>Gross Margin %</t>
        </is>
      </c>
      <c r="C150" s="71" t="n">
        <v>0.212</v>
      </c>
      <c r="D150" s="71" t="n">
        <v>0.242</v>
      </c>
      <c r="E150" s="71" t="n">
        <v>0.235</v>
      </c>
      <c r="F150" s="71" t="n">
        <v>0.227</v>
      </c>
      <c r="G150" s="71" t="n">
        <v>0.199</v>
      </c>
      <c r="H150" s="71" t="n">
        <v>0.211</v>
      </c>
      <c r="I150" s="71" t="n">
        <v>0.215</v>
      </c>
      <c r="J150" s="71" t="n">
        <v>0.174</v>
      </c>
    </row>
    <row r="151" ht="16" customHeight="1">
      <c r="A151" s="96" t="inlineStr"/>
      <c r="B151" s="25" t="inlineStr">
        <is>
          <t>QoQ Rev Growth</t>
        </is>
      </c>
      <c r="C151" s="50" t="n"/>
      <c r="D151" s="75" t="n">
        <v>0.01531980084258905</v>
      </c>
      <c r="E151" s="75" t="n">
        <v>-0.001131648434552999</v>
      </c>
      <c r="F151" s="75" t="n">
        <v>-0.1049848942598187</v>
      </c>
      <c r="G151" s="75" t="n">
        <v>0.008016877637130802</v>
      </c>
      <c r="H151" s="75" t="n">
        <v>0.05985768103809125</v>
      </c>
      <c r="I151" s="75" t="n">
        <v>-0.04462875197472354</v>
      </c>
      <c r="J151" s="75" t="n">
        <v>-0.0888797023563456</v>
      </c>
    </row>
    <row r="152" ht="16" customHeight="1">
      <c r="A152" s="96" t="inlineStr"/>
      <c r="B152" s="20" t="inlineStr">
        <is>
          <t>YoY Rev Growth</t>
        </is>
      </c>
      <c r="C152" s="48" t="n"/>
      <c r="D152" s="48" t="n"/>
      <c r="E152" s="48" t="n"/>
      <c r="F152" s="48" t="n"/>
      <c r="G152" s="71" t="n">
        <v>-0.0850248946763692</v>
      </c>
      <c r="H152" s="71" t="n">
        <v>-0.04488872123726895</v>
      </c>
      <c r="I152" s="71" t="n">
        <v>-0.08648036253776435</v>
      </c>
      <c r="J152" s="71" t="n">
        <v>-0.070042194092827</v>
      </c>
    </row>
    <row r="153" ht="8" customHeight="1"/>
    <row r="154" ht="18" customHeight="1">
      <c r="A154" s="94" t="inlineStr">
        <is>
          <t>CALX  —  Calix, Inc.</t>
        </is>
      </c>
      <c r="C154" s="38" t="inlineStr">
        <is>
          <t>Breakout</t>
        </is>
      </c>
      <c r="D154" s="74" t="inlineStr">
        <is>
          <t>Mkt Cap: $2220M</t>
        </is>
      </c>
      <c r="E154" s="95" t="n"/>
      <c r="F154" s="95" t="n"/>
      <c r="G154" s="95" t="n"/>
      <c r="H154" s="95" t="n"/>
      <c r="I154" s="95" t="n"/>
      <c r="J154" s="95" t="n"/>
      <c r="K154" s="95" t="n"/>
    </row>
    <row r="155" ht="16" customHeight="1">
      <c r="A155" s="96" t="inlineStr"/>
      <c r="B155" s="18" t="inlineStr">
        <is>
          <t>Quarter</t>
        </is>
      </c>
      <c r="C155" s="18" t="inlineStr">
        <is>
          <t>2024-03-30</t>
        </is>
      </c>
      <c r="D155" s="18" t="inlineStr">
        <is>
          <t>2024-06-29</t>
        </is>
      </c>
      <c r="E155" s="18" t="inlineStr">
        <is>
          <t>2024-09-28</t>
        </is>
      </c>
      <c r="F155" s="18" t="inlineStr">
        <is>
          <t>2024-12-31</t>
        </is>
      </c>
      <c r="G155" s="18" t="inlineStr">
        <is>
          <t>2025-03-29</t>
        </is>
      </c>
      <c r="H155" s="18" t="inlineStr">
        <is>
          <t>2025-06-28</t>
        </is>
      </c>
      <c r="I155" s="18" t="inlineStr">
        <is>
          <t>2025-09-27</t>
        </is>
      </c>
      <c r="J155" s="18" t="inlineStr">
        <is>
          <t>2025-12-31</t>
        </is>
      </c>
    </row>
    <row r="156" ht="16" customHeight="1">
      <c r="A156" s="96" t="inlineStr"/>
      <c r="B156" s="66" t="inlineStr">
        <is>
          <t>Revenue ($M)</t>
        </is>
      </c>
      <c r="C156" s="97" t="n">
        <v>226.31</v>
      </c>
      <c r="D156" s="97" t="n">
        <v>198.139</v>
      </c>
      <c r="E156" s="97" t="n">
        <v>200.945</v>
      </c>
      <c r="F156" s="97" t="n">
        <v>206.124</v>
      </c>
      <c r="G156" s="97" t="n">
        <v>220.242</v>
      </c>
      <c r="H156" s="97" t="n">
        <v>241.882</v>
      </c>
      <c r="I156" s="97" t="n">
        <v>265.437</v>
      </c>
      <c r="J156" s="97" t="n">
        <v>272.449</v>
      </c>
    </row>
    <row r="157" ht="16" customHeight="1">
      <c r="A157" s="96" t="inlineStr"/>
      <c r="B157" s="94" t="inlineStr">
        <is>
          <t>Gross Margin %</t>
        </is>
      </c>
      <c r="C157" s="71" t="n">
        <v>0.542</v>
      </c>
      <c r="D157" s="71" t="n">
        <v>0.5429999999999999</v>
      </c>
      <c r="E157" s="71" t="n">
        <v>0.5479999999999999</v>
      </c>
      <c r="F157" s="71" t="n">
        <v>0.55</v>
      </c>
      <c r="G157" s="71" t="n">
        <v>0.5570000000000001</v>
      </c>
      <c r="H157" s="71" t="n">
        <v>0.5629999999999999</v>
      </c>
      <c r="I157" s="71" t="n">
        <v>0.573</v>
      </c>
      <c r="J157" s="71" t="n">
        <v>0.5770000000000001</v>
      </c>
    </row>
    <row r="158" ht="16" customHeight="1">
      <c r="A158" s="96" t="inlineStr"/>
      <c r="B158" s="25" t="inlineStr">
        <is>
          <t>QoQ Rev Growth</t>
        </is>
      </c>
      <c r="C158" s="50" t="n"/>
      <c r="D158" s="75" t="n">
        <v>-0.1244796959922231</v>
      </c>
      <c r="E158" s="75" t="n">
        <v>0.01416177531934652</v>
      </c>
      <c r="F158" s="75" t="n">
        <v>0.02577322152827888</v>
      </c>
      <c r="G158" s="75" t="n">
        <v>0.06849275193572801</v>
      </c>
      <c r="H158" s="75" t="n">
        <v>0.09825555525285821</v>
      </c>
      <c r="I158" s="75" t="n">
        <v>0.09738219462382484</v>
      </c>
      <c r="J158" s="75" t="n">
        <v>0.02641681453602927</v>
      </c>
    </row>
    <row r="159" ht="16" customHeight="1">
      <c r="A159" s="96" t="inlineStr"/>
      <c r="B159" s="20" t="inlineStr">
        <is>
          <t>YoY Rev Growth</t>
        </is>
      </c>
      <c r="C159" s="48" t="n"/>
      <c r="D159" s="48" t="n"/>
      <c r="E159" s="48" t="n"/>
      <c r="F159" s="48" t="n"/>
      <c r="G159" s="71" t="n">
        <v>-0.02681277893155406</v>
      </c>
      <c r="H159" s="71" t="n">
        <v>0.2207692579451799</v>
      </c>
      <c r="I159" s="71" t="n">
        <v>0.3209435417651596</v>
      </c>
      <c r="J159" s="71" t="n">
        <v>0.3217723312181017</v>
      </c>
    </row>
    <row r="160" ht="8" customHeight="1"/>
    <row r="161" ht="18" customHeight="1">
      <c r="A161" s="94" t="inlineStr">
        <is>
          <t>ADEA  —  Adeia Inc.</t>
        </is>
      </c>
      <c r="C161" s="38" t="inlineStr">
        <is>
          <t>Breakout</t>
        </is>
      </c>
      <c r="D161" s="74" t="inlineStr">
        <is>
          <t>Mkt Cap: $2999M</t>
        </is>
      </c>
      <c r="E161" s="95" t="n"/>
      <c r="F161" s="95" t="n"/>
      <c r="G161" s="95" t="n"/>
      <c r="H161" s="95" t="n"/>
      <c r="I161" s="95" t="n"/>
      <c r="J161" s="95" t="n"/>
      <c r="K161" s="95" t="n"/>
    </row>
    <row r="162" ht="16" customHeight="1">
      <c r="A162" s="96" t="inlineStr"/>
      <c r="B162" s="18" t="inlineStr">
        <is>
          <t>Quarter</t>
        </is>
      </c>
      <c r="C162" s="18" t="inlineStr">
        <is>
          <t>2024-03-31</t>
        </is>
      </c>
      <c r="D162" s="18" t="inlineStr">
        <is>
          <t>2024-06-30</t>
        </is>
      </c>
      <c r="E162" s="18" t="inlineStr">
        <is>
          <t>2024-09-30</t>
        </is>
      </c>
      <c r="F162" s="18" t="inlineStr">
        <is>
          <t>2024-12-31</t>
        </is>
      </c>
      <c r="G162" s="18" t="inlineStr">
        <is>
          <t>2025-03-31</t>
        </is>
      </c>
      <c r="H162" s="18" t="inlineStr">
        <is>
          <t>2025-06-30</t>
        </is>
      </c>
      <c r="I162" s="18" t="inlineStr">
        <is>
          <t>2025-09-30</t>
        </is>
      </c>
      <c r="J162" s="18" t="inlineStr">
        <is>
          <t>2025-12-31</t>
        </is>
      </c>
    </row>
    <row r="163" ht="16" customHeight="1">
      <c r="A163" s="96" t="inlineStr"/>
      <c r="B163" s="66" t="inlineStr">
        <is>
          <t>Revenue ($M)</t>
        </is>
      </c>
      <c r="C163" s="97" t="n">
        <v>83.405</v>
      </c>
      <c r="D163" s="97" t="n">
        <v>87.34999999999999</v>
      </c>
      <c r="E163" s="97" t="n">
        <v>86.101</v>
      </c>
      <c r="F163" s="97" t="n">
        <v>119.168</v>
      </c>
      <c r="G163" s="97" t="n">
        <v>87.67</v>
      </c>
      <c r="H163" s="97" t="n">
        <v>85.735</v>
      </c>
      <c r="I163" s="97" t="n">
        <v>87.339</v>
      </c>
      <c r="J163" s="97" t="n">
        <v>182.642</v>
      </c>
    </row>
    <row r="164" ht="16" customHeight="1">
      <c r="A164" s="96" t="inlineStr"/>
      <c r="B164" s="94" t="inlineStr">
        <is>
          <t>Gross Margin %</t>
        </is>
      </c>
      <c r="C164" s="71" t="n">
        <v>0.716</v>
      </c>
      <c r="D164" s="71" t="n">
        <v>0.765</v>
      </c>
      <c r="E164" s="71" t="n">
        <v>0.836</v>
      </c>
      <c r="F164" s="71" t="n">
        <v>0.879</v>
      </c>
      <c r="G164" s="71" t="n">
        <v>0.8340000000000001</v>
      </c>
      <c r="H164" s="71" t="n">
        <v>0.8290000000000001</v>
      </c>
      <c r="I164" s="71" t="n">
        <v>0.8320000000000001</v>
      </c>
      <c r="J164" s="71" t="n">
        <v>0.922</v>
      </c>
    </row>
    <row r="165" ht="16" customHeight="1">
      <c r="A165" s="96" t="inlineStr"/>
      <c r="B165" s="25" t="inlineStr">
        <is>
          <t>QoQ Rev Growth</t>
        </is>
      </c>
      <c r="C165" s="50" t="n"/>
      <c r="D165" s="75" t="n">
        <v>0.04729932258257898</v>
      </c>
      <c r="E165" s="75" t="n">
        <v>-0.01429879793932456</v>
      </c>
      <c r="F165" s="75" t="n">
        <v>0.3840489657495267</v>
      </c>
      <c r="G165" s="75" t="n">
        <v>-0.2643159237379162</v>
      </c>
      <c r="H165" s="75" t="n">
        <v>-0.02207140412912056</v>
      </c>
      <c r="I165" s="75" t="n">
        <v>0.01870881203709104</v>
      </c>
      <c r="J165" s="75" t="n">
        <v>1.091184923115676</v>
      </c>
    </row>
    <row r="166" ht="16" customHeight="1">
      <c r="A166" s="96" t="inlineStr"/>
      <c r="B166" s="20" t="inlineStr">
        <is>
          <t>YoY Rev Growth</t>
        </is>
      </c>
      <c r="C166" s="48" t="n"/>
      <c r="D166" s="48" t="n"/>
      <c r="E166" s="48" t="n"/>
      <c r="F166" s="48" t="n"/>
      <c r="G166" s="71" t="n">
        <v>0.05113602302020263</v>
      </c>
      <c r="H166" s="71" t="n">
        <v>-0.01848883800801374</v>
      </c>
      <c r="I166" s="71" t="n">
        <v>0.0143784625033391</v>
      </c>
      <c r="J166" s="71" t="n">
        <v>0.5326429914070892</v>
      </c>
    </row>
    <row r="167" ht="8" customHeight="1"/>
    <row r="168" ht="18" customHeight="1">
      <c r="A168" s="94" t="inlineStr">
        <is>
          <t>DCI  —  Donaldson Company, Inc.</t>
        </is>
      </c>
      <c r="C168" s="38" t="inlineStr">
        <is>
          <t>Breakout</t>
        </is>
      </c>
      <c r="D168" s="74" t="inlineStr">
        <is>
          <t>Mkt Cap: $10619M</t>
        </is>
      </c>
      <c r="E168" s="95" t="n"/>
      <c r="F168" s="95" t="n"/>
      <c r="G168" s="95" t="n"/>
      <c r="H168" s="95" t="n"/>
      <c r="I168" s="95" t="n"/>
      <c r="J168" s="95" t="n"/>
      <c r="K168" s="95" t="n"/>
    </row>
    <row r="169" ht="16" customHeight="1">
      <c r="A169" s="96" t="inlineStr"/>
      <c r="B169" s="18" t="inlineStr">
        <is>
          <t>Quarter</t>
        </is>
      </c>
      <c r="C169" s="18" t="inlineStr">
        <is>
          <t>2024-04-30</t>
        </is>
      </c>
      <c r="D169" s="18" t="inlineStr">
        <is>
          <t>2024-07-31</t>
        </is>
      </c>
      <c r="E169" s="18" t="inlineStr">
        <is>
          <t>2024-10-31</t>
        </is>
      </c>
      <c r="F169" s="18" t="inlineStr">
        <is>
          <t>2025-01-31</t>
        </is>
      </c>
      <c r="G169" s="18" t="inlineStr">
        <is>
          <t>2025-04-30</t>
        </is>
      </c>
      <c r="H169" s="18" t="inlineStr">
        <is>
          <t>2025-07-31</t>
        </is>
      </c>
      <c r="I169" s="18" t="inlineStr">
        <is>
          <t>2025-10-31</t>
        </is>
      </c>
      <c r="J169" s="18" t="inlineStr">
        <is>
          <t>2026-01-31</t>
        </is>
      </c>
    </row>
    <row r="170" ht="16" customHeight="1">
      <c r="A170" s="96" t="inlineStr"/>
      <c r="B170" s="66" t="inlineStr">
        <is>
          <t>Revenue ($M)</t>
        </is>
      </c>
      <c r="C170" s="97" t="n">
        <v>927.9</v>
      </c>
      <c r="D170" s="97" t="n">
        <v>935.4</v>
      </c>
      <c r="E170" s="97" t="n">
        <v>900.1</v>
      </c>
      <c r="F170" s="97" t="n">
        <v>870</v>
      </c>
      <c r="G170" s="97" t="n">
        <v>940.1</v>
      </c>
      <c r="H170" s="97" t="n">
        <v>980.7</v>
      </c>
      <c r="I170" s="97" t="n">
        <v>935.4</v>
      </c>
      <c r="J170" s="97" t="n">
        <v>896.3</v>
      </c>
    </row>
    <row r="171" ht="16" customHeight="1">
      <c r="A171" s="96" t="inlineStr"/>
      <c r="B171" s="94" t="inlineStr">
        <is>
          <t>Gross Margin %</t>
        </is>
      </c>
      <c r="C171" s="71" t="n">
        <v>0.352</v>
      </c>
      <c r="D171" s="71" t="n">
        <v>0.358</v>
      </c>
      <c r="E171" s="71" t="n">
        <v>0.355</v>
      </c>
      <c r="F171" s="71" t="n">
        <v>0.352</v>
      </c>
      <c r="G171" s="71" t="n">
        <v>0.342</v>
      </c>
      <c r="H171" s="71" t="n">
        <v>0.345</v>
      </c>
      <c r="I171" s="71" t="n">
        <v>0.352</v>
      </c>
      <c r="J171" s="71" t="n">
        <v>0.334</v>
      </c>
    </row>
    <row r="172" ht="16" customHeight="1">
      <c r="A172" s="96" t="inlineStr"/>
      <c r="B172" s="25" t="inlineStr">
        <is>
          <t>QoQ Rev Growth</t>
        </is>
      </c>
      <c r="C172" s="50" t="n"/>
      <c r="D172" s="75" t="n">
        <v>0.008082767539605561</v>
      </c>
      <c r="E172" s="75" t="n">
        <v>-0.03773786615351721</v>
      </c>
      <c r="F172" s="75" t="n">
        <v>-0.03344072880791023</v>
      </c>
      <c r="G172" s="75" t="n">
        <v>0.08057471264367816</v>
      </c>
      <c r="H172" s="75" t="n">
        <v>0.04318689501116903</v>
      </c>
      <c r="I172" s="75" t="n">
        <v>-0.04619149587029673</v>
      </c>
      <c r="J172" s="75" t="n">
        <v>-0.04180029933718196</v>
      </c>
    </row>
    <row r="173" ht="16" customHeight="1">
      <c r="A173" s="96" t="inlineStr"/>
      <c r="B173" s="20" t="inlineStr">
        <is>
          <t>YoY Rev Growth</t>
        </is>
      </c>
      <c r="C173" s="48" t="n"/>
      <c r="D173" s="48" t="n"/>
      <c r="E173" s="48" t="n"/>
      <c r="F173" s="48" t="n"/>
      <c r="G173" s="71" t="n">
        <v>0.01314796853109171</v>
      </c>
      <c r="H173" s="71" t="n">
        <v>0.04842847979474022</v>
      </c>
      <c r="I173" s="71" t="n">
        <v>0.03921786468170203</v>
      </c>
      <c r="J173" s="71" t="n">
        <v>0.03022988505747127</v>
      </c>
    </row>
    <row r="174" ht="8" customHeight="1"/>
    <row r="175" ht="18" customHeight="1">
      <c r="A175" s="94" t="inlineStr">
        <is>
          <t>BCO  —  The Brink's Company</t>
        </is>
      </c>
      <c r="C175" s="38" t="inlineStr">
        <is>
          <t>Breakout</t>
        </is>
      </c>
      <c r="D175" s="74" t="inlineStr">
        <is>
          <t>Mkt Cap: $4373M</t>
        </is>
      </c>
      <c r="E175" s="95" t="n"/>
      <c r="F175" s="95" t="n"/>
      <c r="G175" s="95" t="n"/>
      <c r="H175" s="95" t="n"/>
      <c r="I175" s="95" t="n"/>
      <c r="J175" s="95" t="n"/>
      <c r="K175" s="95" t="n"/>
    </row>
    <row r="176" ht="16" customHeight="1">
      <c r="A176" s="96" t="inlineStr"/>
      <c r="B176" s="18" t="inlineStr">
        <is>
          <t>Quarter</t>
        </is>
      </c>
      <c r="C176" s="18" t="inlineStr">
        <is>
          <t>2024-03-31</t>
        </is>
      </c>
      <c r="D176" s="18" t="inlineStr">
        <is>
          <t>2024-06-30</t>
        </is>
      </c>
      <c r="E176" s="18" t="inlineStr">
        <is>
          <t>2024-09-30</t>
        </is>
      </c>
      <c r="F176" s="18" t="inlineStr">
        <is>
          <t>2024-12-31</t>
        </is>
      </c>
      <c r="G176" s="18" t="inlineStr">
        <is>
          <t>2025-03-31</t>
        </is>
      </c>
      <c r="H176" s="18" t="inlineStr">
        <is>
          <t>2025-06-30</t>
        </is>
      </c>
      <c r="I176" s="18" t="inlineStr">
        <is>
          <t>2025-09-30</t>
        </is>
      </c>
      <c r="J176" s="18" t="inlineStr">
        <is>
          <t>2025-12-31</t>
        </is>
      </c>
    </row>
    <row r="177" ht="16" customHeight="1">
      <c r="A177" s="96" t="inlineStr"/>
      <c r="B177" s="66" t="inlineStr">
        <is>
          <t>Revenue ($M)</t>
        </is>
      </c>
      <c r="C177" s="97" t="n">
        <v>1236.1</v>
      </c>
      <c r="D177" s="97" t="n">
        <v>1253.1</v>
      </c>
      <c r="E177" s="97" t="n">
        <v>1258.5</v>
      </c>
      <c r="F177" s="97" t="n">
        <v>1264.2</v>
      </c>
      <c r="G177" s="97" t="n">
        <v>1246.7</v>
      </c>
      <c r="H177" s="97" t="n">
        <v>1300.5</v>
      </c>
      <c r="I177" s="97" t="n">
        <v>1335</v>
      </c>
      <c r="J177" s="97" t="n">
        <v>1379</v>
      </c>
    </row>
    <row r="178" ht="16" customHeight="1">
      <c r="A178" s="96" t="inlineStr"/>
      <c r="B178" s="94" t="inlineStr">
        <is>
          <t>Gross Margin %</t>
        </is>
      </c>
      <c r="C178" s="71" t="n">
        <v>0.25</v>
      </c>
      <c r="D178" s="71" t="n">
        <v>0.252</v>
      </c>
      <c r="E178" s="71" t="n">
        <v>0.25</v>
      </c>
      <c r="F178" s="71" t="n">
        <v>0.261</v>
      </c>
      <c r="G178" s="71" t="n">
        <v>0.246</v>
      </c>
      <c r="H178" s="71" t="n">
        <v>0.249</v>
      </c>
      <c r="I178" s="71" t="n">
        <v>0.258</v>
      </c>
      <c r="J178" s="71" t="n">
        <v>0.277</v>
      </c>
    </row>
    <row r="179" ht="16" customHeight="1">
      <c r="A179" s="96" t="inlineStr"/>
      <c r="B179" s="25" t="inlineStr">
        <is>
          <t>QoQ Rev Growth</t>
        </is>
      </c>
      <c r="C179" s="50" t="n"/>
      <c r="D179" s="75" t="n">
        <v>0.01375293261063021</v>
      </c>
      <c r="E179" s="75" t="n">
        <v>0.004309312903998085</v>
      </c>
      <c r="F179" s="75" t="n">
        <v>0.004529201430274136</v>
      </c>
      <c r="G179" s="75" t="n">
        <v>-0.01384274640088594</v>
      </c>
      <c r="H179" s="75" t="n">
        <v>0.0431539263656052</v>
      </c>
      <c r="I179" s="75" t="n">
        <v>0.0265282583621684</v>
      </c>
      <c r="J179" s="75" t="n">
        <v>0.03295880149812734</v>
      </c>
    </row>
    <row r="180" ht="16" customHeight="1">
      <c r="A180" s="96" t="inlineStr"/>
      <c r="B180" s="20" t="inlineStr">
        <is>
          <t>YoY Rev Growth</t>
        </is>
      </c>
      <c r="C180" s="48" t="n"/>
      <c r="D180" s="48" t="n"/>
      <c r="E180" s="48" t="n"/>
      <c r="F180" s="48" t="n"/>
      <c r="G180" s="71" t="n">
        <v>0.008575357980745895</v>
      </c>
      <c r="H180" s="71" t="n">
        <v>0.03782619104620541</v>
      </c>
      <c r="I180" s="71" t="n">
        <v>0.06078665077473182</v>
      </c>
      <c r="J180" s="71" t="n">
        <v>0.09080841638981174</v>
      </c>
    </row>
    <row r="181" ht="8" customHeight="1"/>
    <row r="182" ht="18" customHeight="1">
      <c r="A182" s="94" t="inlineStr">
        <is>
          <t>NOVTU  —  Novanta Inc. Tangible Equity Units</t>
        </is>
      </c>
      <c r="C182" s="38" t="inlineStr">
        <is>
          <t>Breakout</t>
        </is>
      </c>
      <c r="D182" s="74" t="inlineStr">
        <is>
          <t>Mkt Cap: $2259M</t>
        </is>
      </c>
      <c r="E182" s="95" t="n"/>
      <c r="F182" s="95" t="n"/>
      <c r="G182" s="95" t="n"/>
      <c r="H182" s="95" t="n"/>
      <c r="I182" s="95" t="n"/>
      <c r="J182" s="95" t="n"/>
      <c r="K182" s="95" t="n"/>
    </row>
    <row r="183" ht="16" customHeight="1">
      <c r="A183" s="96" t="inlineStr"/>
      <c r="B183" s="18" t="inlineStr">
        <is>
          <t>Quarter</t>
        </is>
      </c>
      <c r="C183" s="18" t="inlineStr">
        <is>
          <t>2025-03-31</t>
        </is>
      </c>
      <c r="D183" s="18" t="inlineStr">
        <is>
          <t>2025-06-30</t>
        </is>
      </c>
      <c r="E183" s="18" t="inlineStr">
        <is>
          <t>2025-09-26</t>
        </is>
      </c>
      <c r="F183" s="18" t="inlineStr">
        <is>
          <t>2025-12-31</t>
        </is>
      </c>
      <c r="G183" s="18" t="inlineStr">
        <is>
          <t>2026-03-31</t>
        </is>
      </c>
      <c r="H183" s="18" t="inlineStr">
        <is>
          <t>2026-06-30</t>
        </is>
      </c>
    </row>
    <row r="184" ht="16" customHeight="1">
      <c r="A184" s="96" t="inlineStr"/>
      <c r="B184" s="66" t="inlineStr">
        <is>
          <t>Revenue ($M)</t>
        </is>
      </c>
      <c r="C184" s="97" t="n">
        <v>233.366</v>
      </c>
      <c r="D184" s="97" t="n">
        <v>241.049</v>
      </c>
      <c r="E184" s="97" t="n">
        <v>247.836</v>
      </c>
      <c r="F184" s="97" t="n">
        <v>258.349</v>
      </c>
      <c r="G184" s="97" t="n">
        <v>257.707</v>
      </c>
      <c r="H184" s="97" t="n">
        <v>265.807</v>
      </c>
    </row>
    <row r="185" ht="16" customHeight="1">
      <c r="A185" s="96" t="inlineStr"/>
      <c r="B185" s="94" t="inlineStr">
        <is>
          <t>Gross Margin %</t>
        </is>
      </c>
      <c r="C185" s="71" t="n">
        <v>0.447</v>
      </c>
      <c r="D185" s="71" t="n">
        <v>0.4429999999999999</v>
      </c>
      <c r="E185" s="71" t="n">
        <v>0.448</v>
      </c>
      <c r="F185" s="71" t="n">
        <v>0.407</v>
      </c>
      <c r="G185" s="71" t="n">
        <v>0.418</v>
      </c>
      <c r="H185" s="71" t="n">
        <v>0.431</v>
      </c>
    </row>
    <row r="186" ht="16" customHeight="1">
      <c r="A186" s="96" t="inlineStr"/>
      <c r="B186" s="25" t="inlineStr">
        <is>
          <t>QoQ Rev Growth</t>
        </is>
      </c>
      <c r="C186" s="50" t="n"/>
      <c r="D186" s="75" t="n">
        <v>0.03292253370242452</v>
      </c>
      <c r="E186" s="75" t="n">
        <v>0.02815610104169692</v>
      </c>
      <c r="F186" s="75" t="n">
        <v>0.04241918042576542</v>
      </c>
      <c r="G186" s="75" t="n">
        <v>-0.002485010586454757</v>
      </c>
      <c r="H186" s="75" t="n">
        <v>0.03143104378227988</v>
      </c>
    </row>
    <row r="187" ht="16" customHeight="1">
      <c r="A187" s="96" t="inlineStr"/>
      <c r="B187" s="20" t="inlineStr">
        <is>
          <t>YoY Rev Growth</t>
        </is>
      </c>
      <c r="C187" s="48" t="n"/>
      <c r="D187" s="48" t="n"/>
      <c r="E187" s="48" t="n"/>
      <c r="F187" s="48" t="n"/>
      <c r="G187" s="71" t="n">
        <v>0.1043039688729292</v>
      </c>
      <c r="H187" s="71" t="n">
        <v>0.1027094076308137</v>
      </c>
    </row>
    <row r="188" ht="8" customHeight="1"/>
    <row r="189" ht="18" customHeight="1">
      <c r="A189" s="94" t="inlineStr">
        <is>
          <t>CACI  —  CACI International Inc</t>
        </is>
      </c>
      <c r="C189" s="38" t="inlineStr">
        <is>
          <t>Breakout</t>
        </is>
      </c>
      <c r="D189" s="74" t="inlineStr">
        <is>
          <t>Mkt Cap: $13630M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1937.456</v>
      </c>
      <c r="D191" s="97" t="n">
        <v>2038.295</v>
      </c>
      <c r="E191" s="97" t="n">
        <v>2056.889</v>
      </c>
      <c r="F191" s="97" t="n">
        <v>2099.809</v>
      </c>
      <c r="G191" s="97" t="n">
        <v>2166.982</v>
      </c>
      <c r="H191" s="97" t="n">
        <v>2304.144</v>
      </c>
      <c r="I191" s="97" t="n">
        <v>2287.623</v>
      </c>
      <c r="J191" s="97" t="n">
        <v>2220.097</v>
      </c>
    </row>
    <row r="192" ht="16" customHeight="1">
      <c r="A192" s="96" t="inlineStr"/>
      <c r="B192" s="94" t="inlineStr">
        <is>
          <t>Gross Margin %</t>
        </is>
      </c>
      <c r="C192" s="71" t="n">
        <v>0.094</v>
      </c>
      <c r="D192" s="71" t="n">
        <v>0.09699999999999999</v>
      </c>
      <c r="E192" s="71" t="n">
        <v>0.08699999999999999</v>
      </c>
      <c r="F192" s="71" t="n">
        <v>0.08599999999999999</v>
      </c>
      <c r="G192" s="71" t="n">
        <v>0.091</v>
      </c>
      <c r="H192" s="71" t="n">
        <v>0.09</v>
      </c>
      <c r="I192" s="71" t="n">
        <v>0.09300000000000001</v>
      </c>
      <c r="J192" s="71" t="n">
        <v>0.09300000000000001</v>
      </c>
    </row>
    <row r="193" ht="16" customHeight="1">
      <c r="A193" s="96" t="inlineStr"/>
      <c r="B193" s="25" t="inlineStr">
        <is>
          <t>QoQ Rev Growth</t>
        </is>
      </c>
      <c r="C193" s="50" t="n"/>
      <c r="D193" s="75" t="n">
        <v>0.05204711745711903</v>
      </c>
      <c r="E193" s="75" t="n">
        <v>0.00912233018282437</v>
      </c>
      <c r="F193" s="75" t="n">
        <v>0.02086646386849266</v>
      </c>
      <c r="G193" s="75" t="n">
        <v>0.03199005242857803</v>
      </c>
      <c r="H193" s="75" t="n">
        <v>0.06329632641157149</v>
      </c>
      <c r="I193" s="75" t="n">
        <v>-0.007170124783867675</v>
      </c>
      <c r="J193" s="75" t="n">
        <v>-0.02951797564546256</v>
      </c>
    </row>
    <row r="194" ht="16" customHeight="1">
      <c r="A194" s="96" t="inlineStr"/>
      <c r="B194" s="20" t="inlineStr">
        <is>
          <t>YoY Rev Growth</t>
        </is>
      </c>
      <c r="C194" s="48" t="n"/>
      <c r="D194" s="48" t="n"/>
      <c r="E194" s="48" t="n"/>
      <c r="F194" s="48" t="n"/>
      <c r="G194" s="71" t="n">
        <v>0.1184677226218299</v>
      </c>
      <c r="H194" s="71" t="n">
        <v>0.1304271462177948</v>
      </c>
      <c r="I194" s="71" t="n">
        <v>0.1121762039662811</v>
      </c>
      <c r="J194" s="71" t="n">
        <v>0.05728521022626343</v>
      </c>
    </row>
    <row r="195" ht="8" customHeight="1"/>
    <row r="196" ht="18" customHeight="1">
      <c r="A196" s="94" t="inlineStr">
        <is>
          <t>RAL  —  Ralliant Corp</t>
        </is>
      </c>
      <c r="C196" s="38" t="inlineStr">
        <is>
          <t>Breakout</t>
        </is>
      </c>
      <c r="D196" s="74" t="inlineStr">
        <is>
          <t>Mkt Cap: $7111M</t>
        </is>
      </c>
      <c r="E196" s="95" t="n"/>
      <c r="F196" s="95" t="n"/>
      <c r="G196" s="95" t="n"/>
      <c r="H196" s="95" t="n"/>
      <c r="I196" s="95" t="n"/>
      <c r="J196" s="95" t="n"/>
      <c r="K196" s="95" t="n"/>
    </row>
    <row r="197" ht="16" customHeight="1">
      <c r="A197" s="96"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2025-06-27</t>
        </is>
      </c>
      <c r="I197" s="18" t="inlineStr">
        <is>
          <t>2025-09-26</t>
        </is>
      </c>
      <c r="J197" s="18" t="inlineStr">
        <is>
          <t>2025-12-31</t>
        </is>
      </c>
    </row>
    <row r="198" ht="16" customHeight="1">
      <c r="A198" s="96" t="inlineStr"/>
      <c r="B198" s="66" t="inlineStr">
        <is>
          <t>Revenue ($M)</t>
        </is>
      </c>
      <c r="C198" s="97" t="n">
        <v>541.2</v>
      </c>
      <c r="D198" s="97" t="n">
        <v>533.7</v>
      </c>
      <c r="E198" s="97" t="n">
        <v>531.7</v>
      </c>
      <c r="F198" s="97" t="n">
        <v>548.1</v>
      </c>
      <c r="G198" s="97" t="n">
        <v>481.8</v>
      </c>
      <c r="H198" s="97" t="n">
        <v>503.3</v>
      </c>
      <c r="I198" s="97" t="n">
        <v>529.1</v>
      </c>
      <c r="J198" s="97" t="n">
        <v>554.6</v>
      </c>
    </row>
    <row r="199" ht="16" customHeight="1">
      <c r="A199" s="96" t="inlineStr"/>
      <c r="B199" s="94" t="inlineStr">
        <is>
          <t>Gross Margin %</t>
        </is>
      </c>
      <c r="C199" s="71" t="n">
        <v>0.51</v>
      </c>
      <c r="D199" s="71" t="n">
        <v>0.515</v>
      </c>
      <c r="E199" s="71" t="n">
        <v>0.526</v>
      </c>
      <c r="F199" s="71" t="n">
        <v>0.514</v>
      </c>
      <c r="G199" s="71" t="n">
        <v>0.463</v>
      </c>
      <c r="H199" s="71" t="n">
        <v>0.45</v>
      </c>
      <c r="I199" s="71" t="n">
        <v>0.465</v>
      </c>
      <c r="J199" s="71" t="n">
        <v>0.465</v>
      </c>
    </row>
    <row r="200" ht="16" customHeight="1">
      <c r="A200" s="96" t="inlineStr"/>
      <c r="B200" s="25" t="inlineStr">
        <is>
          <t>QoQ Rev Growth</t>
        </is>
      </c>
      <c r="C200" s="50" t="n"/>
      <c r="D200" s="75" t="n">
        <v>-0.01385809312638581</v>
      </c>
      <c r="E200" s="75" t="n">
        <v>-0.003747423646243208</v>
      </c>
      <c r="F200" s="75" t="n">
        <v>0.03084446116230957</v>
      </c>
      <c r="G200" s="75" t="n">
        <v>-0.1209633278598796</v>
      </c>
      <c r="H200" s="75" t="n">
        <v>0.04462432544624326</v>
      </c>
      <c r="I200" s="75" t="n">
        <v>0.05126167295847407</v>
      </c>
      <c r="J200" s="75" t="n">
        <v>0.0481950481950482</v>
      </c>
    </row>
    <row r="201" ht="16" customHeight="1">
      <c r="A201" s="96" t="inlineStr"/>
      <c r="B201" s="20" t="inlineStr">
        <is>
          <t>YoY Rev Growth</t>
        </is>
      </c>
      <c r="C201" s="48" t="n"/>
      <c r="D201" s="48" t="n"/>
      <c r="E201" s="48" t="n"/>
      <c r="F201" s="48" t="n"/>
      <c r="G201" s="71" t="n">
        <v>-0.1097560975609756</v>
      </c>
      <c r="H201" s="71" t="n">
        <v>-0.05696083942289676</v>
      </c>
      <c r="I201" s="71" t="n">
        <v>-0.004889975550122249</v>
      </c>
      <c r="J201" s="71" t="n">
        <v>0.01185914979018427</v>
      </c>
    </row>
    <row r="202" ht="8" customHeight="1"/>
    <row r="203" ht="18" customHeight="1">
      <c r="A203" s="94" t="inlineStr">
        <is>
          <t>BDC  —  Belden Inc.</t>
        </is>
      </c>
      <c r="C203" s="38" t="inlineStr">
        <is>
          <t>Breakout</t>
        </is>
      </c>
      <c r="D203" s="74" t="inlineStr">
        <is>
          <t>Mkt Cap: $4788M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2024-09-29</t>
        </is>
      </c>
      <c r="F204" s="18" t="inlineStr">
        <is>
          <t>2024-12-31</t>
        </is>
      </c>
      <c r="G204" s="18" t="inlineStr">
        <is>
          <t>2025-03-30</t>
        </is>
      </c>
      <c r="H204" s="18" t="inlineStr">
        <is>
          <t>2025-06-29</t>
        </is>
      </c>
      <c r="I204" s="18" t="inlineStr">
        <is>
          <t>2025-09-28</t>
        </is>
      </c>
      <c r="J204" s="18" t="inlineStr">
        <is>
          <t>2025-12-31</t>
        </is>
      </c>
    </row>
    <row r="205" ht="16" customHeight="1">
      <c r="A205" s="96" t="inlineStr"/>
      <c r="B205" s="66" t="inlineStr">
        <is>
          <t>Revenue ($M)</t>
        </is>
      </c>
      <c r="C205" s="97" t="n">
        <v>535.675</v>
      </c>
      <c r="D205" s="97" t="n">
        <v>604.336</v>
      </c>
      <c r="E205" s="97" t="n">
        <v>654.926</v>
      </c>
      <c r="F205" s="97" t="n">
        <v>666.042</v>
      </c>
      <c r="G205" s="97" t="n">
        <v>624.861</v>
      </c>
      <c r="H205" s="97" t="n">
        <v>671.992</v>
      </c>
      <c r="I205" s="97" t="n">
        <v>698.221</v>
      </c>
      <c r="J205" s="97" t="n">
        <v>720.12</v>
      </c>
    </row>
    <row r="206" ht="16" customHeight="1">
      <c r="A206" s="96" t="inlineStr"/>
      <c r="B206" s="94" t="inlineStr">
        <is>
          <t>Gross Margin %</t>
        </is>
      </c>
      <c r="C206" s="71" t="n">
        <v>0.376</v>
      </c>
      <c r="D206" s="71" t="n">
        <v>0.375</v>
      </c>
      <c r="E206" s="71" t="n">
        <v>0.373</v>
      </c>
      <c r="F206" s="71" t="n">
        <v>0.375</v>
      </c>
      <c r="G206" s="71" t="n">
        <v>0.393</v>
      </c>
      <c r="H206" s="71" t="n">
        <v>0.365</v>
      </c>
      <c r="I206" s="71" t="n">
        <v>0.357</v>
      </c>
      <c r="J206" s="71" t="n">
        <v>0.349</v>
      </c>
    </row>
    <row r="207" ht="16" customHeight="1">
      <c r="A207" s="96" t="inlineStr"/>
      <c r="B207" s="25" t="inlineStr">
        <is>
          <t>QoQ Rev Growth</t>
        </is>
      </c>
      <c r="C207" s="50" t="n"/>
      <c r="D207" s="75" t="n">
        <v>0.1281765996173053</v>
      </c>
      <c r="E207" s="75" t="n">
        <v>0.08371171004209579</v>
      </c>
      <c r="F207" s="75" t="n">
        <v>0.01697290991654019</v>
      </c>
      <c r="G207" s="75" t="n">
        <v>-0.0618294341798265</v>
      </c>
      <c r="H207" s="75" t="n">
        <v>0.07542637482576126</v>
      </c>
      <c r="I207" s="75" t="n">
        <v>0.0390317146632698</v>
      </c>
      <c r="J207" s="75" t="n">
        <v>0.03136399506746431</v>
      </c>
    </row>
    <row r="208" ht="16" customHeight="1">
      <c r="A208" s="96" t="inlineStr"/>
      <c r="B208" s="20" t="inlineStr">
        <is>
          <t>YoY Rev Growth</t>
        </is>
      </c>
      <c r="C208" s="48" t="n"/>
      <c r="D208" s="48" t="n"/>
      <c r="E208" s="48" t="n"/>
      <c r="F208" s="48" t="n"/>
      <c r="G208" s="71" t="n">
        <v>0.1664927428011387</v>
      </c>
      <c r="H208" s="71" t="n">
        <v>0.111950967673612</v>
      </c>
      <c r="I208" s="71" t="n">
        <v>0.06610670518501327</v>
      </c>
      <c r="J208" s="71" t="n">
        <v>0.08119307791400543</v>
      </c>
    </row>
    <row r="209" ht="8" customHeight="1"/>
    <row r="210" ht="18" customHeight="1">
      <c r="A210" s="94" t="inlineStr">
        <is>
          <t>KD  —  Kyndryl Holdings, Inc.</t>
        </is>
      </c>
      <c r="C210" s="38" t="inlineStr">
        <is>
          <t>Breakout</t>
        </is>
      </c>
      <c r="D210" s="74" t="inlineStr">
        <is>
          <t>Mkt Cap: $2791M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3850</v>
      </c>
      <c r="D212" s="97" t="n">
        <v>3739</v>
      </c>
      <c r="E212" s="97" t="n">
        <v>3774</v>
      </c>
      <c r="F212" s="97" t="n">
        <v>3744</v>
      </c>
      <c r="G212" s="97" t="n">
        <v>3800</v>
      </c>
      <c r="H212" s="97" t="n">
        <v>3743</v>
      </c>
      <c r="I212" s="97" t="n">
        <v>3721</v>
      </c>
      <c r="J212" s="97" t="n">
        <v>3859</v>
      </c>
    </row>
    <row r="213" ht="16" customHeight="1">
      <c r="A213" s="96" t="inlineStr"/>
      <c r="B213" s="94" t="inlineStr">
        <is>
          <t>Gross Margin %</t>
        </is>
      </c>
      <c r="C213" s="71" t="n">
        <v>0.189</v>
      </c>
      <c r="D213" s="71" t="n">
        <v>0.215</v>
      </c>
      <c r="E213" s="71" t="n">
        <v>0.199</v>
      </c>
      <c r="F213" s="71" t="n">
        <v>0.204</v>
      </c>
      <c r="G213" s="71" t="n">
        <v>0.227</v>
      </c>
      <c r="H213" s="71" t="n">
        <v>0.213</v>
      </c>
      <c r="I213" s="71" t="n">
        <v>0.215</v>
      </c>
      <c r="J213" s="71" t="n">
        <v>0.218</v>
      </c>
    </row>
    <row r="214" ht="16" customHeight="1">
      <c r="A214" s="96" t="inlineStr"/>
      <c r="B214" s="25" t="inlineStr">
        <is>
          <t>QoQ Rev Growth</t>
        </is>
      </c>
      <c r="C214" s="50" t="n"/>
      <c r="D214" s="75" t="n">
        <v>-0.02883116883116883</v>
      </c>
      <c r="E214" s="75" t="n">
        <v>0.009360791655522867</v>
      </c>
      <c r="F214" s="75" t="n">
        <v>-0.007949125596184419</v>
      </c>
      <c r="G214" s="75" t="n">
        <v>0.01495726495726496</v>
      </c>
      <c r="H214" s="75" t="n">
        <v>-0.015</v>
      </c>
      <c r="I214" s="75" t="n">
        <v>-0.005877638258081752</v>
      </c>
      <c r="J214" s="75" t="n">
        <v>0.03708680462241333</v>
      </c>
    </row>
    <row r="215" ht="16" customHeight="1">
      <c r="A215" s="96" t="inlineStr"/>
      <c r="B215" s="20" t="inlineStr">
        <is>
          <t>YoY Rev Growth</t>
        </is>
      </c>
      <c r="C215" s="48" t="n"/>
      <c r="D215" s="48" t="n"/>
      <c r="E215" s="48" t="n"/>
      <c r="F215" s="48" t="n"/>
      <c r="G215" s="71" t="n">
        <v>-0.01298701298701299</v>
      </c>
      <c r="H215" s="71" t="n">
        <v>0.001069804760631185</v>
      </c>
      <c r="I215" s="71" t="n">
        <v>-0.01404345521992581</v>
      </c>
      <c r="J215" s="71" t="n">
        <v>0.03071581196581196</v>
      </c>
    </row>
    <row r="216" ht="8" customHeight="1"/>
    <row r="217" ht="22" customHeight="1">
      <c r="A217" s="16" t="inlineStr">
        <is>
          <t xml:space="preserve">  Vital Link</t>
        </is>
      </c>
      <c r="B217" s="17" t="n"/>
      <c r="C217" s="17" t="n"/>
      <c r="D217" s="17" t="n"/>
      <c r="E217" s="17" t="n"/>
      <c r="F217" s="17" t="n"/>
      <c r="G217" s="17" t="n"/>
      <c r="H217" s="17" t="n"/>
      <c r="I217" s="17" t="n"/>
      <c r="J217" s="17" t="n"/>
      <c r="K217" s="17" t="n"/>
    </row>
  </sheetData>
  <mergeCells count="36">
    <mergeCell ref="A182:B182"/>
    <mergeCell ref="A132:B132"/>
    <mergeCell ref="A61:B61"/>
    <mergeCell ref="A1:K1"/>
    <mergeCell ref="A168:B168"/>
    <mergeCell ref="A146:K146"/>
    <mergeCell ref="A54:B54"/>
    <mergeCell ref="A196:B196"/>
    <mergeCell ref="A90:B90"/>
    <mergeCell ref="A118:B118"/>
    <mergeCell ref="A189:B189"/>
    <mergeCell ref="A217:K217"/>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G57">
    <cfRule type="colorScale" priority="15">
      <colorScale>
        <cfvo type="min"/>
        <cfvo type="max"/>
        <color rgb="00FFFFFF"/>
        <color rgb="002A9D8F"/>
      </colorScale>
    </cfRule>
  </conditionalFormatting>
  <conditionalFormatting sqref="D58:G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H185">
    <cfRule type="colorScale" priority="51">
      <colorScale>
        <cfvo type="min"/>
        <cfvo type="max"/>
        <color rgb="00FFFFFF"/>
        <color rgb="002A9D8F"/>
      </colorScale>
    </cfRule>
  </conditionalFormatting>
  <conditionalFormatting sqref="D186:H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6" t="n">
        <v>-11.3</v>
      </c>
      <c r="C62" s="36" t="n">
        <v>30</v>
      </c>
      <c r="D62" s="36" t="n">
        <v>95</v>
      </c>
      <c r="E62" s="20" t="inlineStr">
        <is>
          <t>5% (floor)</t>
        </is>
      </c>
      <c r="F62" s="104" t="inlineStr">
        <is>
          <t>✓ Aligned</t>
        </is>
      </c>
    </row>
    <row r="63" ht="16" customHeight="1">
      <c r="A63" s="66" t="inlineStr">
        <is>
          <t>Gross Margin %</t>
        </is>
      </c>
      <c r="B63" s="42" t="n">
        <v>25</v>
      </c>
      <c r="C63" s="42" t="n">
        <v>35.75</v>
      </c>
      <c r="D63" s="42" t="n">
        <v>50</v>
      </c>
      <c r="E63" s="25" t="inlineStr">
        <is>
          <t>20% (floor)</t>
        </is>
      </c>
      <c r="F63" s="104" t="inlineStr">
        <is>
          <t>✓ Aligned</t>
        </is>
      </c>
    </row>
    <row r="64" ht="16" customHeight="1">
      <c r="A64" s="94" t="inlineStr">
        <is>
          <t>Insider Ownership %</t>
        </is>
      </c>
      <c r="B64" s="36" t="n">
        <v>1</v>
      </c>
      <c r="C64" s="36" t="n">
        <v>10</v>
      </c>
      <c r="D64" s="36" t="n">
        <v>30</v>
      </c>
      <c r="E64" s="20" t="inlineStr">
        <is>
          <t>N/A</t>
        </is>
      </c>
      <c r="F64" s="105" t="inlineStr">
        <is>
          <t>⚠ Loose</t>
        </is>
      </c>
    </row>
    <row r="65" ht="16" customHeight="1">
      <c r="A65" s="66" t="inlineStr">
        <is>
          <t>Dilution 3yr %</t>
        </is>
      </c>
      <c r="B65" s="42" t="n">
        <v>-4</v>
      </c>
      <c r="C65" s="42" t="n">
        <v>5</v>
      </c>
      <c r="D65" s="42" t="n">
        <v>15</v>
      </c>
      <c r="E65" s="25"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1" t="inlineStr">
        <is>
          <t>US-listed equities across four market cap tiers:</t>
        </is>
      </c>
    </row>
    <row r="6" ht="16" customHeight="1">
      <c r="B6" s="106" t="inlineStr"/>
      <c r="C6" s="51" t="inlineStr">
        <is>
          <t xml:space="preserve">  Nano Cap: $50M–$300M (highest risk, highest upside)</t>
        </is>
      </c>
    </row>
    <row r="7" ht="16" customHeight="1">
      <c r="B7" s="106" t="inlineStr"/>
      <c r="C7" s="51" t="inlineStr">
        <is>
          <t xml:space="preserve">  Small Cap: $300M–$2B (the sweet spot — proven enough to have real revenue)</t>
        </is>
      </c>
    </row>
    <row r="8" ht="16" customHeight="1">
      <c r="B8" s="106" t="inlineStr"/>
      <c r="C8" s="51" t="inlineStr">
        <is>
          <t xml:space="preserve">  Breakout: $2B–$15B (validated, growth re-accelerating)</t>
        </is>
      </c>
    </row>
    <row r="9" ht="16" customHeight="1">
      <c r="B9" s="106" t="inlineStr"/>
      <c r="C9" s="51" t="inlineStr">
        <is>
          <t xml:space="preserve">  Vital Link: $15B–$40B (entrenched supplier at a cyclical trough —</t>
        </is>
      </c>
    </row>
    <row r="10" ht="16" customHeight="1">
      <c r="B10" s="106" t="inlineStr"/>
      <c r="C10" s="51" t="inlineStr">
        <is>
          <t xml:space="preserve">    accepts ONLY margin-holding troughs, so it is often empty)</t>
        </is>
      </c>
    </row>
    <row r="11" ht="8" customHeight="1"/>
    <row r="12" ht="16" customHeight="1">
      <c r="B12" s="106" t="inlineStr"/>
      <c r="C12" s="51" t="inlineStr">
        <is>
          <t>Focus themes: Aerospace/Defense, Semiconductors, AI Infrastructure,</t>
        </is>
      </c>
    </row>
    <row r="13" ht="16" customHeight="1">
      <c r="B13" s="106" t="inlineStr"/>
      <c r="C13" s="51" t="inlineStr">
        <is>
          <t>Photonics, Quantum Computing, Space, New Energy, Gene Editing</t>
        </is>
      </c>
    </row>
    <row r="14" ht="8" customHeight="1"/>
    <row r="15" ht="22" customHeight="1">
      <c r="B15" s="16" t="inlineStr">
        <is>
          <t>Hard Filters</t>
        </is>
      </c>
      <c r="C15" s="17" t="n"/>
    </row>
    <row r="16" ht="16" customHeight="1">
      <c r="B16" s="106" t="inlineStr"/>
      <c r="C16" s="51" t="inlineStr">
        <is>
          <t>Must be US-domiciled and actively trading on a major exchange</t>
        </is>
      </c>
    </row>
    <row r="17" ht="16" customHeight="1">
      <c r="B17" s="106" t="inlineStr"/>
      <c r="C17" s="51" t="inlineStr">
        <is>
          <t>Excludes: Biotech/Pharma (unless gene editing keywords in description)</t>
        </is>
      </c>
    </row>
    <row r="18" ht="16" customHeight="1">
      <c r="B18" s="106" t="inlineStr"/>
      <c r="C18" s="51" t="inlineStr">
        <is>
          <t>Excludes: Oil &amp; Gas, Warrants, Units, Preferred shares</t>
        </is>
      </c>
    </row>
    <row r="19" ht="16" customHeight="1">
      <c r="B19" s="106" t="inlineStr"/>
      <c r="C19" s="51" t="inlineStr">
        <is>
          <t>Must match industry whitelist OR description keywords in target themes</t>
        </is>
      </c>
    </row>
    <row r="20" ht="16" customHeight="1">
      <c r="B20" s="106" t="inlineStr"/>
      <c r="C20" s="51" t="inlineStr">
        <is>
          <t>No OTC/pink sheet securities</t>
        </is>
      </c>
    </row>
    <row r="21" ht="8" customHeight="1"/>
    <row r="22" ht="22" customHeight="1">
      <c r="B22" s="16" t="inlineStr">
        <is>
          <t>Quality Floor</t>
        </is>
      </c>
      <c r="C22" s="17" t="n"/>
    </row>
    <row r="23" ht="16" customHeight="1">
      <c r="B23" s="106" t="inlineStr"/>
      <c r="C23" s="51" t="inlineStr">
        <is>
          <t>Revenue growth must exceed 5% YoY</t>
        </is>
      </c>
    </row>
    <row r="24" ht="16" customHeight="1">
      <c r="B24" s="106" t="inlineStr"/>
      <c r="C24" s="51" t="inlineStr">
        <is>
          <t>Gross margin must exceed 20%</t>
        </is>
      </c>
    </row>
    <row r="25" ht="16" customHeight="1">
      <c r="B25" s="106" t="inlineStr"/>
      <c r="C25" s="51" t="inlineStr">
        <is>
          <t>3-year share dilution must be below 30%</t>
        </is>
      </c>
    </row>
    <row r="26" ht="16" customHeight="1">
      <c r="B26" s="106" t="inlineStr"/>
      <c r="C26" s="51" t="inlineStr">
        <is>
          <t>Stocks failing any of these thresholds are excluded entirely</t>
        </is>
      </c>
    </row>
    <row r="27" ht="8" customHeight="1"/>
    <row r="28" ht="22" customHeight="1">
      <c r="B28" s="16" t="inlineStr">
        <is>
          <t>Composite Score (60%)</t>
        </is>
      </c>
      <c r="C28" s="17" t="n"/>
    </row>
    <row r="29" ht="16" customHeight="1">
      <c r="B29" s="106" t="inlineStr"/>
      <c r="C29" s="51" t="inlineStr">
        <is>
          <t>Revenue Growth YoY: 30% weight — Higher is better, &gt;50% = max score</t>
        </is>
      </c>
    </row>
    <row r="30" ht="16" customHeight="1">
      <c r="B30" s="106" t="inlineStr"/>
      <c r="C30" s="51" t="inlineStr">
        <is>
          <t xml:space="preserve">  A decline scores zero UNLESS gross margin held through it, in which case it</t>
        </is>
      </c>
    </row>
    <row r="31" ht="16" customHeight="1">
      <c r="B31" s="106" t="inlineStr"/>
      <c r="C31" s="51" t="inlineStr">
        <is>
          <t xml:space="preserve">  earns partial credit (max 50, i.e. a 25% grower) scaled by margin conceded</t>
        </is>
      </c>
    </row>
    <row r="32" ht="16" customHeight="1">
      <c r="B32" s="106" t="inlineStr"/>
      <c r="C32" s="51" t="inlineStr">
        <is>
          <t xml:space="preserve">  per point of revenue decline. Corning conceded 0.6pp on an 11.3% fall.</t>
        </is>
      </c>
    </row>
    <row r="33" ht="16" customHeight="1">
      <c r="B33" s="106" t="inlineStr"/>
      <c r="C33" s="51" t="inlineStr">
        <is>
          <t>Gross Margin: 20% weight — &gt;40% = max, proxy for pricing power and moat</t>
        </is>
      </c>
    </row>
    <row r="34" ht="16" customHeight="1">
      <c r="B34" s="106" t="inlineStr"/>
      <c r="C34" s="51" t="inlineStr">
        <is>
          <t>Dilution 3yr: 20% weight — Lower is better, &lt;5% = full points, &gt;30% = zero</t>
        </is>
      </c>
    </row>
    <row r="35" ht="16" customHeight="1">
      <c r="B35" s="106" t="inlineStr"/>
      <c r="C35" s="51" t="inlineStr">
        <is>
          <t>Insider Ownership: 15% weight — &gt;10% = full points, founders with skin in the game</t>
        </is>
      </c>
    </row>
    <row r="36" ht="16" customHeight="1">
      <c r="B36" s="106" t="inlineStr"/>
      <c r="C36" s="51" t="inlineStr">
        <is>
          <t>Revenue Acceleration: 15% weight — Is the growth rate itself increasing?</t>
        </is>
      </c>
    </row>
    <row r="37" ht="8" customHeight="1"/>
    <row r="38" ht="22" customHeight="1">
      <c r="B38" s="16" t="inlineStr">
        <is>
          <t>Fingerprint Score (50%)</t>
        </is>
      </c>
      <c r="C38" s="17" t="n"/>
    </row>
    <row r="39" ht="16" customHeight="1">
      <c r="B39" s="106" t="inlineStr"/>
      <c r="C39" s="51" t="inlineStr">
        <is>
          <t>Measures similarity to 6 reference stocks at their pre-run inflection point</t>
        </is>
      </c>
    </row>
    <row r="40" ht="16" customHeight="1">
      <c r="B40" s="106" t="inlineStr"/>
      <c r="C40" s="51" t="inlineStr">
        <is>
          <t>Reference stocks: LITE, COHR, AAOI, KTOS, RKLB, GLW</t>
        </is>
      </c>
    </row>
    <row r="41" ht="16" customHeight="1">
      <c r="B41" s="106" t="inlineStr"/>
      <c r="C41" s="51" t="inlineStr">
        <is>
          <t>Compares: revenue growth, gross margin, insider %, dilution, market cap</t>
        </is>
      </c>
    </row>
    <row r="42" ht="16" customHeight="1">
      <c r="B42" s="106" t="inlineStr"/>
      <c r="C42" s="51" t="inlineStr">
        <is>
          <t>Scores against the NEAREST reference, not an average of all of them</t>
        </is>
      </c>
    </row>
    <row r="43" ht="16" customHeight="1">
      <c r="B43" s="106" t="inlineStr"/>
      <c r="C43" s="51" t="inlineStr">
        <is>
          <t>The set spans archetypes: AAOI was $300M growing 95%; GLW was $26B with revenue down 11% at its trough</t>
        </is>
      </c>
    </row>
    <row r="44" ht="16" customHeight="1">
      <c r="B44" s="106" t="inlineStr"/>
      <c r="C44" s="51" t="inlineStr">
        <is>
          <t>Market cap is compared in orders of magnitude, other metrics in absolute distance</t>
        </is>
      </c>
    </row>
    <row r="45" ht="16" customHeight="1">
      <c r="B45" s="106" t="inlineStr"/>
      <c r="C45" s="51" t="inlineStr">
        <is>
          <t>Combined Score = 0% Composite + 50% Fingerprint + 20% WPS</t>
        </is>
      </c>
    </row>
    <row r="46" ht="16" customHeight="1">
      <c r="B46" s="106" t="inlineStr"/>
      <c r="C46" s="51" t="inlineStr">
        <is>
          <t>Weights set from an 18-date point-in-time reconstruction with real 12-month forward returns</t>
        </is>
      </c>
    </row>
    <row r="47" ht="16" customHeight="1">
      <c r="B47" s="106" t="inlineStr"/>
      <c r="C47" s="51" t="inlineStr">
        <is>
          <t>Composite carries no weight: it ranked no better than chance (11/18 dates) and its spread was negative once size was controlled</t>
        </is>
      </c>
    </row>
    <row r="48" ht="8" customHeight="1"/>
    <row r="49" ht="22" customHeight="1">
      <c r="B49" s="16" t="inlineStr">
        <is>
          <t>Position Sizing Rules</t>
        </is>
      </c>
      <c r="C49" s="17" t="n"/>
    </row>
    <row r="50" ht="16" customHeight="1">
      <c r="B50" s="106" t="inlineStr"/>
      <c r="C50" s="51" t="inlineStr">
        <is>
          <t>Based on conviction level: High (8%), Medium-High (5%), Medium (3%), Speculative (1.5%)</t>
        </is>
      </c>
    </row>
    <row r="51" ht="16" customHeight="1">
      <c r="B51" s="106" t="inlineStr"/>
      <c r="C51" s="51" t="inlineStr">
        <is>
          <t>Nano caps receive 0.6x risk multiplier (smaller positions for higher risk)</t>
        </is>
      </c>
    </row>
    <row r="52" ht="16" customHeight="1">
      <c r="B52" s="106" t="inlineStr"/>
      <c r="C52" s="51" t="inlineStr">
        <is>
          <t>Breakout caps receive 1.2x multiplier (larger positions for validated growth)</t>
        </is>
      </c>
    </row>
    <row r="53" ht="16" customHeight="1">
      <c r="B53" s="106" t="inlineStr"/>
      <c r="C53" s="51" t="inlineStr">
        <is>
          <t>Vital Link caps receive 1.4x multiplier (entrenched incumbents, lower single-name risk)</t>
        </is>
      </c>
    </row>
    <row r="54" ht="16" customHeight="1">
      <c r="B54" s="106" t="inlineStr"/>
      <c r="C54" s="51" t="inlineStr">
        <is>
          <t>Designed to sum to &lt;100% with meaningful cash reserve</t>
        </is>
      </c>
    </row>
    <row r="55" ht="8" customHeight="1"/>
    <row r="56" ht="22" customHeight="1">
      <c r="B56" s="16" t="inlineStr">
        <is>
          <t>Data Source &amp; Refresh</t>
        </is>
      </c>
      <c r="C56" s="17" t="n"/>
    </row>
    <row r="57" ht="16" customHeight="1">
      <c r="B57" s="106" t="inlineStr"/>
      <c r="C57" s="51" t="inlineStr">
        <is>
          <t>All data sourced from Financial Modeling Prep (FMP) API</t>
        </is>
      </c>
    </row>
    <row r="58" ht="16" customHeight="1">
      <c r="B58" s="106" t="inlineStr"/>
      <c r="C58" s="51" t="inlineStr">
        <is>
          <t>24-hour cache on all API responses to protect rate limits</t>
        </is>
      </c>
    </row>
    <row r="59" ht="16" customHeight="1">
      <c r="B59" s="106" t="inlineStr"/>
      <c r="C59" s="51" t="inlineStr">
        <is>
          <t>Quarterly financials: last 10 quarters of income statements</t>
        </is>
      </c>
    </row>
    <row r="60" ht="16" customHeight="1">
      <c r="B60" s="106" t="inlineStr"/>
      <c r="C60" s="51" t="inlineStr">
        <is>
          <t>Share count history: last 12 quarters of enterprise values</t>
        </is>
      </c>
    </row>
    <row r="61" ht="16" customHeight="1">
      <c r="B61" s="106" t="inlineStr"/>
      <c r="C61" s="51" t="inlineStr">
        <is>
          <t>Report generated: September 08, 2026</t>
        </is>
      </c>
    </row>
    <row r="62" ht="8" customHeight="1"/>
    <row r="63" ht="22" customHeight="1">
      <c r="B63" s="16" t="inlineStr">
        <is>
          <t>Disclaimer</t>
        </is>
      </c>
      <c r="C63" s="17" t="n"/>
    </row>
    <row r="64" ht="16" customHeight="1">
      <c r="B64" s="106" t="inlineStr"/>
      <c r="C64" s="51" t="inlineStr">
        <is>
          <t>This screener is for research and educational purposes only.</t>
        </is>
      </c>
    </row>
    <row r="65" ht="16" customHeight="1">
      <c r="B65" s="106" t="inlineStr"/>
      <c r="C65" s="51" t="inlineStr">
        <is>
          <t>It does not constitute investment advice or a recommendation to buy or sell.</t>
        </is>
      </c>
    </row>
    <row r="66" ht="16" customHeight="1">
      <c r="B66" s="106" t="inlineStr"/>
      <c r="C66" s="51" t="inlineStr">
        <is>
          <t>Past performance of reference stocks does not guarantee future results.</t>
        </is>
      </c>
    </row>
    <row r="67" ht="16" customHeight="1">
      <c r="B67" s="106" t="inlineStr"/>
      <c r="C67" s="51" t="inlineStr">
        <is>
          <t>All investments carry risk of loss. Consult a licensed financial advisor.</t>
        </is>
      </c>
    </row>
    <row r="68" ht="8" customHeight="1"/>
    <row r="70">
      <c r="B70" s="16" t="inlineStr">
        <is>
          <t>VERSION HISTORY</t>
        </is>
      </c>
      <c r="C70" s="17" t="n"/>
    </row>
    <row r="71">
      <c r="B71" s="94" t="inlineStr">
        <is>
          <t>v2.0</t>
        </is>
      </c>
      <c r="C71" s="47" t="inlineStr">
        <is>
          <t>September 08, 2026 — Institutional rebuild: openpyxl, design system, charts, data validation</t>
        </is>
      </c>
    </row>
    <row r="72">
      <c r="B72" s="66" t="inlineStr">
        <is>
          <t>v1.0</t>
        </is>
      </c>
      <c r="C72" s="51"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2026-09-08T18:39:21Z</dcterms:created>
  <dcterms:modified xsi:type="dcterms:W3CDTF">2026-09-08T18:39:21Z</dcterms:modified>
</cp:coreProperties>
</file>