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'Descriptions'!$A$4:$F$34</definedName>
    <definedName name="_xlnm._FilterDatabase" localSheetId="6"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F9C74F"/>
      </patternFill>
    </fill>
    <fill>
      <patternFill patternType="solid">
        <fgColor rgb="00F4E4B0"/>
      </patternFill>
    </fill>
    <fill>
      <patternFill patternType="solid">
        <fgColor rgb="00FFFFFF"/>
      </patternFill>
    </fill>
    <fill>
      <patternFill patternType="solid">
        <fgColor rgb="00E76F51"/>
      </patternFill>
    </fill>
    <fill>
      <patternFill patternType="solid">
        <fgColor rgb="00C1121F"/>
      </patternFill>
    </fill>
    <fill>
      <patternFill patternType="solid">
        <fgColor rgb="001A6B3C"/>
      </patternFill>
    </fill>
    <fill>
      <patternFill patternType="solid">
        <fgColor rgb="00B5D8B0"/>
      </patternFill>
    </fill>
    <fill>
      <patternFill patternType="solid">
        <fgColor rgb="00EDE8F0"/>
      </patternFill>
    </fill>
    <fill>
      <patternFill patternType="solid">
        <fgColor rgb="00E0F0ED"/>
      </patternFill>
    </fill>
    <fill>
      <patternFill patternType="solid">
        <fgColor rgb="00E8EDF2"/>
      </patternFill>
    </fill>
    <fill>
      <patternFill patternType="solid">
        <fgColor rgb="00FFF8E1"/>
      </patternFill>
    </fill>
    <fill>
      <patternFill patternType="solid">
        <fgColor rgb="00E8F5E9"/>
      </patternFill>
    </fill>
    <fill>
      <patternFill patternType="solid">
        <fgColor rgb="00FBE9E7"/>
      </patternFill>
    </fill>
    <fill>
      <patternFill patternType="solid">
        <fgColor rgb="002A9D8F"/>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8">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10"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7" fillId="9" borderId="13" applyAlignment="1" pivotButton="0" quotePrefix="0" xfId="0">
      <alignment horizontal="center" vertical="center" wrapText="1"/>
    </xf>
    <xf numFmtId="165" fontId="7" fillId="10"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7" fillId="11"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12"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7" borderId="13" applyAlignment="1" pivotButton="0" quotePrefix="0" xfId="0">
      <alignment horizontal="center" vertical="center" wrapText="1"/>
    </xf>
    <xf numFmtId="165" fontId="7" fillId="9"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5" borderId="13" applyAlignment="1" pivotButton="0" quotePrefix="0" xfId="0">
      <alignment horizontal="center" vertical="center" wrapText="1"/>
    </xf>
    <xf numFmtId="0" fontId="9" fillId="13" borderId="13" applyAlignment="1" pivotButton="0" quotePrefix="0" xfId="0">
      <alignment horizontal="left"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7" borderId="18" applyAlignment="1" pivotButton="0" quotePrefix="0" xfId="0">
      <alignment horizontal="center" vertical="center" wrapText="1"/>
    </xf>
    <xf numFmtId="0" fontId="9" fillId="17" borderId="13" applyAlignment="1" pivotButton="0" quotePrefix="0" xfId="0">
      <alignment horizontal="left" vertical="top" wrapText="1"/>
    </xf>
    <xf numFmtId="0" fontId="9" fillId="18"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7"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7" borderId="18" applyAlignment="1" pivotButton="0" quotePrefix="0" xfId="0">
      <alignment horizontal="center" vertical="center" wrapText="1"/>
    </xf>
    <xf numFmtId="168" fontId="12" fillId="7"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7" borderId="13" applyAlignment="1" pivotButton="0" quotePrefix="0" xfId="0">
      <alignment horizontal="center" vertical="center" wrapText="1"/>
    </xf>
    <xf numFmtId="0" fontId="10" fillId="0" borderId="0" applyAlignment="1" pivotButton="0" quotePrefix="0" xfId="0">
      <alignment horizontal="right" vertical="center"/>
    </xf>
    <xf numFmtId="2" fontId="13" fillId="7"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7" borderId="13" applyAlignment="1" pivotButton="0" quotePrefix="0" xfId="0">
      <alignment horizontal="center" vertical="center" wrapText="1"/>
    </xf>
    <xf numFmtId="0" fontId="7" fillId="19"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7" borderId="13" applyAlignment="1" pivotButton="0" quotePrefix="0" xfId="0">
      <alignment horizontal="center" vertical="center" wrapText="1"/>
    </xf>
    <xf numFmtId="0" fontId="19" fillId="16"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'Recommendations'!B39</f>
            </strRef>
          </tx>
          <spPr>
            <a:solidFill>
              <a:srgbClr val="2A9D8F"/>
            </a:solidFill>
            <a:ln>
              <a:prstDash val="solid"/>
            </a:ln>
          </spPr>
          <cat>
            <numRef>
              <f>'Recommendations'!$A$40:$A$42</f>
            </numRef>
          </cat>
          <val>
            <numRef>
              <f>'Recommendations'!$B$40:$B$42</f>
            </numRef>
          </val>
        </ser>
        <ser>
          <idx val="1"/>
          <order val="1"/>
          <tx>
            <strRef>
              <f>'Recommendations'!C39</f>
            </strRef>
          </tx>
          <spPr>
            <a:solidFill>
              <a:srgbClr val="4FC3F7"/>
            </a:solidFill>
            <a:ln>
              <a:prstDash val="solid"/>
            </a:ln>
          </spPr>
          <cat>
            <numRef>
              <f>'Recommendations'!$A$40:$A$42</f>
            </numRef>
          </cat>
          <val>
            <numRef>
              <f>'Recommendations'!$C$40:$C$42</f>
            </numRef>
          </val>
        </ser>
        <ser>
          <idx val="2"/>
          <order val="2"/>
          <tx>
            <strRef>
              <f>'Recommendations'!D39</f>
            </strRef>
          </tx>
          <spPr>
            <a:solidFill>
              <a:srgbClr val="C9A84C"/>
            </a:solidFill>
            <a:ln>
              <a:prstDash val="solid"/>
            </a:ln>
          </spPr>
          <cat>
            <numRef>
              <f>'Recommendations'!$A$40:$A$42</f>
            </numRef>
          </cat>
          <val>
            <numRef>
              <f>'Recommendations'!$D$40:$D$42</f>
            </numRef>
          </val>
        </ser>
        <ser>
          <idx val="3"/>
          <order val="3"/>
          <tx>
            <strRef>
              <f>'Recommendations'!E39</f>
            </strRef>
          </tx>
          <spPr>
            <a:solidFill>
              <a:srgbClr val="E76F51"/>
            </a:solidFill>
            <a:l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Construction'!M50</f>
            </strRef>
          </tx>
          <spPr>
            <a:ln>
              <a:prstDash val="solid"/>
            </a:ln>
          </spPr>
          <cat>
            <numRef>
              <f>'Portfolio Construction'!$L$51:$L$54</f>
            </numRef>
          </cat>
          <val>
            <numRef>
              <f>'Portfolio Construction'!$M$51:$M$54</f>
            </numRef>
          </val>
        </ser>
        <firstSliceAng val="0"/>
        <holeSize val="10"/>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Score Impact — SWBI</a:t>
            </a:r>
          </a:p>
        </rich>
      </tx>
    </title>
    <plotArea>
      <barChart>
        <barDir val="bar"/>
        <grouping val="clustered"/>
        <ser>
          <idx val="0"/>
          <order val="0"/>
          <spPr>
            <a:solidFill>
              <a:srgbClr val="E76F51"/>
            </a:solidFill>
            <a:ln>
              <a:prstDash val="solid"/>
            </a:ln>
          </spPr>
          <cat>
            <numRef>
              <f>'Sensitivity Analysis'!$B$50:$B$54</f>
            </numRef>
          </cat>
          <val>
            <numRef>
              <f>'Sensitivity Analysis'!$C$50:$C$54</f>
            </numRef>
          </val>
        </ser>
        <ser>
          <idx val="1"/>
          <order val="1"/>
          <spPr>
            <a:solidFill>
              <a:srgbClr val="2A9D8F"/>
            </a:solidFill>
            <a:ln>
              <a:prstDash val="solid"/>
            </a:ln>
          </spPr>
          <cat>
            <numRef>
              <f>'Sensitivity Analysis'!$B$50:$B$54</f>
            </numRef>
          </cat>
          <val>
            <numRef>
              <f>'Sensitivity Analysis'!$D$50:$D$54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49</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30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30</t>
        </is>
      </c>
      <c r="D7" s="15" t="inlineStr">
        <is>
          <t>30</t>
        </is>
      </c>
      <c r="F7" s="15" t="inlineStr">
        <is>
          <t>60.2</t>
        </is>
      </c>
      <c r="H7" s="12" t="n"/>
      <c r="I7" s="15" t="inlineStr">
        <is>
          <t>40.9%</t>
        </is>
      </c>
      <c r="K7" s="15" t="inlineStr">
        <is>
          <t>42.7%</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AISP</t>
        </is>
      </c>
      <c r="C12" s="20" t="inlineStr">
        <is>
          <t>Airship AI Holdings, Inc.</t>
        </is>
      </c>
      <c r="D12" s="21" t="n">
        <v>71.8</v>
      </c>
      <c r="E12" s="22" t="n">
        <v>67</v>
      </c>
      <c r="F12" s="23" t="inlineStr">
        <is>
          <t>Medium</t>
        </is>
      </c>
      <c r="G12" s="19" t="inlineStr">
        <is>
          <t>SWBI</t>
        </is>
      </c>
      <c r="H12" s="20" t="inlineStr">
        <is>
          <t>Smith &amp; Wesson Brands, Inc.</t>
        </is>
      </c>
      <c r="I12" s="21" t="n">
        <v>588.2</v>
      </c>
      <c r="J12" s="22" t="n">
        <v>70</v>
      </c>
      <c r="K12" s="23" t="inlineStr">
        <is>
          <t>Medium</t>
        </is>
      </c>
      <c r="L12" s="19" t="inlineStr">
        <is>
          <t>CE</t>
        </is>
      </c>
      <c r="M12" s="20" t="inlineStr">
        <is>
          <t>Celanese Corporation</t>
        </is>
      </c>
      <c r="N12" s="21" t="n">
        <v>4874</v>
      </c>
      <c r="O12" s="22" t="n">
        <v>68.90000000000001</v>
      </c>
      <c r="P12" s="23" t="inlineStr">
        <is>
          <t>Medium</t>
        </is>
      </c>
    </row>
    <row r="13" ht="16" customHeight="1">
      <c r="B13" s="24" t="inlineStr">
        <is>
          <t>KVHI</t>
        </is>
      </c>
      <c r="C13" s="25" t="inlineStr">
        <is>
          <t>KVH Industries, Inc.</t>
        </is>
      </c>
      <c r="D13" s="26" t="n">
        <v>138.8</v>
      </c>
      <c r="E13" s="22" t="n">
        <v>66.59999999999999</v>
      </c>
      <c r="F13" s="23" t="inlineStr">
        <is>
          <t>Medium</t>
        </is>
      </c>
      <c r="G13" s="24" t="inlineStr">
        <is>
          <t>GHM</t>
        </is>
      </c>
      <c r="H13" s="25" t="inlineStr">
        <is>
          <t>Graham Corporation</t>
        </is>
      </c>
      <c r="I13" s="26" t="n">
        <v>1046.6</v>
      </c>
      <c r="J13" s="22" t="n">
        <v>63.6</v>
      </c>
      <c r="K13" s="27" t="inlineStr">
        <is>
          <t>Speculative</t>
        </is>
      </c>
      <c r="L13" s="24" t="inlineStr">
        <is>
          <t>CALX</t>
        </is>
      </c>
      <c r="M13" s="25" t="inlineStr">
        <is>
          <t>Calix, Inc.</t>
        </is>
      </c>
      <c r="N13" s="26" t="n">
        <v>2219.5</v>
      </c>
      <c r="O13" s="22" t="n">
        <v>68.59999999999999</v>
      </c>
      <c r="P13" s="23" t="inlineStr">
        <is>
          <t>Medium</t>
        </is>
      </c>
    </row>
    <row r="14" ht="16" customHeight="1">
      <c r="B14" s="19" t="inlineStr">
        <is>
          <t>INTT</t>
        </is>
      </c>
      <c r="C14" s="20" t="inlineStr">
        <is>
          <t>inTEST Corporation</t>
        </is>
      </c>
      <c r="D14" s="21" t="n">
        <v>146.3</v>
      </c>
      <c r="E14" s="22" t="n">
        <v>66.40000000000001</v>
      </c>
      <c r="F14" s="23" t="inlineStr">
        <is>
          <t>Medium</t>
        </is>
      </c>
      <c r="G14" s="19" t="inlineStr">
        <is>
          <t>TRC</t>
        </is>
      </c>
      <c r="H14" s="20" t="inlineStr">
        <is>
          <t>Tejon Ranch Co.</t>
        </is>
      </c>
      <c r="I14" s="21" t="n">
        <v>446.5</v>
      </c>
      <c r="J14" s="22" t="n">
        <v>63.5</v>
      </c>
      <c r="K14" s="27" t="inlineStr">
        <is>
          <t>Speculative</t>
        </is>
      </c>
      <c r="L14" s="19" t="inlineStr">
        <is>
          <t>ADEA</t>
        </is>
      </c>
      <c r="M14" s="20" t="inlineStr">
        <is>
          <t>Adeia Inc.</t>
        </is>
      </c>
      <c r="N14" s="21" t="n">
        <v>2998.6</v>
      </c>
      <c r="O14" s="22" t="n">
        <v>61.8</v>
      </c>
      <c r="P14" s="27" t="inlineStr">
        <is>
          <t>Speculative</t>
        </is>
      </c>
    </row>
    <row r="15" ht="16" customHeight="1">
      <c r="B15" s="24" t="inlineStr">
        <is>
          <t>RFIL</t>
        </is>
      </c>
      <c r="C15" s="25" t="inlineStr">
        <is>
          <t>RF Industries, Ltd.</t>
        </is>
      </c>
      <c r="D15" s="26" t="n">
        <v>117.2</v>
      </c>
      <c r="E15" s="22" t="n">
        <v>62.1</v>
      </c>
      <c r="F15" s="27" t="inlineStr">
        <is>
          <t>Speculative</t>
        </is>
      </c>
      <c r="G15" s="24" t="inlineStr">
        <is>
          <t>CEVA</t>
        </is>
      </c>
      <c r="H15" s="25" t="inlineStr">
        <is>
          <t>CEVA, Inc.</t>
        </is>
      </c>
      <c r="I15" s="26" t="n">
        <v>784.5</v>
      </c>
      <c r="J15" s="22" t="n">
        <v>62.2</v>
      </c>
      <c r="K15" s="27" t="inlineStr">
        <is>
          <t>Speculative</t>
        </is>
      </c>
      <c r="L15" s="24" t="inlineStr">
        <is>
          <t>DCI</t>
        </is>
      </c>
      <c r="M15" s="25" t="inlineStr">
        <is>
          <t>Donaldson Company, Inc.</t>
        </is>
      </c>
      <c r="N15" s="26" t="n">
        <v>10618.6</v>
      </c>
      <c r="O15" s="28" t="n">
        <v>59.6</v>
      </c>
      <c r="P15" s="27" t="inlineStr">
        <is>
          <t>Speculative</t>
        </is>
      </c>
    </row>
    <row r="16" ht="16" customHeight="1">
      <c r="B16" s="19" t="inlineStr">
        <is>
          <t>ASYS</t>
        </is>
      </c>
      <c r="C16" s="20" t="inlineStr">
        <is>
          <t>Amtech Systems, Inc.</t>
        </is>
      </c>
      <c r="D16" s="21" t="n">
        <v>269.4</v>
      </c>
      <c r="E16" s="28" t="n">
        <v>59.9</v>
      </c>
      <c r="F16" s="27" t="inlineStr">
        <is>
          <t>Speculative</t>
        </is>
      </c>
      <c r="G16" s="19" t="inlineStr">
        <is>
          <t>CMCO</t>
        </is>
      </c>
      <c r="H16" s="20" t="inlineStr">
        <is>
          <t>Columbus McKinnon Corporation</t>
        </is>
      </c>
      <c r="I16" s="21" t="n">
        <v>540.2</v>
      </c>
      <c r="J16" s="22" t="n">
        <v>60.8</v>
      </c>
      <c r="K16" s="27" t="inlineStr">
        <is>
          <t>Speculative</t>
        </is>
      </c>
      <c r="L16" s="19" t="inlineStr">
        <is>
          <t>BCO</t>
        </is>
      </c>
      <c r="M16" s="20" t="inlineStr">
        <is>
          <t>The Brink's Company</t>
        </is>
      </c>
      <c r="N16" s="21" t="n">
        <v>4372.8</v>
      </c>
      <c r="O16" s="28" t="n">
        <v>57.8</v>
      </c>
      <c r="P16" s="27" t="inlineStr">
        <is>
          <t>Speculative</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SWBI</t>
        </is>
      </c>
      <c r="B41" t="n">
        <v>70</v>
      </c>
      <c r="C41" t="inlineStr">
        <is>
          <t>Small Cap</t>
        </is>
      </c>
    </row>
    <row r="42">
      <c r="A42" t="inlineStr">
        <is>
          <t>CE</t>
        </is>
      </c>
      <c r="B42" t="n">
        <v>68.90000000000001</v>
      </c>
      <c r="C42" t="inlineStr">
        <is>
          <t>Breakout</t>
        </is>
      </c>
    </row>
    <row r="43">
      <c r="A43" t="inlineStr">
        <is>
          <t>CALX</t>
        </is>
      </c>
      <c r="B43" t="n">
        <v>68.59999999999999</v>
      </c>
      <c r="C43" t="inlineStr">
        <is>
          <t>Breakout</t>
        </is>
      </c>
    </row>
    <row r="44">
      <c r="A44" t="inlineStr">
        <is>
          <t>AISP</t>
        </is>
      </c>
      <c r="B44" t="n">
        <v>67</v>
      </c>
      <c r="C44" t="inlineStr">
        <is>
          <t>Nano Cap</t>
        </is>
      </c>
    </row>
    <row r="45">
      <c r="A45" t="inlineStr">
        <is>
          <t>KVHI</t>
        </is>
      </c>
      <c r="B45" t="n">
        <v>66.59999999999999</v>
      </c>
      <c r="C45" t="inlineStr">
        <is>
          <t>Nano Cap</t>
        </is>
      </c>
    </row>
    <row r="46">
      <c r="A46" t="inlineStr">
        <is>
          <t>INTT</t>
        </is>
      </c>
      <c r="B46" t="n">
        <v>66.40000000000001</v>
      </c>
      <c r="C46" t="inlineStr">
        <is>
          <t>Nano Cap</t>
        </is>
      </c>
    </row>
    <row r="47">
      <c r="A47" t="inlineStr">
        <is>
          <t>GHM</t>
        </is>
      </c>
      <c r="B47" t="n">
        <v>63.6</v>
      </c>
      <c r="C47" t="inlineStr">
        <is>
          <t>Small Cap</t>
        </is>
      </c>
    </row>
    <row r="48">
      <c r="A48" t="inlineStr">
        <is>
          <t>TRC</t>
        </is>
      </c>
      <c r="B48" t="n">
        <v>63.5</v>
      </c>
      <c r="C48" t="inlineStr">
        <is>
          <t>Small Cap</t>
        </is>
      </c>
    </row>
    <row r="49">
      <c r="A49" t="inlineStr">
        <is>
          <t>CEVA</t>
        </is>
      </c>
      <c r="B49" t="n">
        <v>62.2</v>
      </c>
      <c r="C49" t="inlineStr">
        <is>
          <t>Small Cap</t>
        </is>
      </c>
    </row>
    <row r="50">
      <c r="A50" t="inlineStr">
        <is>
          <t>RFIL</t>
        </is>
      </c>
      <c r="B50" t="n">
        <v>62.1</v>
      </c>
      <c r="C50" t="inlineStr">
        <is>
          <t>Nano Cap</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AISP</t>
        </is>
      </c>
      <c r="C5" s="20" t="inlineStr">
        <is>
          <t>Airship AI Holdings, Inc.</t>
        </is>
      </c>
      <c r="D5" s="21" t="n">
        <v>71.8</v>
      </c>
      <c r="E5" s="33" t="n">
        <v>2.085</v>
      </c>
      <c r="F5" s="34" t="n">
        <v>0.9209999999999999</v>
      </c>
      <c r="G5" s="34" t="n">
        <v>1.586</v>
      </c>
      <c r="H5" s="34" t="n">
        <v>0.7509999999999999</v>
      </c>
      <c r="I5" s="34" t="n">
        <v>0.211</v>
      </c>
      <c r="J5" s="34" t="n">
        <v>0.288</v>
      </c>
      <c r="K5" s="35" t="n">
        <v>100</v>
      </c>
      <c r="L5" s="36" t="n">
        <v>87.09999999999999</v>
      </c>
      <c r="M5" s="36" t="n">
        <v>41.5</v>
      </c>
      <c r="N5" s="37" t="n">
        <v>67</v>
      </c>
      <c r="O5" s="35" t="n">
        <v>81.09999999999999</v>
      </c>
      <c r="P5" s="38" t="inlineStr">
        <is>
          <t>—</t>
        </is>
      </c>
      <c r="Q5" s="39" t="n">
        <v>4.4</v>
      </c>
      <c r="R5" s="23" t="inlineStr">
        <is>
          <t>Medium</t>
        </is>
      </c>
      <c r="S5" s="34" t="n">
        <v>0.007246376799999999</v>
      </c>
      <c r="T5" s="34" t="n">
        <v>-0.2553571</v>
      </c>
      <c r="U5" s="34" t="n">
        <v>-0.2132075</v>
      </c>
      <c r="V5" s="34" t="n">
        <v>-0.2785467</v>
      </c>
      <c r="W5" s="34" t="n">
        <v>-0.5162413</v>
      </c>
    </row>
    <row r="6" ht="16" customHeight="1">
      <c r="A6" s="32" t="n">
        <v>2</v>
      </c>
      <c r="B6" s="24" t="inlineStr">
        <is>
          <t>KVHI</t>
        </is>
      </c>
      <c r="C6" s="25" t="inlineStr">
        <is>
          <t>KVH Industries, Inc.</t>
        </is>
      </c>
      <c r="D6" s="26" t="n">
        <v>138.8</v>
      </c>
      <c r="E6" s="40" t="n">
        <v>7.1182</v>
      </c>
      <c r="F6" s="41" t="n">
        <v>0.267</v>
      </c>
      <c r="G6" s="41" t="n">
        <v>0.338</v>
      </c>
      <c r="H6" s="41" t="n">
        <v>0.3</v>
      </c>
      <c r="I6" s="41" t="n">
        <v>0.008</v>
      </c>
      <c r="J6" s="41" t="n">
        <v>0.35</v>
      </c>
      <c r="K6" s="35" t="n">
        <v>83</v>
      </c>
      <c r="L6" s="42" t="n">
        <v>81</v>
      </c>
      <c r="M6" s="42" t="n">
        <v>58.4</v>
      </c>
      <c r="N6" s="43" t="n">
        <v>66.59999999999999</v>
      </c>
      <c r="O6" s="22" t="n">
        <v>62.3</v>
      </c>
      <c r="P6" s="44" t="inlineStr">
        <is>
          <t>—</t>
        </is>
      </c>
      <c r="Q6" s="39" t="n">
        <v>14.8</v>
      </c>
      <c r="R6" s="23" t="inlineStr">
        <is>
          <t>Medium</t>
        </is>
      </c>
      <c r="S6" s="41" t="n">
        <v>-0.1135492</v>
      </c>
      <c r="T6" s="41" t="n">
        <v>-0.07315100000000001</v>
      </c>
      <c r="U6" s="41" t="n">
        <v>0.2044332</v>
      </c>
      <c r="V6" s="41" t="n">
        <v>0.0212626</v>
      </c>
      <c r="W6" s="41" t="n">
        <v>0.1612072</v>
      </c>
    </row>
    <row r="7" ht="16" customHeight="1">
      <c r="A7" s="32" t="n">
        <v>3</v>
      </c>
      <c r="B7" s="19" t="inlineStr">
        <is>
          <t>INTT</t>
        </is>
      </c>
      <c r="C7" s="20" t="inlineStr">
        <is>
          <t>inTEST Corporation</t>
        </is>
      </c>
      <c r="D7" s="21" t="n">
        <v>146.3</v>
      </c>
      <c r="E7" s="33" t="n">
        <v>11.59</v>
      </c>
      <c r="F7" s="34" t="n">
        <v>0.255</v>
      </c>
      <c r="G7" s="34" t="n">
        <v>0.427</v>
      </c>
      <c r="H7" s="34" t="n">
        <v>0.405</v>
      </c>
      <c r="I7" s="34" t="n">
        <v>0.036</v>
      </c>
      <c r="J7" s="34" t="n">
        <v>0.133</v>
      </c>
      <c r="K7" s="36" t="n">
        <v>58</v>
      </c>
      <c r="L7" s="36" t="n">
        <v>85.3</v>
      </c>
      <c r="M7" s="36" t="n">
        <v>71.2</v>
      </c>
      <c r="N7" s="37" t="n">
        <v>66.40000000000001</v>
      </c>
      <c r="O7" s="22" t="n">
        <v>67.2</v>
      </c>
      <c r="P7" s="38" t="inlineStr">
        <is>
          <t>—</t>
        </is>
      </c>
      <c r="Q7" s="39" t="n">
        <v>27.8</v>
      </c>
      <c r="R7" s="23" t="inlineStr">
        <is>
          <t>Medium</t>
        </is>
      </c>
      <c r="S7" s="34" t="n">
        <v>-0.175089</v>
      </c>
      <c r="T7" s="34" t="n">
        <v>-0.2584773</v>
      </c>
      <c r="U7" s="34" t="n">
        <v>-0.1246224</v>
      </c>
      <c r="V7" s="34" t="n">
        <v>0.5515395000000001</v>
      </c>
      <c r="W7" s="34" t="n">
        <v>0.6097222</v>
      </c>
    </row>
    <row r="8" ht="16" customHeight="1">
      <c r="A8" s="32" t="n">
        <v>4</v>
      </c>
      <c r="B8" s="24" t="inlineStr">
        <is>
          <t>RFIL</t>
        </is>
      </c>
      <c r="C8" s="25" t="inlineStr">
        <is>
          <t>RF Industries, Ltd.</t>
        </is>
      </c>
      <c r="D8" s="26" t="n">
        <v>117.2</v>
      </c>
      <c r="E8" s="40" t="n">
        <v>10.855</v>
      </c>
      <c r="F8" s="41" t="n">
        <v>0.094</v>
      </c>
      <c r="G8" s="41" t="n">
        <v>-0.08</v>
      </c>
      <c r="H8" s="41" t="n">
        <v>0.351</v>
      </c>
      <c r="I8" s="41" t="n">
        <v>0.048</v>
      </c>
      <c r="J8" s="41" t="n">
        <v>0.224</v>
      </c>
      <c r="K8" s="42" t="n">
        <v>50</v>
      </c>
      <c r="L8" s="42" t="n">
        <v>62.7</v>
      </c>
      <c r="M8" s="42" t="n">
        <v>65.7</v>
      </c>
      <c r="N8" s="43" t="n">
        <v>62.1</v>
      </c>
      <c r="O8" s="35" t="n">
        <v>71.09999999999999</v>
      </c>
      <c r="P8" s="44" t="inlineStr">
        <is>
          <t>—</t>
        </is>
      </c>
      <c r="Q8" s="39" t="n">
        <v>27.6</v>
      </c>
      <c r="R8" s="27" t="inlineStr">
        <is>
          <t>Speculative</t>
        </is>
      </c>
      <c r="S8" s="41" t="n">
        <v>-0.1526151</v>
      </c>
      <c r="T8" s="41" t="n">
        <v>-0.3488302</v>
      </c>
      <c r="U8" s="41" t="n">
        <v>0.039751</v>
      </c>
      <c r="V8" s="41" t="n">
        <v>0.8780277</v>
      </c>
      <c r="W8" s="41" t="n">
        <v>0.4829235</v>
      </c>
    </row>
    <row r="9" ht="16" customHeight="1">
      <c r="A9" s="32" t="n">
        <v>5</v>
      </c>
      <c r="B9" s="19" t="inlineStr">
        <is>
          <t>ASYS</t>
        </is>
      </c>
      <c r="C9" s="20" t="inlineStr">
        <is>
          <t>Amtech Systems, Inc.</t>
        </is>
      </c>
      <c r="D9" s="21" t="n">
        <v>269.4</v>
      </c>
      <c r="E9" s="33" t="n">
        <v>15.4184</v>
      </c>
      <c r="F9" s="34" t="n">
        <v>0.145</v>
      </c>
      <c r="G9" s="34" t="n">
        <v>0.414</v>
      </c>
      <c r="H9" s="34" t="n">
        <v>0.5</v>
      </c>
      <c r="I9" s="34" t="n">
        <v>0.09</v>
      </c>
      <c r="J9" s="34" t="n">
        <v>0.263</v>
      </c>
      <c r="K9" s="36" t="n">
        <v>57.2</v>
      </c>
      <c r="L9" s="36" t="n">
        <v>75.5</v>
      </c>
      <c r="M9" s="36" t="n">
        <v>63.5</v>
      </c>
      <c r="N9" s="37" t="n">
        <v>59.9</v>
      </c>
      <c r="O9" s="22" t="n">
        <v>60.3</v>
      </c>
      <c r="P9" s="38" t="inlineStr">
        <is>
          <t>—</t>
        </is>
      </c>
      <c r="Q9" s="45" t="n">
        <v>43.6</v>
      </c>
      <c r="R9" s="27" t="inlineStr">
        <is>
          <t>Speculative</t>
        </is>
      </c>
      <c r="S9" s="34" t="n">
        <v>-0.0071860914</v>
      </c>
      <c r="T9" s="34" t="n">
        <v>-0.2177372</v>
      </c>
      <c r="U9" s="34" t="n">
        <v>0.1933746</v>
      </c>
      <c r="V9" s="34" t="n">
        <v>0.2285578</v>
      </c>
      <c r="W9" s="34" t="n">
        <v>0.9443127</v>
      </c>
    </row>
    <row r="10" ht="16" customHeight="1">
      <c r="A10" s="32" t="n">
        <v>6</v>
      </c>
      <c r="B10" s="24" t="inlineStr">
        <is>
          <t>LAW</t>
        </is>
      </c>
      <c r="C10" s="25" t="inlineStr">
        <is>
          <t>CS Disco, Inc.</t>
        </is>
      </c>
      <c r="D10" s="26" t="n">
        <v>260.7</v>
      </c>
      <c r="E10" s="40" t="n">
        <v>4.065</v>
      </c>
      <c r="F10" s="41" t="n">
        <v>0.132</v>
      </c>
      <c r="G10" s="41" t="n">
        <v>0.07400000000000001</v>
      </c>
      <c r="H10" s="41" t="n">
        <v>0.7440000000000001</v>
      </c>
      <c r="I10" s="41" t="n">
        <v>0.06900000000000001</v>
      </c>
      <c r="J10" s="41" t="n">
        <v>0.57</v>
      </c>
      <c r="K10" s="35" t="n">
        <v>82</v>
      </c>
      <c r="L10" s="42" t="n">
        <v>71.7</v>
      </c>
      <c r="M10" s="42" t="n">
        <v>47.5</v>
      </c>
      <c r="N10" s="43" t="n">
        <v>59.8</v>
      </c>
      <c r="O10" s="22" t="n">
        <v>57.4</v>
      </c>
      <c r="P10" s="44" t="inlineStr">
        <is>
          <t>—</t>
        </is>
      </c>
      <c r="Q10" s="39" t="n">
        <v>13.8</v>
      </c>
      <c r="R10" s="27" t="inlineStr">
        <is>
          <t>Speculative</t>
        </is>
      </c>
      <c r="S10" s="41" t="n">
        <v>-0.0546512</v>
      </c>
      <c r="T10" s="41" t="n">
        <v>0.101626</v>
      </c>
      <c r="U10" s="41" t="n">
        <v>-0.151357</v>
      </c>
      <c r="V10" s="41" t="n">
        <v>-0.4761598</v>
      </c>
      <c r="W10" s="41" t="n">
        <v>-0.2930435</v>
      </c>
    </row>
    <row r="11" ht="16" customHeight="1">
      <c r="A11" s="32" t="n">
        <v>7</v>
      </c>
      <c r="B11" s="19" t="inlineStr">
        <is>
          <t>LTRX</t>
        </is>
      </c>
      <c r="C11" s="20" t="inlineStr">
        <is>
          <t>Lantronix, Inc.</t>
        </is>
      </c>
      <c r="D11" s="21" t="n">
        <v>237.1</v>
      </c>
      <c r="E11" s="33" t="n">
        <v>5.335</v>
      </c>
      <c r="F11" s="34" t="n">
        <v>0.08</v>
      </c>
      <c r="G11" s="34" t="n">
        <v>0.492</v>
      </c>
      <c r="H11" s="34" t="n">
        <v>0.4370000000000001</v>
      </c>
      <c r="I11" s="34" t="n">
        <v>0.141</v>
      </c>
      <c r="J11" s="34" t="n">
        <v>0.225</v>
      </c>
      <c r="K11" s="46" t="n">
        <v>33.9</v>
      </c>
      <c r="L11" s="36" t="n">
        <v>67.5</v>
      </c>
      <c r="M11" s="36" t="n">
        <v>61.6</v>
      </c>
      <c r="N11" s="37" t="n">
        <v>56.8</v>
      </c>
      <c r="O11" s="35" t="n">
        <v>79</v>
      </c>
      <c r="P11" s="38" t="inlineStr">
        <is>
          <t>—</t>
        </is>
      </c>
      <c r="Q11" s="39" t="n">
        <v>11.3</v>
      </c>
      <c r="R11" s="27" t="inlineStr">
        <is>
          <t>Speculative</t>
        </is>
      </c>
      <c r="S11" s="34" t="n">
        <v>-0.1063652</v>
      </c>
      <c r="T11" s="34" t="n">
        <v>-0.2061012</v>
      </c>
      <c r="U11" s="34" t="n">
        <v>-0.0557522</v>
      </c>
      <c r="V11" s="34" t="n">
        <v>-0.0895904</v>
      </c>
      <c r="W11" s="34" t="n">
        <v>0.1184486</v>
      </c>
    </row>
    <row r="12" ht="16" customHeight="1">
      <c r="A12" s="32" t="n">
        <v>8</v>
      </c>
      <c r="B12" s="24" t="inlineStr">
        <is>
          <t>ROC</t>
        </is>
      </c>
      <c r="C12" s="25" t="inlineStr">
        <is>
          <t>Rank One Computing Corp.</t>
        </is>
      </c>
      <c r="D12" s="26" t="n">
        <v>79.8</v>
      </c>
      <c r="E12" s="40" t="n">
        <v>4.29</v>
      </c>
      <c r="F12" s="41" t="n">
        <v>0.927</v>
      </c>
      <c r="G12" s="41" t="n">
        <v>0</v>
      </c>
      <c r="H12" s="41" t="n">
        <v>0.897</v>
      </c>
      <c r="I12" s="41" t="n">
        <v>0.003</v>
      </c>
      <c r="J12" s="41" t="n">
        <v>0.718</v>
      </c>
      <c r="K12" s="42" t="n">
        <v>50</v>
      </c>
      <c r="L12" s="42" t="n">
        <v>85</v>
      </c>
      <c r="M12" s="42" t="n">
        <v>47.3</v>
      </c>
      <c r="N12" s="43" t="n">
        <v>54.2</v>
      </c>
      <c r="O12" s="35" t="n">
        <v>77.8</v>
      </c>
      <c r="P12" s="44" t="inlineStr">
        <is>
          <t>—</t>
        </is>
      </c>
      <c r="Q12" s="39" t="n">
        <v>6.1</v>
      </c>
      <c r="R12" s="27" t="inlineStr">
        <is>
          <t>Speculative</t>
        </is>
      </c>
      <c r="S12" s="41" t="n">
        <v>-0.0272109</v>
      </c>
      <c r="T12" s="41" t="n">
        <v>-0.0793991</v>
      </c>
      <c r="U12" s="41" t="n">
        <v>-0.3254717</v>
      </c>
      <c r="V12" s="41" t="n">
        <v>-0.3035714</v>
      </c>
      <c r="W12" s="41" t="n">
        <v>-0.3035714</v>
      </c>
    </row>
    <row r="13" ht="16" customHeight="1">
      <c r="A13" s="32" t="n">
        <v>9</v>
      </c>
      <c r="B13" s="19" t="inlineStr">
        <is>
          <t>BKTI</t>
        </is>
      </c>
      <c r="C13" s="20" t="inlineStr">
        <is>
          <t>BK Technologies Corporation</t>
        </is>
      </c>
      <c r="D13" s="21" t="n">
        <v>273.9</v>
      </c>
      <c r="E13" s="33" t="n">
        <v>73.15000000000001</v>
      </c>
      <c r="F13" s="34" t="n">
        <v>0.106</v>
      </c>
      <c r="G13" s="34" t="n">
        <v>0.061</v>
      </c>
      <c r="H13" s="34" t="n">
        <v>0.519</v>
      </c>
      <c r="I13" s="34" t="n">
        <v>0.099</v>
      </c>
      <c r="J13" s="34" t="n">
        <v>0.24</v>
      </c>
      <c r="K13" s="46" t="n">
        <v>26.3</v>
      </c>
      <c r="L13" s="36" t="n">
        <v>67.2</v>
      </c>
      <c r="M13" s="36" t="n">
        <v>62.1</v>
      </c>
      <c r="N13" s="37" t="n">
        <v>52.2</v>
      </c>
      <c r="O13" s="22" t="n">
        <v>66.09999999999999</v>
      </c>
      <c r="P13" s="38" t="inlineStr">
        <is>
          <t>—</t>
        </is>
      </c>
      <c r="Q13" s="39" t="n">
        <v>17.6</v>
      </c>
      <c r="R13" s="27" t="inlineStr">
        <is>
          <t>Speculative</t>
        </is>
      </c>
      <c r="S13" s="34" t="n">
        <v>-0.05880080000000001</v>
      </c>
      <c r="T13" s="34" t="n">
        <v>-0.0897213</v>
      </c>
      <c r="U13" s="34" t="n">
        <v>-0.1400188</v>
      </c>
      <c r="V13" s="34" t="n">
        <v>-0.0193055</v>
      </c>
      <c r="W13" s="34" t="n">
        <v>0.0590705</v>
      </c>
    </row>
    <row r="14" ht="16" customHeight="1">
      <c r="A14" s="32" t="n">
        <v>10</v>
      </c>
      <c r="B14" s="24" t="inlineStr">
        <is>
          <t>LNSR</t>
        </is>
      </c>
      <c r="C14" s="25" t="inlineStr">
        <is>
          <t>LENSAR Inc</t>
        </is>
      </c>
      <c r="D14" s="26" t="n">
        <v>105.5</v>
      </c>
      <c r="E14" s="40" t="n">
        <v>8.6</v>
      </c>
      <c r="F14" s="41" t="n">
        <v>0.184</v>
      </c>
      <c r="G14" s="41" t="n">
        <v>0.081</v>
      </c>
      <c r="H14" s="41" t="n">
        <v>0.593</v>
      </c>
      <c r="I14" s="41" t="n">
        <v>0.108</v>
      </c>
      <c r="J14" s="41" t="n">
        <v>0.291</v>
      </c>
      <c r="K14" s="42" t="n">
        <v>50</v>
      </c>
      <c r="L14" s="42" t="n">
        <v>71.90000000000001</v>
      </c>
      <c r="M14" s="42" t="n">
        <v>45.6</v>
      </c>
      <c r="N14" s="43" t="n">
        <v>50.1</v>
      </c>
      <c r="O14" s="22" t="n">
        <v>61.6</v>
      </c>
      <c r="P14" s="44" t="inlineStr">
        <is>
          <t>—</t>
        </is>
      </c>
      <c r="Q14" s="39" t="n">
        <v>22</v>
      </c>
      <c r="R14" s="27" t="inlineStr">
        <is>
          <t>Speculative</t>
        </is>
      </c>
      <c r="S14" s="41" t="n">
        <v>0.4238411</v>
      </c>
      <c r="T14" s="41" t="n">
        <v>0.5357143</v>
      </c>
      <c r="U14" s="41" t="n">
        <v>-0.2711864</v>
      </c>
      <c r="V14" s="41" t="n">
        <v>-0.2605331</v>
      </c>
      <c r="W14" s="41" t="n">
        <v>-0.3030794</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AISP</t>
        </is>
      </c>
      <c r="B19" s="36" t="n">
        <v>100</v>
      </c>
      <c r="C19" s="36" t="n">
        <v>100</v>
      </c>
      <c r="D19" s="36" t="n">
        <v>35.6</v>
      </c>
      <c r="E19" s="36" t="n">
        <v>100</v>
      </c>
      <c r="F19" s="36" t="n">
        <v>100</v>
      </c>
    </row>
    <row r="20" ht="16" customHeight="1">
      <c r="A20" s="24" t="inlineStr">
        <is>
          <t>KVHI</t>
        </is>
      </c>
      <c r="B20" s="42" t="n">
        <v>53.4</v>
      </c>
      <c r="C20" s="42" t="n">
        <v>75</v>
      </c>
      <c r="D20" s="42" t="n">
        <v>100</v>
      </c>
      <c r="E20" s="42" t="n">
        <v>100</v>
      </c>
      <c r="F20" s="42" t="n">
        <v>100</v>
      </c>
    </row>
    <row r="21" ht="16" customHeight="1">
      <c r="A21" s="19" t="inlineStr">
        <is>
          <t>INTT</t>
        </is>
      </c>
      <c r="B21" s="36" t="n">
        <v>51</v>
      </c>
      <c r="C21" s="36" t="n">
        <v>100</v>
      </c>
      <c r="D21" s="36" t="n">
        <v>100</v>
      </c>
      <c r="E21" s="36" t="n">
        <v>100</v>
      </c>
      <c r="F21" s="36" t="n">
        <v>100</v>
      </c>
    </row>
    <row r="22" ht="16" customHeight="1">
      <c r="A22" s="24" t="inlineStr">
        <is>
          <t>RFIL</t>
        </is>
      </c>
      <c r="B22" s="42" t="n">
        <v>18.8</v>
      </c>
      <c r="C22" s="42" t="n">
        <v>87.8</v>
      </c>
      <c r="D22" s="42" t="n">
        <v>100</v>
      </c>
      <c r="E22" s="42" t="n">
        <v>100</v>
      </c>
      <c r="F22" s="42" t="n">
        <v>30</v>
      </c>
    </row>
    <row r="23" ht="16" customHeight="1">
      <c r="A23" s="19" t="inlineStr">
        <is>
          <t>ASYS</t>
        </is>
      </c>
      <c r="B23" s="36" t="n">
        <v>29</v>
      </c>
      <c r="C23" s="36" t="n">
        <v>100</v>
      </c>
      <c r="D23" s="36" t="n">
        <v>84</v>
      </c>
      <c r="E23" s="36" t="n">
        <v>100</v>
      </c>
      <c r="F23" s="36" t="n">
        <v>100</v>
      </c>
    </row>
    <row r="24" ht="16" customHeight="1">
      <c r="A24" s="24" t="inlineStr">
        <is>
          <t>LAW</t>
        </is>
      </c>
      <c r="B24" s="42" t="n">
        <v>26.4</v>
      </c>
      <c r="C24" s="42" t="n">
        <v>100</v>
      </c>
      <c r="D24" s="42" t="n">
        <v>92.40000000000001</v>
      </c>
      <c r="E24" s="42" t="n">
        <v>100</v>
      </c>
      <c r="F24" s="42" t="n">
        <v>68.5</v>
      </c>
    </row>
    <row r="25" ht="16" customHeight="1">
      <c r="A25" s="19" t="inlineStr">
        <is>
          <t>LTRX</t>
        </is>
      </c>
      <c r="B25" s="36" t="n">
        <v>16</v>
      </c>
      <c r="C25" s="36" t="n">
        <v>100</v>
      </c>
      <c r="D25" s="36" t="n">
        <v>63.6</v>
      </c>
      <c r="E25" s="36" t="n">
        <v>100</v>
      </c>
      <c r="F25" s="36" t="n">
        <v>100</v>
      </c>
    </row>
    <row r="26" ht="16" customHeight="1">
      <c r="A26" s="24" t="inlineStr">
        <is>
          <t>ROC</t>
        </is>
      </c>
      <c r="B26" s="42" t="n">
        <v>100</v>
      </c>
      <c r="C26" s="42" t="n">
        <v>100</v>
      </c>
      <c r="D26" s="42" t="n">
        <v>100</v>
      </c>
      <c r="E26" s="42" t="n">
        <v>100</v>
      </c>
      <c r="F26" s="42" t="n">
        <v>50</v>
      </c>
    </row>
    <row r="27" ht="16" customHeight="1">
      <c r="A27" s="19" t="inlineStr">
        <is>
          <t>BKTI</t>
        </is>
      </c>
      <c r="B27" s="36" t="n">
        <v>21.2</v>
      </c>
      <c r="C27" s="36" t="n">
        <v>100</v>
      </c>
      <c r="D27" s="36" t="n">
        <v>80.40000000000001</v>
      </c>
      <c r="E27" s="36" t="n">
        <v>100</v>
      </c>
      <c r="F27" s="36" t="n">
        <v>65.3</v>
      </c>
    </row>
    <row r="28" ht="16" customHeight="1">
      <c r="A28" s="24" t="inlineStr">
        <is>
          <t>LNSR</t>
        </is>
      </c>
      <c r="B28" s="42" t="n">
        <v>36.8</v>
      </c>
      <c r="C28" s="42" t="n">
        <v>100</v>
      </c>
      <c r="D28" s="42" t="n">
        <v>76.8</v>
      </c>
      <c r="E28" s="42" t="n">
        <v>100</v>
      </c>
      <c r="F28" s="42" t="n">
        <v>70.2</v>
      </c>
    </row>
    <row r="60">
      <c r="A60" t="inlineStr">
        <is>
          <t>Ticker</t>
        </is>
      </c>
      <c r="B60" t="inlineStr">
        <is>
          <t>Gross Margin</t>
        </is>
      </c>
      <c r="C60" t="inlineStr">
        <is>
          <t>Rev Growth</t>
        </is>
      </c>
      <c r="D60" t="inlineStr">
        <is>
          <t>Mkt Cap</t>
        </is>
      </c>
    </row>
    <row r="61">
      <c r="A61" t="inlineStr">
        <is>
          <t>AISP</t>
        </is>
      </c>
      <c r="B61" t="n">
        <v>75.09999999999999</v>
      </c>
      <c r="C61" t="n">
        <v>92.09999999999999</v>
      </c>
      <c r="D61" t="n">
        <v>71.8</v>
      </c>
    </row>
    <row r="62">
      <c r="A62" t="inlineStr">
        <is>
          <t>KVHI</t>
        </is>
      </c>
      <c r="B62" t="n">
        <v>30</v>
      </c>
      <c r="C62" t="n">
        <v>26.7</v>
      </c>
      <c r="D62" t="n">
        <v>138.8</v>
      </c>
    </row>
    <row r="63">
      <c r="A63" t="inlineStr">
        <is>
          <t>INTT</t>
        </is>
      </c>
      <c r="B63" t="n">
        <v>40.5</v>
      </c>
      <c r="C63" t="n">
        <v>25.5</v>
      </c>
      <c r="D63" t="n">
        <v>146.3</v>
      </c>
    </row>
    <row r="64">
      <c r="A64" t="inlineStr">
        <is>
          <t>RFIL</t>
        </is>
      </c>
      <c r="B64" t="n">
        <v>35.1</v>
      </c>
      <c r="C64" t="n">
        <v>9.4</v>
      </c>
      <c r="D64" t="n">
        <v>117.2</v>
      </c>
    </row>
    <row r="65">
      <c r="A65" t="inlineStr">
        <is>
          <t>ASYS</t>
        </is>
      </c>
      <c r="B65" t="n">
        <v>50</v>
      </c>
      <c r="C65" t="n">
        <v>14.5</v>
      </c>
      <c r="D65" t="n">
        <v>269.4</v>
      </c>
    </row>
    <row r="66">
      <c r="A66" t="inlineStr">
        <is>
          <t>LAW</t>
        </is>
      </c>
      <c r="B66" t="n">
        <v>74.40000000000001</v>
      </c>
      <c r="C66" t="n">
        <v>13.2</v>
      </c>
      <c r="D66" t="n">
        <v>260.7</v>
      </c>
    </row>
    <row r="67">
      <c r="A67" t="inlineStr">
        <is>
          <t>LTRX</t>
        </is>
      </c>
      <c r="B67" t="n">
        <v>43.7</v>
      </c>
      <c r="C67" t="n">
        <v>8</v>
      </c>
      <c r="D67" t="n">
        <v>237.1</v>
      </c>
    </row>
    <row r="68">
      <c r="A68" t="inlineStr">
        <is>
          <t>ROC</t>
        </is>
      </c>
      <c r="B68" t="n">
        <v>89.7</v>
      </c>
      <c r="C68" t="n">
        <v>92.7</v>
      </c>
      <c r="D68" t="n">
        <v>79.8</v>
      </c>
    </row>
    <row r="69">
      <c r="A69" t="inlineStr">
        <is>
          <t>BKTI</t>
        </is>
      </c>
      <c r="B69" t="n">
        <v>51.9</v>
      </c>
      <c r="C69" t="n">
        <v>10.6</v>
      </c>
      <c r="D69" t="n">
        <v>273.9</v>
      </c>
    </row>
    <row r="70">
      <c r="A70" t="inlineStr">
        <is>
          <t>LNSR</t>
        </is>
      </c>
      <c r="B70" t="n">
        <v>59.3</v>
      </c>
      <c r="C70" t="n">
        <v>18.4</v>
      </c>
      <c r="D70" t="n">
        <v>105.5</v>
      </c>
    </row>
  </sheetData>
  <mergeCells count="3">
    <mergeCell ref="A2:V2"/>
    <mergeCell ref="A1:V1"/>
    <mergeCell ref="A17:W17"/>
  </mergeCells>
  <conditionalFormatting sqref="L5:L14">
    <cfRule type="colorScale" priority="1">
      <colorScale>
        <cfvo type="num" val="0"/>
        <cfvo type="num" val="50"/>
        <cfvo type="num" val="100"/>
        <color rgb="00C1121F"/>
        <color rgb="00F9C74F"/>
        <color rgb="001A6B3C"/>
      </colorScale>
    </cfRule>
  </conditionalFormatting>
  <conditionalFormatting sqref="M5:M14">
    <cfRule type="colorScale" priority="2">
      <colorScale>
        <cfvo type="num" val="0"/>
        <cfvo type="num" val="50"/>
        <cfvo type="num" val="100"/>
        <color rgb="00C1121F"/>
        <color rgb="00F9C74F"/>
        <color rgb="001A6B3C"/>
      </colorScale>
    </cfRule>
  </conditionalFormatting>
  <conditionalFormatting sqref="N5:N14">
    <cfRule type="colorScale" priority="3">
      <colorScale>
        <cfvo type="num" val="0"/>
        <cfvo type="num" val="50"/>
        <cfvo type="num" val="100"/>
        <color rgb="00C1121F"/>
        <color rgb="00F9C74F"/>
        <color rgb="001A6B3C"/>
      </colorScale>
    </cfRule>
  </conditionalFormatting>
  <conditionalFormatting sqref="O5:O14">
    <cfRule type="colorScale" priority="4">
      <colorScale>
        <cfvo type="num" val="0"/>
        <cfvo type="num" val="50"/>
        <cfvo type="num" val="100"/>
        <color rgb="00C1121F"/>
        <color rgb="00F9C74F"/>
        <color rgb="001A6B3C"/>
      </colorScale>
    </cfRule>
  </conditionalFormatting>
  <conditionalFormatting sqref="Q5:Q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K5:K14">
    <cfRule type="colorScale" priority="10">
      <colorScale>
        <cfvo type="num" val="0"/>
        <cfvo type="num" val="50"/>
        <cfvo type="num" val="100"/>
        <color rgb="00C1121F"/>
        <color rgb="00F9C74F"/>
        <color rgb="001A6B3C"/>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W5:W14">
    <cfRule type="colorScale" priority="15">
      <colorScale>
        <cfvo type="min"/>
        <cfvo type="num" val="0"/>
        <cfvo type="max"/>
        <color rgb="00E76F51"/>
        <color rgb="00FFFFFF"/>
        <color rgb="002A9D8F"/>
      </colorScale>
    </cfRule>
  </conditionalFormatting>
  <conditionalFormatting sqref="B19:B28">
    <cfRule type="colorScale" priority="16">
      <colorScale>
        <cfvo type="num" val="0"/>
        <cfvo type="num" val="50"/>
        <cfvo type="num" val="100"/>
        <color rgb="00C1121F"/>
        <color rgb="00F9C74F"/>
        <color rgb="001A6B3C"/>
      </colorScale>
    </cfRule>
  </conditionalFormatting>
  <conditionalFormatting sqref="C19:C28">
    <cfRule type="colorScale" priority="17">
      <colorScale>
        <cfvo type="num" val="0"/>
        <cfvo type="num" val="50"/>
        <cfvo type="num" val="100"/>
        <color rgb="00C1121F"/>
        <color rgb="00F9C74F"/>
        <color rgb="001A6B3C"/>
      </colorScale>
    </cfRule>
  </conditionalFormatting>
  <conditionalFormatting sqref="D19:D28">
    <cfRule type="colorScale" priority="18">
      <colorScale>
        <cfvo type="num" val="0"/>
        <cfvo type="num" val="50"/>
        <cfvo type="num" val="100"/>
        <color rgb="00C1121F"/>
        <color rgb="00F9C74F"/>
        <color rgb="001A6B3C"/>
      </colorScale>
    </cfRule>
  </conditionalFormatting>
  <conditionalFormatting sqref="E19:E28">
    <cfRule type="colorScale" priority="19">
      <colorScale>
        <cfvo type="num" val="0"/>
        <cfvo type="num" val="50"/>
        <cfvo type="num" val="100"/>
        <color rgb="00C1121F"/>
        <color rgb="00F9C74F"/>
        <color rgb="001A6B3C"/>
      </colorScale>
    </cfRule>
  </conditionalFormatting>
  <conditionalFormatting sqref="F19:F28">
    <cfRule type="colorScale" priority="20">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SWBI</t>
        </is>
      </c>
      <c r="C5" s="20" t="inlineStr">
        <is>
          <t>Smith &amp; Wesson Brands, Inc.</t>
        </is>
      </c>
      <c r="D5" s="21" t="n">
        <v>588.2</v>
      </c>
      <c r="E5" s="33" t="n">
        <v>13.1613</v>
      </c>
      <c r="F5" s="34" t="n">
        <v>0.323</v>
      </c>
      <c r="G5" s="34" t="n">
        <v>0.36</v>
      </c>
      <c r="H5" s="34" t="n">
        <v>0.287</v>
      </c>
      <c r="I5" s="34" t="n">
        <v>-0.026</v>
      </c>
      <c r="J5" s="34" t="n">
        <v>0.033</v>
      </c>
      <c r="K5" s="36" t="n">
        <v>50</v>
      </c>
      <c r="L5" s="36" t="n">
        <v>73.7</v>
      </c>
      <c r="M5" s="36" t="n">
        <v>85.40000000000001</v>
      </c>
      <c r="N5" s="37" t="n">
        <v>70</v>
      </c>
      <c r="O5" s="22" t="n">
        <v>61.4</v>
      </c>
      <c r="P5" s="38" t="inlineStr">
        <is>
          <t>—</t>
        </is>
      </c>
      <c r="Q5" s="39" t="n">
        <v>31.8</v>
      </c>
      <c r="R5" s="23" t="inlineStr">
        <is>
          <t>Medium</t>
        </is>
      </c>
      <c r="S5" s="34" t="n">
        <v>-0.0764</v>
      </c>
      <c r="T5" s="34" t="n">
        <v>-0.1028425</v>
      </c>
      <c r="U5" s="34" t="n">
        <v>-0.0592352</v>
      </c>
      <c r="V5" s="34" t="n">
        <v>0.333465</v>
      </c>
      <c r="W5" s="34" t="n">
        <v>0.4888348</v>
      </c>
    </row>
    <row r="6" ht="16" customHeight="1">
      <c r="A6" s="32" t="n">
        <v>2</v>
      </c>
      <c r="B6" s="24" t="inlineStr">
        <is>
          <t>GHM</t>
        </is>
      </c>
      <c r="C6" s="25" t="inlineStr">
        <is>
          <t>Graham Corporation</t>
        </is>
      </c>
      <c r="D6" s="26" t="n">
        <v>1046.6</v>
      </c>
      <c r="E6" s="40" t="n">
        <v>89.42</v>
      </c>
      <c r="F6" s="41" t="n">
        <v>0.286</v>
      </c>
      <c r="G6" s="41" t="n">
        <v>0.175</v>
      </c>
      <c r="H6" s="41" t="n">
        <v>0.25</v>
      </c>
      <c r="I6" s="41" t="n">
        <v>0.08400000000000001</v>
      </c>
      <c r="J6" s="41" t="n">
        <v>0.051</v>
      </c>
      <c r="K6" s="42" t="n">
        <v>56.4</v>
      </c>
      <c r="L6" s="42" t="n">
        <v>68.7</v>
      </c>
      <c r="M6" s="42" t="n">
        <v>88.40000000000001</v>
      </c>
      <c r="N6" s="43" t="n">
        <v>63.6</v>
      </c>
      <c r="O6" s="22" t="n">
        <v>59.9</v>
      </c>
      <c r="P6" s="44" t="inlineStr">
        <is>
          <t>—</t>
        </is>
      </c>
      <c r="Q6" s="45" t="n">
        <v>65.90000000000001</v>
      </c>
      <c r="R6" s="27" t="inlineStr">
        <is>
          <t>Speculative</t>
        </is>
      </c>
      <c r="S6" s="41" t="n">
        <v>-0.1993195</v>
      </c>
      <c r="T6" s="41" t="n">
        <v>-0.0620936</v>
      </c>
      <c r="U6" s="41" t="n">
        <v>0.09556480000000001</v>
      </c>
      <c r="V6" s="41" t="n">
        <v>0.3921843</v>
      </c>
      <c r="W6" s="41" t="n">
        <v>0.8711027</v>
      </c>
    </row>
    <row r="7" ht="16" customHeight="1">
      <c r="A7" s="32" t="n">
        <v>3</v>
      </c>
      <c r="B7" s="19" t="inlineStr">
        <is>
          <t>TRC</t>
        </is>
      </c>
      <c r="C7" s="20" t="inlineStr">
        <is>
          <t>Tejon Ranch Co.</t>
        </is>
      </c>
      <c r="D7" s="21" t="n">
        <v>446.5</v>
      </c>
      <c r="E7" s="33" t="n">
        <v>16.5237</v>
      </c>
      <c r="F7" s="34" t="n">
        <v>0.7170000000000001</v>
      </c>
      <c r="G7" s="34" t="n">
        <v>0.257</v>
      </c>
      <c r="H7" s="34" t="n">
        <v>0.224</v>
      </c>
      <c r="I7" s="34" t="n">
        <v>-0.014</v>
      </c>
      <c r="J7" s="34" t="n">
        <v>0.081</v>
      </c>
      <c r="K7" s="36" t="n">
        <v>50</v>
      </c>
      <c r="L7" s="36" t="n">
        <v>88.40000000000001</v>
      </c>
      <c r="M7" s="36" t="n">
        <v>69.40000000000001</v>
      </c>
      <c r="N7" s="37" t="n">
        <v>63.5</v>
      </c>
      <c r="O7" s="22" t="n">
        <v>68.90000000000001</v>
      </c>
      <c r="P7" s="38" t="inlineStr">
        <is>
          <t>—</t>
        </is>
      </c>
      <c r="Q7" s="39" t="n">
        <v>7.5</v>
      </c>
      <c r="R7" s="27" t="inlineStr">
        <is>
          <t>Speculative</t>
        </is>
      </c>
      <c r="S7" s="34" t="n">
        <v>-0.009964050300000001</v>
      </c>
      <c r="T7" s="34" t="n">
        <v>-0.1380438</v>
      </c>
      <c r="U7" s="34" t="n">
        <v>-0.0779185</v>
      </c>
      <c r="V7" s="34" t="n">
        <v>0.0477933</v>
      </c>
      <c r="W7" s="34" t="n">
        <v>-0.0251504</v>
      </c>
    </row>
    <row r="8" ht="16" customHeight="1">
      <c r="A8" s="32" t="n">
        <v>4</v>
      </c>
      <c r="B8" s="24" t="inlineStr">
        <is>
          <t>CEVA</t>
        </is>
      </c>
      <c r="C8" s="25" t="inlineStr">
        <is>
          <t>CEVA, Inc.</t>
        </is>
      </c>
      <c r="D8" s="26" t="n">
        <v>784.5</v>
      </c>
      <c r="E8" s="40" t="n">
        <v>28.185</v>
      </c>
      <c r="F8" s="41" t="n">
        <v>0.131</v>
      </c>
      <c r="G8" s="41" t="n">
        <v>0.228</v>
      </c>
      <c r="H8" s="41" t="n">
        <v>0.8740000000000001</v>
      </c>
      <c r="I8" s="41" t="n">
        <v>0.186</v>
      </c>
      <c r="J8" s="41" t="n">
        <v>0.114</v>
      </c>
      <c r="K8" s="35" t="n">
        <v>69.40000000000001</v>
      </c>
      <c r="L8" s="42" t="n">
        <v>67</v>
      </c>
      <c r="M8" s="42" t="n">
        <v>62.7</v>
      </c>
      <c r="N8" s="43" t="n">
        <v>62.2</v>
      </c>
      <c r="O8" s="46" t="n">
        <v>50</v>
      </c>
      <c r="P8" s="44" t="inlineStr">
        <is>
          <t>—</t>
        </is>
      </c>
      <c r="Q8" s="39" t="n">
        <v>21.9</v>
      </c>
      <c r="R8" s="27" t="inlineStr">
        <is>
          <t>Speculative</t>
        </is>
      </c>
      <c r="S8" s="41" t="n">
        <v>-0.2711404</v>
      </c>
      <c r="T8" s="41" t="n">
        <v>-0.3827201</v>
      </c>
      <c r="U8" s="41" t="n">
        <v>0.4733403</v>
      </c>
      <c r="V8" s="41" t="n">
        <v>0.3097119</v>
      </c>
      <c r="W8" s="41" t="n">
        <v>0.2127797</v>
      </c>
    </row>
    <row r="9" ht="16" customHeight="1">
      <c r="A9" s="32" t="n">
        <v>5</v>
      </c>
      <c r="B9" s="19" t="inlineStr">
        <is>
          <t>CMCO</t>
        </is>
      </c>
      <c r="C9" s="20" t="inlineStr">
        <is>
          <t>Columbus McKinnon Corporation</t>
        </is>
      </c>
      <c r="D9" s="21" t="n">
        <v>540.2</v>
      </c>
      <c r="E9" s="33" t="n">
        <v>18.7</v>
      </c>
      <c r="F9" s="34" t="n">
        <v>1.253</v>
      </c>
      <c r="G9" s="34" t="n">
        <v>1.269</v>
      </c>
      <c r="H9" s="34" t="n">
        <v>0.275</v>
      </c>
      <c r="I9" s="34" t="n">
        <v>0.002</v>
      </c>
      <c r="J9" s="34" t="n">
        <v>0.027</v>
      </c>
      <c r="K9" s="36" t="n">
        <v>50.5</v>
      </c>
      <c r="L9" s="36" t="n">
        <v>82.8</v>
      </c>
      <c r="M9" s="36" t="n">
        <v>72.2</v>
      </c>
      <c r="N9" s="37" t="n">
        <v>60.8</v>
      </c>
      <c r="O9" s="36" t="n">
        <v>47.5</v>
      </c>
      <c r="P9" s="38" t="inlineStr">
        <is>
          <t>—</t>
        </is>
      </c>
      <c r="Q9" s="39" t="n">
        <v>28</v>
      </c>
      <c r="R9" s="27" t="inlineStr">
        <is>
          <t>Speculative</t>
        </is>
      </c>
      <c r="S9" s="34" t="n">
        <v>-0.07517310000000001</v>
      </c>
      <c r="T9" s="34" t="n">
        <v>0.5008026</v>
      </c>
      <c r="U9" s="34" t="n">
        <v>0.1150865</v>
      </c>
      <c r="V9" s="34" t="n">
        <v>0.08405799999999999</v>
      </c>
      <c r="W9" s="34" t="n">
        <v>0.2541918</v>
      </c>
    </row>
    <row r="10" ht="16" customHeight="1">
      <c r="A10" s="32" t="n">
        <v>6</v>
      </c>
      <c r="B10" s="24" t="inlineStr">
        <is>
          <t>VPG</t>
        </is>
      </c>
      <c r="C10" s="25" t="inlineStr">
        <is>
          <t>Vishay Precision Group, Inc.</t>
        </is>
      </c>
      <c r="D10" s="26" t="n">
        <v>868.2</v>
      </c>
      <c r="E10" s="40" t="n">
        <v>65.34</v>
      </c>
      <c r="F10" s="41" t="n">
        <v>1.239</v>
      </c>
      <c r="G10" s="41" t="n">
        <v>1.267</v>
      </c>
      <c r="H10" s="41" t="n">
        <v>0.388</v>
      </c>
      <c r="I10" s="41" t="n">
        <v>-0.021</v>
      </c>
      <c r="J10" s="41" t="n">
        <v>0.186</v>
      </c>
      <c r="K10" s="42" t="n">
        <v>50</v>
      </c>
      <c r="L10" s="42" t="n">
        <v>99.40000000000001</v>
      </c>
      <c r="M10" s="42" t="n">
        <v>73.7</v>
      </c>
      <c r="N10" s="43" t="n">
        <v>59.1</v>
      </c>
      <c r="O10" s="22" t="n">
        <v>69.59999999999999</v>
      </c>
      <c r="P10" s="44" t="inlineStr">
        <is>
          <t>—</t>
        </is>
      </c>
      <c r="Q10" s="45" t="n">
        <v>60.3</v>
      </c>
      <c r="R10" s="27" t="inlineStr">
        <is>
          <t>Speculative</t>
        </is>
      </c>
      <c r="S10" s="41" t="n">
        <v>-0.04738299999999999</v>
      </c>
      <c r="T10" s="41" t="n">
        <v>-0.4553184</v>
      </c>
      <c r="U10" s="41" t="n">
        <v>0.5034514</v>
      </c>
      <c r="V10" s="41" t="n">
        <v>0.6971429</v>
      </c>
      <c r="W10" s="41" t="n">
        <v>1.1809079</v>
      </c>
    </row>
    <row r="11" ht="16" customHeight="1">
      <c r="A11" s="32" t="n">
        <v>7</v>
      </c>
      <c r="B11" s="19" t="inlineStr">
        <is>
          <t>MNTK</t>
        </is>
      </c>
      <c r="C11" s="20" t="inlineStr">
        <is>
          <t>Montauk Renewables, Inc.</t>
        </is>
      </c>
      <c r="D11" s="21" t="n">
        <v>336.6</v>
      </c>
      <c r="E11" s="33" t="n">
        <v>2.355</v>
      </c>
      <c r="F11" s="34" t="n">
        <v>0.197</v>
      </c>
      <c r="G11" s="34" t="n">
        <v>0.156</v>
      </c>
      <c r="H11" s="34" t="n">
        <v>0.299</v>
      </c>
      <c r="I11" s="34" t="n">
        <v>0.011</v>
      </c>
      <c r="J11" s="34" t="n">
        <v>0.7070000000000001</v>
      </c>
      <c r="K11" s="36" t="n">
        <v>56.5</v>
      </c>
      <c r="L11" s="36" t="n">
        <v>75.09999999999999</v>
      </c>
      <c r="M11" s="36" t="n">
        <v>67.90000000000001</v>
      </c>
      <c r="N11" s="37" t="n">
        <v>58.4</v>
      </c>
      <c r="O11" s="36" t="n">
        <v>39.3</v>
      </c>
      <c r="P11" s="38" t="inlineStr">
        <is>
          <t>—</t>
        </is>
      </c>
      <c r="Q11" s="45" t="n">
        <v>41.2</v>
      </c>
      <c r="R11" s="27" t="inlineStr">
        <is>
          <t>Speculative</t>
        </is>
      </c>
      <c r="S11" s="34" t="n">
        <v>0.3156425</v>
      </c>
      <c r="T11" s="34" t="n">
        <v>0.369186</v>
      </c>
      <c r="U11" s="34" t="n">
        <v>0.5292208</v>
      </c>
      <c r="V11" s="34" t="n">
        <v>0.4101796</v>
      </c>
      <c r="W11" s="34" t="n">
        <v>0.1432039</v>
      </c>
    </row>
    <row r="12" ht="16" customHeight="1">
      <c r="A12" s="32" t="n">
        <v>8</v>
      </c>
      <c r="B12" s="24" t="inlineStr">
        <is>
          <t>EVLV</t>
        </is>
      </c>
      <c r="C12" s="25" t="inlineStr">
        <is>
          <t>Evolv Technologies Holdings, Inc.</t>
        </is>
      </c>
      <c r="D12" s="26" t="n">
        <v>912.8</v>
      </c>
      <c r="E12" s="40" t="n">
        <v>5.089</v>
      </c>
      <c r="F12" s="41" t="n">
        <v>0.344</v>
      </c>
      <c r="G12" s="41" t="n">
        <v>0.07000000000000001</v>
      </c>
      <c r="H12" s="41" t="n">
        <v>0.502</v>
      </c>
      <c r="I12" s="41" t="n">
        <v>0.199</v>
      </c>
      <c r="J12" s="41" t="n">
        <v>0.052</v>
      </c>
      <c r="K12" s="46" t="n">
        <v>24</v>
      </c>
      <c r="L12" s="42" t="n">
        <v>66.59999999999999</v>
      </c>
      <c r="M12" s="42" t="n">
        <v>74</v>
      </c>
      <c r="N12" s="43" t="n">
        <v>57.5</v>
      </c>
      <c r="O12" s="22" t="n">
        <v>66.40000000000001</v>
      </c>
      <c r="P12" s="44" t="inlineStr">
        <is>
          <t>—</t>
        </is>
      </c>
      <c r="Q12" s="39" t="n">
        <v>2.3</v>
      </c>
      <c r="R12" s="27" t="inlineStr">
        <is>
          <t>Speculative</t>
        </is>
      </c>
      <c r="S12" s="41" t="n">
        <v>-0.1703263</v>
      </c>
      <c r="T12" s="41" t="n">
        <v>-0.126134</v>
      </c>
      <c r="U12" s="41" t="n">
        <v>0.0011614173</v>
      </c>
      <c r="V12" s="41" t="n">
        <v>-0.2896788</v>
      </c>
      <c r="W12" s="41" t="n">
        <v>-0.3850181</v>
      </c>
    </row>
    <row r="13" ht="16" customHeight="1">
      <c r="A13" s="32" t="n">
        <v>9</v>
      </c>
      <c r="B13" s="19" t="inlineStr">
        <is>
          <t>ADTN</t>
        </is>
      </c>
      <c r="C13" s="20" t="inlineStr">
        <is>
          <t>ADTRAN Holdings Inc.</t>
        </is>
      </c>
      <c r="D13" s="21" t="n">
        <v>608.1</v>
      </c>
      <c r="E13" s="33" t="n">
        <v>7.53</v>
      </c>
      <c r="F13" s="34" t="n">
        <v>0.061</v>
      </c>
      <c r="G13" s="34" t="n">
        <v>-0.112</v>
      </c>
      <c r="H13" s="34" t="n">
        <v>0.37</v>
      </c>
      <c r="I13" s="34" t="n">
        <v>0.029</v>
      </c>
      <c r="J13" s="34" t="n">
        <v>0.019</v>
      </c>
      <c r="K13" s="46" t="n">
        <v>28.9</v>
      </c>
      <c r="L13" s="36" t="n">
        <v>48.3</v>
      </c>
      <c r="M13" s="36" t="n">
        <v>76.7</v>
      </c>
      <c r="N13" s="37" t="n">
        <v>57.4</v>
      </c>
      <c r="O13" s="22" t="n">
        <v>51.9</v>
      </c>
      <c r="P13" s="38" t="inlineStr">
        <is>
          <t>—</t>
        </is>
      </c>
      <c r="Q13" s="39" t="n">
        <v>1.9</v>
      </c>
      <c r="R13" s="27" t="inlineStr">
        <is>
          <t>Speculative</t>
        </is>
      </c>
      <c r="S13" s="34" t="n">
        <v>-0.003968254</v>
      </c>
      <c r="T13" s="34" t="n">
        <v>-0.5299625</v>
      </c>
      <c r="U13" s="34" t="n">
        <v>-0.2148071</v>
      </c>
      <c r="V13" s="34" t="n">
        <v>-0.1334868</v>
      </c>
      <c r="W13" s="34" t="n">
        <v>-0.2617647</v>
      </c>
    </row>
    <row r="14" ht="16" customHeight="1">
      <c r="A14" s="32" t="n">
        <v>10</v>
      </c>
      <c r="B14" s="24" t="inlineStr">
        <is>
          <t>SHLS</t>
        </is>
      </c>
      <c r="C14" s="25" t="inlineStr">
        <is>
          <t>Shoals Technologies Group, Inc.</t>
        </is>
      </c>
      <c r="D14" s="26" t="n">
        <v>1262.7</v>
      </c>
      <c r="E14" s="40" t="n">
        <v>7.535</v>
      </c>
      <c r="F14" s="41" t="n">
        <v>0.474</v>
      </c>
      <c r="G14" s="41" t="n">
        <v>0.357</v>
      </c>
      <c r="H14" s="41" t="n">
        <v>0.303</v>
      </c>
      <c r="I14" s="41" t="n">
        <v>-0.011</v>
      </c>
      <c r="J14" s="41" t="n">
        <v>0.006</v>
      </c>
      <c r="K14" s="46" t="n">
        <v>35</v>
      </c>
      <c r="L14" s="42" t="n">
        <v>79.5</v>
      </c>
      <c r="M14" s="42" t="n">
        <v>73.5</v>
      </c>
      <c r="N14" s="43" t="n">
        <v>56.2</v>
      </c>
      <c r="O14" s="42" t="n">
        <v>45</v>
      </c>
      <c r="P14" s="44" t="inlineStr">
        <is>
          <t>—</t>
        </is>
      </c>
      <c r="Q14" s="39" t="n">
        <v>13.5</v>
      </c>
      <c r="R14" s="27" t="inlineStr">
        <is>
          <t>Speculative</t>
        </is>
      </c>
      <c r="S14" s="41" t="n">
        <v>-0.156215</v>
      </c>
      <c r="T14" s="41" t="n">
        <v>-0.3074449</v>
      </c>
      <c r="U14" s="41" t="n">
        <v>0.3196147</v>
      </c>
      <c r="V14" s="41" t="n">
        <v>-0.1135294</v>
      </c>
      <c r="W14" s="41" t="n">
        <v>0.0553221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SWBI</t>
        </is>
      </c>
      <c r="B19" s="36" t="n">
        <v>64.59999999999999</v>
      </c>
      <c r="C19" s="36" t="n">
        <v>71.8</v>
      </c>
      <c r="D19" s="36" t="n">
        <v>100</v>
      </c>
      <c r="E19" s="36" t="n">
        <v>33</v>
      </c>
      <c r="F19" s="36" t="n">
        <v>100</v>
      </c>
    </row>
    <row r="20" ht="16" customHeight="1">
      <c r="A20" s="24" t="inlineStr">
        <is>
          <t>GHM</t>
        </is>
      </c>
      <c r="B20" s="42" t="n">
        <v>57.2</v>
      </c>
      <c r="C20" s="42" t="n">
        <v>62.5</v>
      </c>
      <c r="D20" s="42" t="n">
        <v>86.40000000000001</v>
      </c>
      <c r="E20" s="42" t="n">
        <v>51</v>
      </c>
      <c r="F20" s="42" t="n">
        <v>93.8</v>
      </c>
    </row>
    <row r="21" ht="16" customHeight="1">
      <c r="A21" s="19" t="inlineStr">
        <is>
          <t>TRC</t>
        </is>
      </c>
      <c r="B21" s="36" t="n">
        <v>100</v>
      </c>
      <c r="C21" s="36" t="n">
        <v>56</v>
      </c>
      <c r="D21" s="36" t="n">
        <v>100</v>
      </c>
      <c r="E21" s="36" t="n">
        <v>81</v>
      </c>
      <c r="F21" s="36" t="n">
        <v>100</v>
      </c>
    </row>
    <row r="22" ht="16" customHeight="1">
      <c r="A22" s="24" t="inlineStr">
        <is>
          <t>CEVA</t>
        </is>
      </c>
      <c r="B22" s="42" t="n">
        <v>26.2</v>
      </c>
      <c r="C22" s="42" t="n">
        <v>100</v>
      </c>
      <c r="D22" s="42" t="n">
        <v>45.6</v>
      </c>
      <c r="E22" s="42" t="n">
        <v>100</v>
      </c>
      <c r="F22" s="42" t="n">
        <v>100</v>
      </c>
    </row>
    <row r="23" ht="16" customHeight="1">
      <c r="A23" s="19" t="inlineStr">
        <is>
          <t>CMCO</t>
        </is>
      </c>
      <c r="B23" s="36" t="n">
        <v>100</v>
      </c>
      <c r="C23" s="36" t="n">
        <v>68.8</v>
      </c>
      <c r="D23" s="36" t="n">
        <v>100</v>
      </c>
      <c r="E23" s="36" t="n">
        <v>27</v>
      </c>
      <c r="F23" s="36" t="n">
        <v>100</v>
      </c>
    </row>
    <row r="24" ht="16" customHeight="1">
      <c r="A24" s="24" t="inlineStr">
        <is>
          <t>VPG</t>
        </is>
      </c>
      <c r="B24" s="42" t="n">
        <v>100</v>
      </c>
      <c r="C24" s="42" t="n">
        <v>97</v>
      </c>
      <c r="D24" s="42" t="n">
        <v>100</v>
      </c>
      <c r="E24" s="42" t="n">
        <v>100</v>
      </c>
      <c r="F24" s="42" t="n">
        <v>100</v>
      </c>
    </row>
    <row r="25" ht="16" customHeight="1">
      <c r="A25" s="19" t="inlineStr">
        <is>
          <t>MNTK</t>
        </is>
      </c>
      <c r="B25" s="36" t="n">
        <v>39.4</v>
      </c>
      <c r="C25" s="36" t="n">
        <v>74.8</v>
      </c>
      <c r="D25" s="36" t="n">
        <v>100</v>
      </c>
      <c r="E25" s="36" t="n">
        <v>100</v>
      </c>
      <c r="F25" s="36" t="n">
        <v>89</v>
      </c>
    </row>
    <row r="26" ht="16" customHeight="1">
      <c r="A26" s="24" t="inlineStr">
        <is>
          <t>EVLV</t>
        </is>
      </c>
      <c r="B26" s="42" t="n">
        <v>68.8</v>
      </c>
      <c r="C26" s="42" t="n">
        <v>100</v>
      </c>
      <c r="D26" s="42" t="n">
        <v>40.4</v>
      </c>
      <c r="E26" s="42" t="n">
        <v>52</v>
      </c>
      <c r="F26" s="42" t="n">
        <v>67.5</v>
      </c>
    </row>
    <row r="27" ht="16" customHeight="1">
      <c r="A27" s="19" t="inlineStr">
        <is>
          <t>ADTN</t>
        </is>
      </c>
      <c r="B27" s="36" t="n">
        <v>12.2</v>
      </c>
      <c r="C27" s="36" t="n">
        <v>92.5</v>
      </c>
      <c r="D27" s="36" t="n">
        <v>100</v>
      </c>
      <c r="E27" s="36" t="n">
        <v>19</v>
      </c>
      <c r="F27" s="36" t="n">
        <v>22</v>
      </c>
    </row>
    <row r="28" ht="16" customHeight="1">
      <c r="A28" s="24" t="inlineStr">
        <is>
          <t>SHLS</t>
        </is>
      </c>
      <c r="B28" s="42" t="n">
        <v>94.8</v>
      </c>
      <c r="C28" s="42" t="n">
        <v>75.8</v>
      </c>
      <c r="D28" s="42" t="n">
        <v>100</v>
      </c>
      <c r="E28" s="42" t="n">
        <v>6</v>
      </c>
      <c r="F28" s="42" t="n">
        <v>100</v>
      </c>
    </row>
    <row r="60">
      <c r="A60" t="inlineStr">
        <is>
          <t>Ticker</t>
        </is>
      </c>
      <c r="B60" t="inlineStr">
        <is>
          <t>Gross Margin</t>
        </is>
      </c>
      <c r="C60" t="inlineStr">
        <is>
          <t>Rev Growth</t>
        </is>
      </c>
      <c r="D60" t="inlineStr">
        <is>
          <t>Mkt Cap</t>
        </is>
      </c>
    </row>
    <row r="61">
      <c r="A61" t="inlineStr">
        <is>
          <t>SWBI</t>
        </is>
      </c>
      <c r="B61" t="n">
        <v>28.7</v>
      </c>
      <c r="C61" t="n">
        <v>32.3</v>
      </c>
      <c r="D61" t="n">
        <v>588.2</v>
      </c>
    </row>
    <row r="62">
      <c r="A62" t="inlineStr">
        <is>
          <t>GHM</t>
        </is>
      </c>
      <c r="B62" t="n">
        <v>25</v>
      </c>
      <c r="C62" t="n">
        <v>28.6</v>
      </c>
      <c r="D62" t="n">
        <v>1046.6</v>
      </c>
    </row>
    <row r="63">
      <c r="A63" t="inlineStr">
        <is>
          <t>TRC</t>
        </is>
      </c>
      <c r="B63" t="n">
        <v>22.4</v>
      </c>
      <c r="C63" t="n">
        <v>71.7</v>
      </c>
      <c r="D63" t="n">
        <v>446.5</v>
      </c>
    </row>
    <row r="64">
      <c r="A64" t="inlineStr">
        <is>
          <t>CEVA</t>
        </is>
      </c>
      <c r="B64" t="n">
        <v>87.40000000000001</v>
      </c>
      <c r="C64" t="n">
        <v>13.1</v>
      </c>
      <c r="D64" t="n">
        <v>784.5</v>
      </c>
    </row>
    <row r="65">
      <c r="A65" t="inlineStr">
        <is>
          <t>CMCO</t>
        </is>
      </c>
      <c r="B65" t="n">
        <v>27.5</v>
      </c>
      <c r="C65" t="n">
        <v>125.3</v>
      </c>
      <c r="D65" t="n">
        <v>540.2</v>
      </c>
    </row>
    <row r="66">
      <c r="A66" t="inlineStr">
        <is>
          <t>VPG</t>
        </is>
      </c>
      <c r="B66" t="n">
        <v>38.8</v>
      </c>
      <c r="C66" t="n">
        <v>123.9</v>
      </c>
      <c r="D66" t="n">
        <v>868.2</v>
      </c>
    </row>
    <row r="67">
      <c r="A67" t="inlineStr">
        <is>
          <t>MNTK</t>
        </is>
      </c>
      <c r="B67" t="n">
        <v>29.9</v>
      </c>
      <c r="C67" t="n">
        <v>19.7</v>
      </c>
      <c r="D67" t="n">
        <v>336.6</v>
      </c>
    </row>
    <row r="68">
      <c r="A68" t="inlineStr">
        <is>
          <t>EVLV</t>
        </is>
      </c>
      <c r="B68" t="n">
        <v>50.2</v>
      </c>
      <c r="C68" t="n">
        <v>34.4</v>
      </c>
      <c r="D68" t="n">
        <v>912.8</v>
      </c>
    </row>
    <row r="69">
      <c r="A69" t="inlineStr">
        <is>
          <t>ADTN</t>
        </is>
      </c>
      <c r="B69" t="n">
        <v>37</v>
      </c>
      <c r="C69" t="n">
        <v>6.1</v>
      </c>
      <c r="D69" t="n">
        <v>608.1</v>
      </c>
    </row>
    <row r="70">
      <c r="A70" t="inlineStr">
        <is>
          <t>SHLS</t>
        </is>
      </c>
      <c r="B70" t="n">
        <v>30.3</v>
      </c>
      <c r="C70" t="n">
        <v>47.4</v>
      </c>
      <c r="D70" t="n">
        <v>1262.7</v>
      </c>
    </row>
  </sheetData>
  <mergeCells count="3">
    <mergeCell ref="A2:V2"/>
    <mergeCell ref="A1:V1"/>
    <mergeCell ref="A17:W17"/>
  </mergeCells>
  <conditionalFormatting sqref="L5:L14">
    <cfRule type="colorScale" priority="1">
      <colorScale>
        <cfvo type="num" val="0"/>
        <cfvo type="num" val="50"/>
        <cfvo type="num" val="100"/>
        <color rgb="00C1121F"/>
        <color rgb="00F9C74F"/>
        <color rgb="001A6B3C"/>
      </colorScale>
    </cfRule>
  </conditionalFormatting>
  <conditionalFormatting sqref="M5:M14">
    <cfRule type="colorScale" priority="2">
      <colorScale>
        <cfvo type="num" val="0"/>
        <cfvo type="num" val="50"/>
        <cfvo type="num" val="100"/>
        <color rgb="00C1121F"/>
        <color rgb="00F9C74F"/>
        <color rgb="001A6B3C"/>
      </colorScale>
    </cfRule>
  </conditionalFormatting>
  <conditionalFormatting sqref="N5:N14">
    <cfRule type="colorScale" priority="3">
      <colorScale>
        <cfvo type="num" val="0"/>
        <cfvo type="num" val="50"/>
        <cfvo type="num" val="100"/>
        <color rgb="00C1121F"/>
        <color rgb="00F9C74F"/>
        <color rgb="001A6B3C"/>
      </colorScale>
    </cfRule>
  </conditionalFormatting>
  <conditionalFormatting sqref="O5:O14">
    <cfRule type="colorScale" priority="4">
      <colorScale>
        <cfvo type="num" val="0"/>
        <cfvo type="num" val="50"/>
        <cfvo type="num" val="100"/>
        <color rgb="00C1121F"/>
        <color rgb="00F9C74F"/>
        <color rgb="001A6B3C"/>
      </colorScale>
    </cfRule>
  </conditionalFormatting>
  <conditionalFormatting sqref="Q5:Q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K5:K14">
    <cfRule type="colorScale" priority="10">
      <colorScale>
        <cfvo type="num" val="0"/>
        <cfvo type="num" val="50"/>
        <cfvo type="num" val="100"/>
        <color rgb="00C1121F"/>
        <color rgb="00F9C74F"/>
        <color rgb="001A6B3C"/>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W5:W14">
    <cfRule type="colorScale" priority="15">
      <colorScale>
        <cfvo type="min"/>
        <cfvo type="num" val="0"/>
        <cfvo type="max"/>
        <color rgb="00E76F51"/>
        <color rgb="00FFFFFF"/>
        <color rgb="002A9D8F"/>
      </colorScale>
    </cfRule>
  </conditionalFormatting>
  <conditionalFormatting sqref="B19:B28">
    <cfRule type="colorScale" priority="16">
      <colorScale>
        <cfvo type="num" val="0"/>
        <cfvo type="num" val="50"/>
        <cfvo type="num" val="100"/>
        <color rgb="00C1121F"/>
        <color rgb="00F9C74F"/>
        <color rgb="001A6B3C"/>
      </colorScale>
    </cfRule>
  </conditionalFormatting>
  <conditionalFormatting sqref="C19:C28">
    <cfRule type="colorScale" priority="17">
      <colorScale>
        <cfvo type="num" val="0"/>
        <cfvo type="num" val="50"/>
        <cfvo type="num" val="100"/>
        <color rgb="00C1121F"/>
        <color rgb="00F9C74F"/>
        <color rgb="001A6B3C"/>
      </colorScale>
    </cfRule>
  </conditionalFormatting>
  <conditionalFormatting sqref="D19:D28">
    <cfRule type="colorScale" priority="18">
      <colorScale>
        <cfvo type="num" val="0"/>
        <cfvo type="num" val="50"/>
        <cfvo type="num" val="100"/>
        <color rgb="00C1121F"/>
        <color rgb="00F9C74F"/>
        <color rgb="001A6B3C"/>
      </colorScale>
    </cfRule>
  </conditionalFormatting>
  <conditionalFormatting sqref="E19:E28">
    <cfRule type="colorScale" priority="19">
      <colorScale>
        <cfvo type="num" val="0"/>
        <cfvo type="num" val="50"/>
        <cfvo type="num" val="100"/>
        <color rgb="00C1121F"/>
        <color rgb="00F9C74F"/>
        <color rgb="001A6B3C"/>
      </colorScale>
    </cfRule>
  </conditionalFormatting>
  <conditionalFormatting sqref="F19:F28">
    <cfRule type="colorScale" priority="20">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CE</t>
        </is>
      </c>
      <c r="C5" s="20" t="inlineStr">
        <is>
          <t>Celanese Corporation</t>
        </is>
      </c>
      <c r="D5" s="21" t="n">
        <v>4874</v>
      </c>
      <c r="E5" s="33" t="n">
        <v>44.51</v>
      </c>
      <c r="F5" s="34" t="n">
        <v>0.08699999999999999</v>
      </c>
      <c r="G5" s="34" t="n">
        <v>0.132</v>
      </c>
      <c r="H5" s="34" t="n">
        <v>0.225</v>
      </c>
      <c r="I5" s="34" t="n">
        <v>0.008</v>
      </c>
      <c r="J5" s="34" t="n">
        <v>0.06900000000000001</v>
      </c>
      <c r="K5" s="35" t="n">
        <v>68.8</v>
      </c>
      <c r="L5" s="36" t="n">
        <v>59.3</v>
      </c>
      <c r="M5" s="36" t="n">
        <v>73.5</v>
      </c>
      <c r="N5" s="37" t="n">
        <v>68.90000000000001</v>
      </c>
      <c r="O5" s="22" t="n">
        <v>57.7</v>
      </c>
      <c r="P5" s="38" t="inlineStr">
        <is>
          <t>—</t>
        </is>
      </c>
      <c r="Q5" s="39" t="n">
        <v>12.8</v>
      </c>
      <c r="R5" s="23" t="inlineStr">
        <is>
          <t>Medium</t>
        </is>
      </c>
      <c r="S5" s="34" t="n">
        <v>0.0141262</v>
      </c>
      <c r="T5" s="34" t="n">
        <v>-0.0931133</v>
      </c>
      <c r="U5" s="34" t="n">
        <v>-0.0975264</v>
      </c>
      <c r="V5" s="34" t="n">
        <v>0.05274359999999999</v>
      </c>
      <c r="W5" s="34" t="n">
        <v>-0.04320719999999999</v>
      </c>
    </row>
    <row r="6" ht="16" customHeight="1">
      <c r="A6" s="32" t="n">
        <v>2</v>
      </c>
      <c r="B6" s="24" t="inlineStr">
        <is>
          <t>CALX</t>
        </is>
      </c>
      <c r="C6" s="25" t="inlineStr">
        <is>
          <t>Calix, Inc.</t>
        </is>
      </c>
      <c r="D6" s="26" t="n">
        <v>2219.5</v>
      </c>
      <c r="E6" s="40" t="n">
        <v>35.285</v>
      </c>
      <c r="F6" s="41" t="n">
        <v>0.213</v>
      </c>
      <c r="G6" s="41" t="n">
        <v>-0.008</v>
      </c>
      <c r="H6" s="41" t="n">
        <v>0.546</v>
      </c>
      <c r="I6" s="41" t="n">
        <v>-0.042</v>
      </c>
      <c r="J6" s="41" t="n">
        <v>0.095</v>
      </c>
      <c r="K6" s="42" t="n">
        <v>50</v>
      </c>
      <c r="L6" s="42" t="n">
        <v>74.2</v>
      </c>
      <c r="M6" s="42" t="n">
        <v>83.90000000000001</v>
      </c>
      <c r="N6" s="43" t="n">
        <v>68.59999999999999</v>
      </c>
      <c r="O6" s="22" t="n">
        <v>58.3</v>
      </c>
      <c r="P6" s="44" t="inlineStr">
        <is>
          <t>—</t>
        </is>
      </c>
      <c r="Q6" s="39" t="n">
        <v>1.3</v>
      </c>
      <c r="R6" s="23" t="inlineStr">
        <is>
          <t>Medium</t>
        </is>
      </c>
      <c r="S6" s="41" t="n">
        <v>-0.0709584</v>
      </c>
      <c r="T6" s="41" t="n">
        <v>-0.0535139</v>
      </c>
      <c r="U6" s="41" t="n">
        <v>-0.3008718</v>
      </c>
      <c r="V6" s="41" t="n">
        <v>-0.3333648</v>
      </c>
      <c r="W6" s="41" t="n">
        <v>-0.4225041</v>
      </c>
    </row>
    <row r="7" ht="16" customHeight="1">
      <c r="A7" s="32" t="n">
        <v>3</v>
      </c>
      <c r="B7" s="19" t="inlineStr">
        <is>
          <t>ADEA</t>
        </is>
      </c>
      <c r="C7" s="20" t="inlineStr">
        <is>
          <t>Adeia Inc.</t>
        </is>
      </c>
      <c r="D7" s="21" t="n">
        <v>2998.6</v>
      </c>
      <c r="E7" s="33" t="n">
        <v>27.1999</v>
      </c>
      <c r="F7" s="34" t="n">
        <v>0.121</v>
      </c>
      <c r="G7" s="34" t="n">
        <v>0.139</v>
      </c>
      <c r="H7" s="34" t="n">
        <v>0.264</v>
      </c>
      <c r="I7" s="34" t="n">
        <v>0.031</v>
      </c>
      <c r="J7" s="34" t="n">
        <v>0.024</v>
      </c>
      <c r="K7" s="36" t="n">
        <v>37.3</v>
      </c>
      <c r="L7" s="36" t="n">
        <v>56.8</v>
      </c>
      <c r="M7" s="36" t="n">
        <v>79.5</v>
      </c>
      <c r="N7" s="37" t="n">
        <v>61.8</v>
      </c>
      <c r="O7" s="35" t="n">
        <v>72.3</v>
      </c>
      <c r="P7" s="38" t="inlineStr">
        <is>
          <t>—</t>
        </is>
      </c>
      <c r="Q7" s="45" t="n">
        <v>51.1</v>
      </c>
      <c r="R7" s="27" t="inlineStr">
        <is>
          <t>Speculative</t>
        </is>
      </c>
      <c r="S7" s="34" t="n">
        <v>-0.0364896</v>
      </c>
      <c r="T7" s="34" t="n">
        <v>-0.1378796</v>
      </c>
      <c r="U7" s="34" t="n">
        <v>0.3688928</v>
      </c>
      <c r="V7" s="34" t="n">
        <v>0.5768058</v>
      </c>
      <c r="W7" s="34" t="n">
        <v>0.7696747</v>
      </c>
    </row>
    <row r="8" ht="16" customHeight="1">
      <c r="A8" s="32" t="n">
        <v>4</v>
      </c>
      <c r="B8" s="24" t="inlineStr">
        <is>
          <t>DCI</t>
        </is>
      </c>
      <c r="C8" s="25" t="inlineStr">
        <is>
          <t>Donaldson Company, Inc.</t>
        </is>
      </c>
      <c r="D8" s="26" t="n">
        <v>10618.6</v>
      </c>
      <c r="E8" s="40" t="n">
        <v>91.61</v>
      </c>
      <c r="F8" s="41" t="n">
        <v>0.08</v>
      </c>
      <c r="G8" s="41" t="n">
        <v>0.032</v>
      </c>
      <c r="H8" s="41" t="n">
        <v>0.363</v>
      </c>
      <c r="I8" s="41" t="n">
        <v>-0.042</v>
      </c>
      <c r="J8" s="41" t="n">
        <v>0.006999999999999999</v>
      </c>
      <c r="K8" s="46" t="n">
        <v>30.3</v>
      </c>
      <c r="L8" s="42" t="n">
        <v>52.7</v>
      </c>
      <c r="M8" s="42" t="n">
        <v>79.40000000000001</v>
      </c>
      <c r="N8" s="43" t="n">
        <v>59.6</v>
      </c>
      <c r="O8" s="22" t="n">
        <v>54</v>
      </c>
      <c r="P8" s="44" t="inlineStr">
        <is>
          <t>—</t>
        </is>
      </c>
      <c r="Q8" s="39" t="n">
        <v>20.7</v>
      </c>
      <c r="R8" s="27" t="inlineStr">
        <is>
          <t>Speculative</t>
        </is>
      </c>
      <c r="S8" s="41" t="n">
        <v>-0.0709867</v>
      </c>
      <c r="T8" s="41" t="n">
        <v>0.09085499999999999</v>
      </c>
      <c r="U8" s="41" t="n">
        <v>0.032458</v>
      </c>
      <c r="V8" s="41" t="n">
        <v>0.0332732</v>
      </c>
      <c r="W8" s="41" t="n">
        <v>0.1276465</v>
      </c>
    </row>
    <row r="9" ht="16" customHeight="1">
      <c r="A9" s="32" t="n">
        <v>5</v>
      </c>
      <c r="B9" s="19" t="inlineStr">
        <is>
          <t>BCO</t>
        </is>
      </c>
      <c r="C9" s="20" t="inlineStr">
        <is>
          <t>The Brink's Company</t>
        </is>
      </c>
      <c r="D9" s="21" t="n">
        <v>4372.8</v>
      </c>
      <c r="E9" s="33" t="n">
        <v>106.18</v>
      </c>
      <c r="F9" s="34" t="n">
        <v>0.07099999999999999</v>
      </c>
      <c r="G9" s="34" t="n">
        <v>0.033</v>
      </c>
      <c r="H9" s="34" t="n">
        <v>0.263</v>
      </c>
      <c r="I9" s="34" t="n">
        <v>-0.11</v>
      </c>
      <c r="J9" s="34" t="n">
        <v>0.011</v>
      </c>
      <c r="K9" s="36" t="n">
        <v>43.8</v>
      </c>
      <c r="L9" s="36" t="n">
        <v>47.8</v>
      </c>
      <c r="M9" s="36" t="n">
        <v>72.09999999999999</v>
      </c>
      <c r="N9" s="37" t="n">
        <v>57.8</v>
      </c>
      <c r="O9" s="36" t="n">
        <v>42.9</v>
      </c>
      <c r="P9" s="38" t="inlineStr">
        <is>
          <t>—</t>
        </is>
      </c>
      <c r="Q9" s="39" t="n">
        <v>18.1</v>
      </c>
      <c r="R9" s="27" t="inlineStr">
        <is>
          <t>Speculative</t>
        </is>
      </c>
      <c r="S9" s="34" t="n">
        <v>-0.0535698</v>
      </c>
      <c r="T9" s="34" t="n">
        <v>0.04776</v>
      </c>
      <c r="U9" s="34" t="n">
        <v>-0.09756930000000001</v>
      </c>
      <c r="V9" s="34" t="n">
        <v>-0.0903795</v>
      </c>
      <c r="W9" s="34" t="n">
        <v>-0.07589209999999999</v>
      </c>
    </row>
    <row r="10" ht="16" customHeight="1">
      <c r="A10" s="32" t="n">
        <v>6</v>
      </c>
      <c r="B10" s="24" t="inlineStr">
        <is>
          <t>NOVTU</t>
        </is>
      </c>
      <c r="C10" s="25" t="inlineStr">
        <is>
          <t>Novanta Inc. Tangible Equity Units</t>
        </is>
      </c>
      <c r="D10" s="26" t="n">
        <v>2259.2</v>
      </c>
      <c r="E10" s="40" t="n">
        <v>63.4</v>
      </c>
      <c r="F10" s="41" t="n">
        <v>0.103</v>
      </c>
      <c r="G10" s="41" t="n">
        <v>0</v>
      </c>
      <c r="H10" s="41" t="n">
        <v>0.431</v>
      </c>
      <c r="I10" s="41" t="n">
        <v>0.138</v>
      </c>
      <c r="J10" s="41" t="n">
        <v>0.008</v>
      </c>
      <c r="K10" s="42" t="n">
        <v>50</v>
      </c>
      <c r="L10" s="42" t="n">
        <v>40.3</v>
      </c>
      <c r="M10" s="42" t="n">
        <v>63.1</v>
      </c>
      <c r="N10" s="43" t="n">
        <v>57.8</v>
      </c>
      <c r="O10" s="22" t="n">
        <v>56</v>
      </c>
      <c r="P10" s="44" t="inlineStr">
        <is>
          <t>—</t>
        </is>
      </c>
      <c r="Q10" s="39" t="n">
        <v>30.8</v>
      </c>
      <c r="R10" s="27" t="inlineStr">
        <is>
          <t>Speculative</t>
        </is>
      </c>
      <c r="S10" s="41" t="n">
        <v>-0.0826219</v>
      </c>
      <c r="T10" s="41" t="n">
        <v>-0.08009289999999999</v>
      </c>
      <c r="U10" s="41" t="n">
        <v>0.0872921</v>
      </c>
      <c r="V10" s="41" t="n">
        <v>0.1531466</v>
      </c>
      <c r="W10" s="41" t="n">
        <v>0.3180873</v>
      </c>
    </row>
    <row r="11" ht="16" customHeight="1">
      <c r="A11" s="32" t="n">
        <v>7</v>
      </c>
      <c r="B11" s="19" t="inlineStr">
        <is>
          <t>CACI</t>
        </is>
      </c>
      <c r="C11" s="20" t="inlineStr">
        <is>
          <t>CACI International Inc</t>
        </is>
      </c>
      <c r="D11" s="21" t="n">
        <v>13629.7</v>
      </c>
      <c r="E11" s="33" t="n">
        <v>616.9</v>
      </c>
      <c r="F11" s="34" t="n">
        <v>0.176</v>
      </c>
      <c r="G11" s="34" t="n">
        <v>0.046</v>
      </c>
      <c r="H11" s="34" t="n">
        <v>0.337</v>
      </c>
      <c r="I11" s="34" t="n">
        <v>-0.024</v>
      </c>
      <c r="J11" s="34" t="n">
        <v>0.011</v>
      </c>
      <c r="K11" s="46" t="n">
        <v>28.1</v>
      </c>
      <c r="L11" s="36" t="n">
        <v>58.3</v>
      </c>
      <c r="M11" s="36" t="n">
        <v>79.59999999999999</v>
      </c>
      <c r="N11" s="37" t="n">
        <v>57.7</v>
      </c>
      <c r="O11" s="22" t="n">
        <v>58</v>
      </c>
      <c r="P11" s="38" t="inlineStr">
        <is>
          <t>—</t>
        </is>
      </c>
      <c r="Q11" s="45" t="n">
        <v>46.9</v>
      </c>
      <c r="R11" s="27" t="inlineStr">
        <is>
          <t>Speculative</t>
        </is>
      </c>
      <c r="S11" s="34" t="n">
        <v>-0.0427199</v>
      </c>
      <c r="T11" s="34" t="n">
        <v>0.1883114</v>
      </c>
      <c r="U11" s="34" t="n">
        <v>0.001461039</v>
      </c>
      <c r="V11" s="34" t="n">
        <v>0.1578236</v>
      </c>
      <c r="W11" s="34" t="n">
        <v>0.301367</v>
      </c>
    </row>
    <row r="12" ht="16" customHeight="1">
      <c r="A12" s="32" t="n">
        <v>8</v>
      </c>
      <c r="B12" s="24" t="inlineStr">
        <is>
          <t>RAL</t>
        </is>
      </c>
      <c r="C12" s="25" t="inlineStr">
        <is>
          <t>Ralliant Corp</t>
        </is>
      </c>
      <c r="D12" s="26" t="n">
        <v>7110.8</v>
      </c>
      <c r="E12" s="40" t="n">
        <v>64.13</v>
      </c>
      <c r="F12" s="41" t="n">
        <v>0.128</v>
      </c>
      <c r="G12" s="41" t="n">
        <v>0.185</v>
      </c>
      <c r="H12" s="41" t="n">
        <v>0.516</v>
      </c>
      <c r="I12" s="41" t="n">
        <v>-0.012</v>
      </c>
      <c r="J12" s="41" t="n">
        <v>0.003</v>
      </c>
      <c r="K12" s="35" t="n">
        <v>65.40000000000001</v>
      </c>
      <c r="L12" s="42" t="n">
        <v>62.6</v>
      </c>
      <c r="M12" s="42" t="n">
        <v>60.2</v>
      </c>
      <c r="N12" s="43" t="n">
        <v>57.6</v>
      </c>
      <c r="O12" s="22" t="n">
        <v>52.9</v>
      </c>
      <c r="P12" s="44" t="inlineStr">
        <is>
          <t>—</t>
        </is>
      </c>
      <c r="Q12" s="45" t="n">
        <v>48.8</v>
      </c>
      <c r="R12" s="27" t="inlineStr">
        <is>
          <t>Speculative</t>
        </is>
      </c>
      <c r="S12" s="41" t="n">
        <v>-0.0492216</v>
      </c>
      <c r="T12" s="41" t="n">
        <v>0.0507947</v>
      </c>
      <c r="U12" s="41" t="n">
        <v>0.4366039</v>
      </c>
      <c r="V12" s="41" t="n">
        <v>0.2596739</v>
      </c>
      <c r="W12" s="41" t="n">
        <v>0.5150012</v>
      </c>
    </row>
    <row r="13" ht="16" customHeight="1">
      <c r="A13" s="32" t="n">
        <v>9</v>
      </c>
      <c r="B13" s="19" t="inlineStr">
        <is>
          <t>BDC</t>
        </is>
      </c>
      <c r="C13" s="20" t="inlineStr">
        <is>
          <t>Belden Inc.</t>
        </is>
      </c>
      <c r="D13" s="21" t="n">
        <v>4787.5</v>
      </c>
      <c r="E13" s="33" t="n">
        <v>122.42</v>
      </c>
      <c r="F13" s="34" t="n">
        <v>0.116</v>
      </c>
      <c r="G13" s="34" t="n">
        <v>0.004</v>
      </c>
      <c r="H13" s="34" t="n">
        <v>0.391</v>
      </c>
      <c r="I13" s="34" t="n">
        <v>-0.07400000000000001</v>
      </c>
      <c r="J13" s="34" t="n">
        <v>0.017</v>
      </c>
      <c r="K13" s="36" t="n">
        <v>36.4</v>
      </c>
      <c r="L13" s="36" t="n">
        <v>56.7</v>
      </c>
      <c r="M13" s="36" t="n">
        <v>67.3</v>
      </c>
      <c r="N13" s="37" t="n">
        <v>57.4</v>
      </c>
      <c r="O13" s="22" t="n">
        <v>64.2</v>
      </c>
      <c r="P13" s="38" t="inlineStr">
        <is>
          <t>—</t>
        </is>
      </c>
      <c r="Q13" s="39" t="n">
        <v>23.5</v>
      </c>
      <c r="R13" s="27" t="inlineStr">
        <is>
          <t>Speculative</t>
        </is>
      </c>
      <c r="S13" s="34" t="n">
        <v>-0.0783015</v>
      </c>
      <c r="T13" s="34" t="n">
        <v>0.1319464</v>
      </c>
      <c r="U13" s="34" t="n">
        <v>0.0026208026</v>
      </c>
      <c r="V13" s="34" t="n">
        <v>0.0503647</v>
      </c>
      <c r="W13" s="34" t="n">
        <v>-0.06054789999999999</v>
      </c>
    </row>
    <row r="14" ht="16" customHeight="1">
      <c r="A14" s="32" t="n">
        <v>10</v>
      </c>
      <c r="B14" s="24" t="inlineStr">
        <is>
          <t>KD</t>
        </is>
      </c>
      <c r="C14" s="25" t="inlineStr">
        <is>
          <t>Kyndryl Holdings, Inc.</t>
        </is>
      </c>
      <c r="D14" s="26" t="n">
        <v>2790.6</v>
      </c>
      <c r="E14" s="40" t="n">
        <v>12.635</v>
      </c>
      <c r="F14" s="41" t="n">
        <v>3.032</v>
      </c>
      <c r="G14" s="41" t="n">
        <v>3.031</v>
      </c>
      <c r="H14" s="41" t="n">
        <v>0.218</v>
      </c>
      <c r="I14" s="41" t="n">
        <v>-0.003</v>
      </c>
      <c r="J14" s="41" t="n">
        <v>0.07400000000000001</v>
      </c>
      <c r="K14" s="42" t="n">
        <v>43.6</v>
      </c>
      <c r="L14" s="42" t="n">
        <v>87</v>
      </c>
      <c r="M14" s="42" t="n">
        <v>61.6</v>
      </c>
      <c r="N14" s="43" t="n">
        <v>55.2</v>
      </c>
      <c r="O14" s="22" t="n">
        <v>56.8</v>
      </c>
      <c r="P14" s="44" t="inlineStr">
        <is>
          <t>—</t>
        </is>
      </c>
      <c r="Q14" s="39" t="n">
        <v>5.9</v>
      </c>
      <c r="R14" s="27" t="inlineStr">
        <is>
          <t>Speculative</t>
        </is>
      </c>
      <c r="S14" s="41" t="n">
        <v>-0.09878740000000001</v>
      </c>
      <c r="T14" s="41" t="n">
        <v>0.0929931</v>
      </c>
      <c r="U14" s="41" t="n">
        <v>-0.0420773</v>
      </c>
      <c r="V14" s="41" t="n">
        <v>-0.5242846</v>
      </c>
      <c r="W14" s="41" t="n">
        <v>-0.6187387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CE</t>
        </is>
      </c>
      <c r="B19" s="36" t="n">
        <v>17.4</v>
      </c>
      <c r="C19" s="36" t="n">
        <v>56.2</v>
      </c>
      <c r="D19" s="36" t="n">
        <v>100</v>
      </c>
      <c r="E19" s="36" t="n">
        <v>69</v>
      </c>
      <c r="F19" s="36" t="n">
        <v>83</v>
      </c>
    </row>
    <row r="20" ht="16" customHeight="1">
      <c r="A20" s="24" t="inlineStr">
        <is>
          <t>CALX</t>
        </is>
      </c>
      <c r="B20" s="42" t="n">
        <v>42.6</v>
      </c>
      <c r="C20" s="42" t="n">
        <v>100</v>
      </c>
      <c r="D20" s="42" t="n">
        <v>100</v>
      </c>
      <c r="E20" s="42" t="n">
        <v>95</v>
      </c>
      <c r="F20" s="42" t="n">
        <v>48</v>
      </c>
    </row>
    <row r="21" ht="16" customHeight="1">
      <c r="A21" s="19" t="inlineStr">
        <is>
          <t>ADEA</t>
        </is>
      </c>
      <c r="B21" s="36" t="n">
        <v>24.2</v>
      </c>
      <c r="C21" s="36" t="n">
        <v>66</v>
      </c>
      <c r="D21" s="36" t="n">
        <v>100</v>
      </c>
      <c r="E21" s="36" t="n">
        <v>24</v>
      </c>
      <c r="F21" s="36" t="n">
        <v>84.7</v>
      </c>
    </row>
    <row r="22" ht="16" customHeight="1">
      <c r="A22" s="24" t="inlineStr">
        <is>
          <t>DCI</t>
        </is>
      </c>
      <c r="B22" s="42" t="n">
        <v>16</v>
      </c>
      <c r="C22" s="42" t="n">
        <v>90.8</v>
      </c>
      <c r="D22" s="42" t="n">
        <v>100</v>
      </c>
      <c r="E22" s="42" t="n">
        <v>7</v>
      </c>
      <c r="F22" s="42" t="n">
        <v>58</v>
      </c>
    </row>
    <row r="23" ht="16" customHeight="1">
      <c r="A23" s="19" t="inlineStr">
        <is>
          <t>BCO</t>
        </is>
      </c>
      <c r="B23" s="36" t="n">
        <v>14.2</v>
      </c>
      <c r="C23" s="36" t="n">
        <v>65.8</v>
      </c>
      <c r="D23" s="36" t="n">
        <v>100</v>
      </c>
      <c r="E23" s="36" t="n">
        <v>11</v>
      </c>
      <c r="F23" s="36" t="n">
        <v>58.2</v>
      </c>
    </row>
    <row r="24" ht="16" customHeight="1">
      <c r="A24" s="24" t="inlineStr">
        <is>
          <t>NOVTU</t>
        </is>
      </c>
      <c r="B24" s="42" t="n">
        <v>20.6</v>
      </c>
      <c r="C24" s="42" t="n">
        <v>100</v>
      </c>
      <c r="D24" s="42" t="n">
        <v>64.8</v>
      </c>
      <c r="E24" s="42" t="n">
        <v>8</v>
      </c>
      <c r="F24" s="42" t="n">
        <v>50</v>
      </c>
    </row>
    <row r="25" ht="16" customHeight="1">
      <c r="A25" s="19" t="inlineStr">
        <is>
          <t>CACI</t>
        </is>
      </c>
      <c r="B25" s="36" t="n">
        <v>35.2</v>
      </c>
      <c r="C25" s="36" t="n">
        <v>84.2</v>
      </c>
      <c r="D25" s="36" t="n">
        <v>100</v>
      </c>
      <c r="E25" s="36" t="n">
        <v>11</v>
      </c>
      <c r="F25" s="36" t="n">
        <v>61.5</v>
      </c>
    </row>
    <row r="26" ht="16" customHeight="1">
      <c r="A26" s="24" t="inlineStr">
        <is>
          <t>RAL</t>
        </is>
      </c>
      <c r="B26" s="42" t="n">
        <v>25.6</v>
      </c>
      <c r="C26" s="42" t="n">
        <v>100</v>
      </c>
      <c r="D26" s="42" t="n">
        <v>100</v>
      </c>
      <c r="E26" s="42" t="n">
        <v>3</v>
      </c>
      <c r="F26" s="42" t="n">
        <v>96.2</v>
      </c>
    </row>
    <row r="27" ht="16" customHeight="1">
      <c r="A27" s="19" t="inlineStr">
        <is>
          <t>BDC</t>
        </is>
      </c>
      <c r="B27" s="36" t="n">
        <v>23.2</v>
      </c>
      <c r="C27" s="36" t="n">
        <v>97.8</v>
      </c>
      <c r="D27" s="36" t="n">
        <v>100</v>
      </c>
      <c r="E27" s="36" t="n">
        <v>17</v>
      </c>
      <c r="F27" s="36" t="n">
        <v>51</v>
      </c>
    </row>
    <row r="28" ht="16" customHeight="1">
      <c r="A28" s="24" t="inlineStr">
        <is>
          <t>KD</t>
        </is>
      </c>
      <c r="B28" s="42" t="n">
        <v>100</v>
      </c>
      <c r="C28" s="42" t="n">
        <v>54.5</v>
      </c>
      <c r="D28" s="42" t="n">
        <v>100</v>
      </c>
      <c r="E28" s="42" t="n">
        <v>74</v>
      </c>
      <c r="F28" s="42" t="n">
        <v>100</v>
      </c>
    </row>
    <row r="60">
      <c r="A60" t="inlineStr">
        <is>
          <t>Ticker</t>
        </is>
      </c>
      <c r="B60" t="inlineStr">
        <is>
          <t>Gross Margin</t>
        </is>
      </c>
      <c r="C60" t="inlineStr">
        <is>
          <t>Rev Growth</t>
        </is>
      </c>
      <c r="D60" t="inlineStr">
        <is>
          <t>Mkt Cap</t>
        </is>
      </c>
    </row>
    <row r="61">
      <c r="A61" t="inlineStr">
        <is>
          <t>CE</t>
        </is>
      </c>
      <c r="B61" t="n">
        <v>22.5</v>
      </c>
      <c r="C61" t="n">
        <v>8.699999999999999</v>
      </c>
      <c r="D61" t="n">
        <v>4874</v>
      </c>
    </row>
    <row r="62">
      <c r="A62" t="inlineStr">
        <is>
          <t>CALX</t>
        </is>
      </c>
      <c r="B62" t="n">
        <v>54.6</v>
      </c>
      <c r="C62" t="n">
        <v>21.3</v>
      </c>
      <c r="D62" t="n">
        <v>2219.5</v>
      </c>
    </row>
    <row r="63">
      <c r="A63" t="inlineStr">
        <is>
          <t>ADEA</t>
        </is>
      </c>
      <c r="B63" t="n">
        <v>26.4</v>
      </c>
      <c r="C63" t="n">
        <v>12.1</v>
      </c>
      <c r="D63" t="n">
        <v>2998.6</v>
      </c>
    </row>
    <row r="64">
      <c r="A64" t="inlineStr">
        <is>
          <t>DCI</t>
        </is>
      </c>
      <c r="B64" t="n">
        <v>36.3</v>
      </c>
      <c r="C64" t="n">
        <v>8</v>
      </c>
      <c r="D64" t="n">
        <v>10618.6</v>
      </c>
    </row>
    <row r="65">
      <c r="A65" t="inlineStr">
        <is>
          <t>BCO</t>
        </is>
      </c>
      <c r="B65" t="n">
        <v>26.3</v>
      </c>
      <c r="C65" t="n">
        <v>7.1</v>
      </c>
      <c r="D65" t="n">
        <v>4372.8</v>
      </c>
    </row>
    <row r="66">
      <c r="A66" t="inlineStr">
        <is>
          <t>NOVTU</t>
        </is>
      </c>
      <c r="B66" t="n">
        <v>43.1</v>
      </c>
      <c r="C66" t="n">
        <v>10.3</v>
      </c>
      <c r="D66" t="n">
        <v>2259.2</v>
      </c>
    </row>
    <row r="67">
      <c r="A67" t="inlineStr">
        <is>
          <t>CACI</t>
        </is>
      </c>
      <c r="B67" t="n">
        <v>33.7</v>
      </c>
      <c r="C67" t="n">
        <v>17.6</v>
      </c>
      <c r="D67" t="n">
        <v>13629.7</v>
      </c>
    </row>
    <row r="68">
      <c r="A68" t="inlineStr">
        <is>
          <t>RAL</t>
        </is>
      </c>
      <c r="B68" t="n">
        <v>51.6</v>
      </c>
      <c r="C68" t="n">
        <v>12.8</v>
      </c>
      <c r="D68" t="n">
        <v>7110.8</v>
      </c>
    </row>
    <row r="69">
      <c r="A69" t="inlineStr">
        <is>
          <t>BDC</t>
        </is>
      </c>
      <c r="B69" t="n">
        <v>39.1</v>
      </c>
      <c r="C69" t="n">
        <v>11.6</v>
      </c>
      <c r="D69" t="n">
        <v>4787.5</v>
      </c>
    </row>
    <row r="70">
      <c r="A70" t="inlineStr">
        <is>
          <t>KD</t>
        </is>
      </c>
      <c r="B70" t="n">
        <v>21.8</v>
      </c>
      <c r="C70" t="n">
        <v>303.2</v>
      </c>
      <c r="D70" t="n">
        <v>2790.6</v>
      </c>
    </row>
  </sheetData>
  <mergeCells count="3">
    <mergeCell ref="A2:V2"/>
    <mergeCell ref="A1:V1"/>
    <mergeCell ref="A17:W17"/>
  </mergeCells>
  <conditionalFormatting sqref="L5:L14">
    <cfRule type="colorScale" priority="1">
      <colorScale>
        <cfvo type="num" val="0"/>
        <cfvo type="num" val="50"/>
        <cfvo type="num" val="100"/>
        <color rgb="00C1121F"/>
        <color rgb="00F9C74F"/>
        <color rgb="001A6B3C"/>
      </colorScale>
    </cfRule>
  </conditionalFormatting>
  <conditionalFormatting sqref="M5:M14">
    <cfRule type="colorScale" priority="2">
      <colorScale>
        <cfvo type="num" val="0"/>
        <cfvo type="num" val="50"/>
        <cfvo type="num" val="100"/>
        <color rgb="00C1121F"/>
        <color rgb="00F9C74F"/>
        <color rgb="001A6B3C"/>
      </colorScale>
    </cfRule>
  </conditionalFormatting>
  <conditionalFormatting sqref="N5:N14">
    <cfRule type="colorScale" priority="3">
      <colorScale>
        <cfvo type="num" val="0"/>
        <cfvo type="num" val="50"/>
        <cfvo type="num" val="100"/>
        <color rgb="00C1121F"/>
        <color rgb="00F9C74F"/>
        <color rgb="001A6B3C"/>
      </colorScale>
    </cfRule>
  </conditionalFormatting>
  <conditionalFormatting sqref="O5:O14">
    <cfRule type="colorScale" priority="4">
      <colorScale>
        <cfvo type="num" val="0"/>
        <cfvo type="num" val="50"/>
        <cfvo type="num" val="100"/>
        <color rgb="00C1121F"/>
        <color rgb="00F9C74F"/>
        <color rgb="001A6B3C"/>
      </colorScale>
    </cfRule>
  </conditionalFormatting>
  <conditionalFormatting sqref="Q5:Q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K5:K14">
    <cfRule type="colorScale" priority="10">
      <colorScale>
        <cfvo type="num" val="0"/>
        <cfvo type="num" val="50"/>
        <cfvo type="num" val="100"/>
        <color rgb="00C1121F"/>
        <color rgb="00F9C74F"/>
        <color rgb="001A6B3C"/>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W5:W14">
    <cfRule type="colorScale" priority="15">
      <colorScale>
        <cfvo type="min"/>
        <cfvo type="num" val="0"/>
        <cfvo type="max"/>
        <color rgb="00E76F51"/>
        <color rgb="00FFFFFF"/>
        <color rgb="002A9D8F"/>
      </colorScale>
    </cfRule>
  </conditionalFormatting>
  <conditionalFormatting sqref="B19:B28">
    <cfRule type="colorScale" priority="16">
      <colorScale>
        <cfvo type="num" val="0"/>
        <cfvo type="num" val="50"/>
        <cfvo type="num" val="100"/>
        <color rgb="00C1121F"/>
        <color rgb="00F9C74F"/>
        <color rgb="001A6B3C"/>
      </colorScale>
    </cfRule>
  </conditionalFormatting>
  <conditionalFormatting sqref="C19:C28">
    <cfRule type="colorScale" priority="17">
      <colorScale>
        <cfvo type="num" val="0"/>
        <cfvo type="num" val="50"/>
        <cfvo type="num" val="100"/>
        <color rgb="00C1121F"/>
        <color rgb="00F9C74F"/>
        <color rgb="001A6B3C"/>
      </colorScale>
    </cfRule>
  </conditionalFormatting>
  <conditionalFormatting sqref="D19:D28">
    <cfRule type="colorScale" priority="18">
      <colorScale>
        <cfvo type="num" val="0"/>
        <cfvo type="num" val="50"/>
        <cfvo type="num" val="100"/>
        <color rgb="00C1121F"/>
        <color rgb="00F9C74F"/>
        <color rgb="001A6B3C"/>
      </colorScale>
    </cfRule>
  </conditionalFormatting>
  <conditionalFormatting sqref="E19:E28">
    <cfRule type="colorScale" priority="19">
      <colorScale>
        <cfvo type="num" val="0"/>
        <cfvo type="num" val="50"/>
        <cfvo type="num" val="100"/>
        <color rgb="00C1121F"/>
        <color rgb="00F9C74F"/>
        <color rgb="001A6B3C"/>
      </colorScale>
    </cfRule>
  </conditionalFormatting>
  <conditionalFormatting sqref="F19:F28">
    <cfRule type="colorScale" priority="20">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W6"/>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Vital Link ($15B–$40B)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30" customHeight="1">
      <c r="A5" s="47" t="inlineStr">
        <is>
          <t>No candidates met the Vital Link ($15B–$40B) criteria in this run. This tier accepts only companies at a revenue trough that held their gross margin through it — the setup is genuinely rare, and an empty tier means none was found, not that anything failed.</t>
        </is>
      </c>
    </row>
    <row r="6"/>
  </sheetData>
  <mergeCells count="3">
    <mergeCell ref="A2:V2"/>
    <mergeCell ref="A5:W6"/>
    <mergeCell ref="A1:V1"/>
  </mergeCells>
  <pageMargins left="0.75" right="0.75" top="1" bottom="1" header="0.5" footer="0.5"/>
  <pageSetup orientation="landscape" fitToWidth="1"/>
</worksheet>
</file>

<file path=xl/worksheets/sheet6.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AISP</t>
        </is>
      </c>
      <c r="B5" s="20" t="inlineStr">
        <is>
          <t>Airship AI Holdings, Inc.</t>
        </is>
      </c>
      <c r="C5" s="20" t="inlineStr">
        <is>
          <t>Technology</t>
        </is>
      </c>
      <c r="D5" s="20" t="inlineStr">
        <is>
          <t>Software - Infrastructure</t>
        </is>
      </c>
      <c r="E5" s="48" t="inlineStr">
        <is>
          <t>Nano Cap</t>
        </is>
      </c>
      <c r="F5" s="47" t="inlineStr">
        <is>
          <t>Based in the U.S., Airship AI Holdings, Inc. delivers an artificial intelligence-powered surveillance solution that unifies video, sensor, and data management capabilities. Its product portfolio includes Airship Acropolis OS for both IP and traditional analog video surveillance; Airship Command, a comprehensive set of visualization tools enabling users to analyze data and evidence collected at the network edge; and Airship Outpost, which facilitates high-definition recording along with customizable low-bit rate video stream encoding. Their clientele spans various sectors, including governmental bodies, the public sector, law enforcement agencies, military operations, and commercial enterprises. Previously operating as Super Simple AI, Inc., the company officially adopted the name Airship AI Holdings, Inc. in March 2023. Established in 2006, its corporate headquarters are situated in Redmond, Washington.</t>
        </is>
      </c>
    </row>
    <row r="6" ht="60" customHeight="1">
      <c r="A6" s="24" t="inlineStr">
        <is>
          <t>KVHI</t>
        </is>
      </c>
      <c r="B6" s="25" t="inlineStr">
        <is>
          <t>KVH Industries, Inc.</t>
        </is>
      </c>
      <c r="C6" s="25" t="inlineStr">
        <is>
          <t>Technology</t>
        </is>
      </c>
      <c r="D6" s="49" t="inlineStr">
        <is>
          <t>Communication Equipment</t>
        </is>
      </c>
      <c r="E6" s="50" t="inlineStr">
        <is>
          <t>Nano Cap</t>
        </is>
      </c>
      <c r="F6" s="51" t="inlineStr">
        <is>
          <t>KVH Industries, Inc., together with its subsidiaries, designs, develops, manufactures, and markets mobile connectivity and managed services for the marine and land mobile markets. The company offers Internet and VoIP airtime services; AgilePlans, a connectivity as a Service solution; CommBox, a data management software for maritime communications; CommBox Edge, an advanced maritime network optimization and management solution; KVH Link, a crew wellbeing content subscription service; KVH ONE, a global hybrid communication network supporting Internet, VoIP, content delivery, and other; and KVH OneCare, a services and support for TracNet and TracPhone systems. It also provides MOVIElink, a movie distribution solution; MUSIClink, a music and karaoke delivery solution; NEWSlink, a maritime news delivery solution; OpenNet, a KVH VSAT data delivering service for non-KVH Ku-band VSAT terminals; TracNet, an integrated hybrid two-way communication terminal with VSAT, 5G/LTE, and shore-based Wi-F</t>
        </is>
      </c>
    </row>
    <row r="7" ht="60" customHeight="1">
      <c r="A7" s="19" t="inlineStr">
        <is>
          <t>INTT</t>
        </is>
      </c>
      <c r="B7" s="20" t="inlineStr">
        <is>
          <t>inTEST Corporation</t>
        </is>
      </c>
      <c r="C7" s="20" t="inlineStr">
        <is>
          <t>Technology</t>
        </is>
      </c>
      <c r="D7" s="52" t="inlineStr">
        <is>
          <t>Semiconductors</t>
        </is>
      </c>
      <c r="E7" s="48" t="inlineStr">
        <is>
          <t>Nano Cap</t>
        </is>
      </c>
      <c r="F7" s="47"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8" ht="60" customHeight="1">
      <c r="A8" s="24" t="inlineStr">
        <is>
          <t>RFIL</t>
        </is>
      </c>
      <c r="B8" s="25" t="inlineStr">
        <is>
          <t>RF Industries, Ltd.</t>
        </is>
      </c>
      <c r="C8" s="25" t="inlineStr">
        <is>
          <t>Industrials</t>
        </is>
      </c>
      <c r="D8" s="25" t="inlineStr">
        <is>
          <t>Electrical Equipment &amp; Parts</t>
        </is>
      </c>
      <c r="E8" s="50" t="inlineStr">
        <is>
          <t>Nano Cap</t>
        </is>
      </c>
      <c r="F8" s="51" t="inlineStr">
        <is>
          <t xml:space="preserve">Headquartered in San Diego, California, RF Industries, Ltd., established in 1979 and formerly known as Celltronics, Inc. until 1990, is a global enterprise that develops, produces, and markets interconnect products and systems across the United States, Canada, Mexico, and other international markets. The company's operations are divided into two primary segments. The RF Connector and Cable Assembly division focuses on designing, fabricating, and distributing coaxial connectors and integrated coaxial cable assemblies. Meanwhile, the Custom Cabling Manufacturing and Assembly segment specializes in engineering, manufacturing, marketing, and distributing custom copper and fiber optic cable assemblies, sophisticated hybrid fiber optic and power solution cables, energy-efficient cooling systems for wireless base stations and remote shelters, and bespoke pole-ready 5G small cell integrated enclosures. This segment further extends its offerings to include custom and standard cable assemblies, </t>
        </is>
      </c>
    </row>
    <row r="9" ht="60" customHeight="1">
      <c r="A9" s="19" t="inlineStr">
        <is>
          <t>ASYS</t>
        </is>
      </c>
      <c r="B9" s="20" t="inlineStr">
        <is>
          <t>Amtech Systems, Inc.</t>
        </is>
      </c>
      <c r="C9" s="20" t="inlineStr">
        <is>
          <t>Technology</t>
        </is>
      </c>
      <c r="D9" s="52" t="inlineStr">
        <is>
          <t>Semiconductors</t>
        </is>
      </c>
      <c r="E9" s="48" t="inlineStr">
        <is>
          <t>Nano Cap</t>
        </is>
      </c>
      <c r="F9" s="47" t="inlineStr">
        <is>
          <t>Amtech Systems, Inc. (ASYS) is a global provider specializing in the production and sale of advanced capital equipment and associated consumables. These offerings are crucial for manufacturing a diverse array of electronic components, including silicon carbide (SiC) and silicon power devices, analog and discrete devices, electronic assemblies, and light-emitting diodes (LEDs). The company's operations are structured around two primary divisions: 1. The Semiconductor Segment: This division focuses on developing, producing, marketing, and supporting thermal processing systems. Its product line includes solder reflow ovens, diffusion furnaces, and custom high-temperature belt furnaces, which are essential for semiconductor fabrication, as well as applications in electronics, automotive, and other industrial sectors. Additionally, this segment provides equipment and services for wafer polishing. 2. The Material and Substrate Segment: This segment manufactures and supplies both machinery an</t>
        </is>
      </c>
    </row>
    <row r="10" ht="60" customHeight="1">
      <c r="A10" s="24" t="inlineStr">
        <is>
          <t>LAW</t>
        </is>
      </c>
      <c r="B10" s="25" t="inlineStr">
        <is>
          <t>CS Disco, Inc.</t>
        </is>
      </c>
      <c r="C10" s="25" t="inlineStr">
        <is>
          <t>Technology</t>
        </is>
      </c>
      <c r="D10" s="25" t="inlineStr">
        <is>
          <t>Software - Application</t>
        </is>
      </c>
      <c r="E10" s="50" t="inlineStr">
        <is>
          <t>Nano Cap</t>
        </is>
      </c>
      <c r="F10" s="51" t="inlineStr">
        <is>
          <t>CS Disco, Inc. is a legal technology innovator that leverages cloud-native infrastructure and artificial intelligence to deliver advanced solutions. These solutions support electronic discovery, legal document analysis, and comprehensive case management for a broad client base, including corporations, law firms, legal service providers, and governmental entities. Among its key offerings is DISCO Ediscovery, which streamlines the entire e-discovery lifecycle. This platform significantly reduces the manual effort typically involved in gathering, processing, enhancing, searching, examining, interpreting, and presenting critical enterprise data relevant to legal proceedings. Additionally, DISCO Review employs artificial intelligence to consistently provide efficient and accurate document analysis. The suite further includes DISCO Case Builder, a collaborative tool that empowers legal professionals to construct robust cases by centralizing the search, organization, and review of witness dep</t>
        </is>
      </c>
    </row>
    <row r="11" ht="60" customHeight="1">
      <c r="A11" s="19" t="inlineStr">
        <is>
          <t>LTRX</t>
        </is>
      </c>
      <c r="B11" s="20" t="inlineStr">
        <is>
          <t>Lantronix, Inc.</t>
        </is>
      </c>
      <c r="C11" s="20" t="inlineStr">
        <is>
          <t>Technology</t>
        </is>
      </c>
      <c r="D11" s="49" t="inlineStr">
        <is>
          <t>Communication Equipment</t>
        </is>
      </c>
      <c r="E11" s="48" t="inlineStr">
        <is>
          <t>Nano Cap</t>
        </is>
      </c>
      <c r="F11" s="47"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2" ht="60" customHeight="1">
      <c r="A12" s="24" t="inlineStr">
        <is>
          <t>ROC</t>
        </is>
      </c>
      <c r="B12" s="25" t="inlineStr">
        <is>
          <t>Rank One Computing Corp.</t>
        </is>
      </c>
      <c r="C12" s="25" t="inlineStr">
        <is>
          <t>Technology</t>
        </is>
      </c>
      <c r="D12" s="25" t="inlineStr">
        <is>
          <t>Software - Application</t>
        </is>
      </c>
      <c r="E12" s="50" t="inlineStr">
        <is>
          <t>Nano Cap</t>
        </is>
      </c>
      <c r="F12" s="51" t="inlineStr">
        <is>
          <t>Rank One Computing Corporation provides advanced biometric, facial recognition, and vision AI solutions in United States. Its products includes ROC SDK, offers AI / ML developed vision AI algorithms including biometrics (face, fingerprint, and iris) and object detection models (Automated License-Plate Recognition (ALPR), pedestrian, vehicles, optical character recognition; ROC ABIS, an enterprise-grade biometric identity system; ROC Watch, an post-event video analytics platform that delivers multimodal video analytics, visitor management, and threat detection in a single pane of glass; ROC Enroll, a remote identity verification solution that enforces compliant selfie facial capture, spoof-prevention (Liveness), face to ID matching. It serves law enforcement, defense, national security, fintech, public safety, and commercial security and engagement markets. The company was incorporated in 2015 and is based in Denver, Colorado.</t>
        </is>
      </c>
    </row>
    <row r="13" ht="60" customHeight="1">
      <c r="A13" s="19" t="inlineStr">
        <is>
          <t>BKTI</t>
        </is>
      </c>
      <c r="B13" s="20" t="inlineStr">
        <is>
          <t>BK Technologies Corporation</t>
        </is>
      </c>
      <c r="C13" s="20" t="inlineStr">
        <is>
          <t>Technology</t>
        </is>
      </c>
      <c r="D13" s="49" t="inlineStr">
        <is>
          <t>Communication Equipment</t>
        </is>
      </c>
      <c r="E13" s="48" t="inlineStr">
        <is>
          <t>Nano Cap</t>
        </is>
      </c>
      <c r="F13" s="47" t="inlineStr">
        <is>
          <t>Operating globally and within the United States, BK Technologies Corporation, through its subsidiary BK Technologies, Inc., specializes in the development, production, and sale of wireless communication devices. Their product portfolio encompasses two-way land mobile radios (LMR), repeaters, base stations, and associated parts and systems. The company caters to distinct markets through its branding: the BK Technologies, BKR, and BK Radio lines supply LMR solutions, including P-25 digital products, primarily for professional use by governmental, public safety, and military organizations. Conversely, the RELM brand addresses the two-way communication needs of commercial and industrial sectors, serving clients such as hospitality, construction, education, and transport companies. Established in 1997, the corporation maintains its principal office in West Melbourne, Florida.</t>
        </is>
      </c>
    </row>
    <row r="14" ht="60" customHeight="1">
      <c r="A14" s="24" t="inlineStr">
        <is>
          <t>LNSR</t>
        </is>
      </c>
      <c r="B14" s="25" t="inlineStr">
        <is>
          <t>LENSAR Inc</t>
        </is>
      </c>
      <c r="C14" s="25" t="inlineStr">
        <is>
          <t>Healthcare</t>
        </is>
      </c>
      <c r="D14" s="25" t="inlineStr">
        <is>
          <t>Medical - Devices</t>
        </is>
      </c>
      <c r="E14" s="50" t="inlineStr">
        <is>
          <t>Nano Cap</t>
        </is>
      </c>
      <c r="F14" s="51" t="inlineStr">
        <is>
          <t>LENSAR, Inc., a commercial-stage medical device company, focuses on designing, developing, and marketing laser systems for the treatment of cataracts and the management of pre-existing or surgically induced corneal astigmatism in the United System, Europe, Asia, South Korea, and internationally. The company offers the LENSAR Laser System, which incorporates a range of proprietary technologies designed to assist the surgeon in obtaining visual outcomes by providing imaging, procedure planning, design, and precision. It also provides ALLY Robotic Cataract Laser System, a compact cataract treatment system that is designed to allow surgeons to perform sterile laser-assisted cataract surgery in a single operating room. LENSAR, Inc. was incorporated in 2004 and is headquartered in Orlando, Florida.</t>
        </is>
      </c>
    </row>
    <row r="15" ht="60" customHeight="1">
      <c r="A15" s="19" t="inlineStr">
        <is>
          <t>SWBI</t>
        </is>
      </c>
      <c r="B15" s="20" t="inlineStr">
        <is>
          <t>Smith &amp; Wesson Brands, Inc.</t>
        </is>
      </c>
      <c r="C15" s="20" t="inlineStr">
        <is>
          <t>Industrials</t>
        </is>
      </c>
      <c r="D15" s="53" t="inlineStr">
        <is>
          <t>Aerospace &amp; Defense</t>
        </is>
      </c>
      <c r="E15" s="48" t="inlineStr">
        <is>
          <t>Small Cap</t>
        </is>
      </c>
      <c r="F15" s="47"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16" ht="60" customHeight="1">
      <c r="A16" s="24" t="inlineStr">
        <is>
          <t>GHM</t>
        </is>
      </c>
      <c r="B16" s="25" t="inlineStr">
        <is>
          <t>Graham Corporation</t>
        </is>
      </c>
      <c r="C16" s="25" t="inlineStr">
        <is>
          <t>Industrials</t>
        </is>
      </c>
      <c r="D16" s="25" t="inlineStr">
        <is>
          <t>Industrial - Machinery</t>
        </is>
      </c>
      <c r="E16" s="50" t="inlineStr">
        <is>
          <t>Small Cap</t>
        </is>
      </c>
      <c r="F16" s="51" t="inlineStr">
        <is>
          <t>Graham Corporation, founded in 1936 and based in Batavia, New York, is an engineering and manufacturing company that, along with its subsidiaries, specializes in creating advanced fluid, power, heat transfer, and vacuum equipment. This specialized machinery serves a broad spectrum of critical industries, including chemical and petrochemical processing, defense, aerospace, petroleum refining, cryogenic applications, and energy. The company's diverse product range includes: Power Generation Solutions: Such as ejectors and surface condensers for power plants, as well as turbines, generators, compressors, and pumps. Defense and Space Technologies: Providing torpedo ejection and power systems that integrate turbines, alternators, regulators, pumps, and blowers; also supplying rocket propulsion systems like turbopumps and fuel pumps. Thermal Management and Life Support Systems: Offering pumps, blowers, and electronics for thermal control, cooling systems featuring pumps, compressors, fans, a</t>
        </is>
      </c>
    </row>
    <row r="17" ht="60" customHeight="1">
      <c r="A17" s="19" t="inlineStr">
        <is>
          <t>TRC</t>
        </is>
      </c>
      <c r="B17" s="20" t="inlineStr">
        <is>
          <t>Tejon Ranch Co.</t>
        </is>
      </c>
      <c r="C17" s="20" t="inlineStr">
        <is>
          <t>Industrials</t>
        </is>
      </c>
      <c r="D17" s="20" t="inlineStr">
        <is>
          <t>Conglomerates</t>
        </is>
      </c>
      <c r="E17" s="48" t="inlineStr">
        <is>
          <t>Small Cap</t>
        </is>
      </c>
      <c r="F17" s="47" t="inlineStr">
        <is>
          <t>Tejon Ranch Co., through its various subsidiaries, operates as a multifaceted enterprise primarily focused on real estate development and agricultural operations. Its business is structured across five distinct divisions: Commercial/Industrial Real Estate Development, Resort/Residential Real Estate Development, Mineral Resources, Farming, and Ranch Operations. The Commercial/Industrial Real Estate Development division handles the entire process from land planning and obtaining permits to constructing vital infrastructure and developing properties for lease or sale, which includes creating ready-to-occupy buildings or selling plots to other developers. Additionally, it manages communication leases and landscaping services. This segment generates revenue by leasing land to various commercial tenants, such as two auto service stations with convenience stores, thirteen fast-food establishments, a motel, an antique shop, and a post office. It also provides sites for microwave repeaters, rad</t>
        </is>
      </c>
    </row>
    <row r="18" ht="60" customHeight="1">
      <c r="A18" s="24" t="inlineStr">
        <is>
          <t>CEVA</t>
        </is>
      </c>
      <c r="B18" s="25" t="inlineStr">
        <is>
          <t>CEVA, Inc.</t>
        </is>
      </c>
      <c r="C18" s="25" t="inlineStr">
        <is>
          <t>Technology</t>
        </is>
      </c>
      <c r="D18" s="52" t="inlineStr">
        <is>
          <t>Semiconductors</t>
        </is>
      </c>
      <c r="E18" s="50" t="inlineStr">
        <is>
          <t>Small Cap</t>
        </is>
      </c>
      <c r="F18" s="51" t="inlineStr">
        <is>
          <t>CEVA, Inc. is a global provider of intellectual property (IP) for advanced wireless connectivity and intelligent sensing solutions, serving semiconductor manufacturers and original equipment manufacturers (OEMs). The company specializes in developing and licensing a broad range of digital signal processors (DSPs), AI accelerators, wireless communication platforms, and complementary software. These offerings are engineered to support applications such as sensor data integration, image enhancement, machine vision, voice command processing, and artificial intelligence. CEVA's extensive IP portfolio features DSP-driven platforms for 5G baseband processing in mobile, IoT, and infrastructure environments, alongside sophisticated imaging and computer vision capabilities for all camera-enabled devices. They also offer ultra-low power audio, voice, and speech processing, including always-on sensing functionalities for a wide spectrum of IoT markets. Furthermore, their solutions include sensor f</t>
        </is>
      </c>
    </row>
    <row r="19" ht="60" customHeight="1">
      <c r="A19" s="19" t="inlineStr">
        <is>
          <t>CMCO</t>
        </is>
      </c>
      <c r="B19" s="20" t="inlineStr">
        <is>
          <t>Columbus McKinnon Corporation</t>
        </is>
      </c>
      <c r="C19" s="20" t="inlineStr">
        <is>
          <t>Industrials</t>
        </is>
      </c>
      <c r="D19" s="20" t="inlineStr">
        <is>
          <t>Industrial - Machinery</t>
        </is>
      </c>
      <c r="E19" s="48" t="inlineStr">
        <is>
          <t>Small Cap</t>
        </is>
      </c>
      <c r="F19" s="47" t="inlineStr">
        <is>
          <t>Columbus McKinnon Corporation (CMCO) is a global leader in designing, manufacturing, and distributing sophisticated motion solutions. These innovative systems are engineered to facilitate the ergonomic and secure movement, lifting, positioning, and securing of materials across various industries worldwide. The company's extensive product portfolio includes a diverse range of hoists, such as electric, air-powered, manual lever, and hand models, alongside specialized explosion-protected and custom-engineered options, hoist trolleys, and winches. CMCO also provides comprehensive crane systems, which feature individual components, complete kits, enclosed track rail systems, mobile and jib cranes, and essential fall protection equipment, in addition to broader material handling solutions. Their rigging equipment offerings are robust, encompassing below-the-hook lifting devices, shackles, chains and their accessories, forestry and hand tools, lifting slings, lashing systems, and load binders</t>
        </is>
      </c>
    </row>
    <row r="20" ht="60" customHeight="1">
      <c r="A20" s="24" t="inlineStr">
        <is>
          <t>VPG</t>
        </is>
      </c>
      <c r="B20" s="25" t="inlineStr">
        <is>
          <t>Vishay Precision Group, Inc.</t>
        </is>
      </c>
      <c r="C20" s="25" t="inlineStr">
        <is>
          <t>Technology</t>
        </is>
      </c>
      <c r="D20" s="25" t="inlineStr">
        <is>
          <t>Hardware, Equipment &amp; Parts</t>
        </is>
      </c>
      <c r="E20" s="50" t="inlineStr">
        <is>
          <t>Small Cap</t>
        </is>
      </c>
      <c r="F20" s="51" t="inlineStr">
        <is>
          <t>Vishay Precision Group, Inc. engages in the precision measurement and sensing technologies business in the United States, Europe, Israel, Asia, and Canada. It operates through three segments: Sensors, Weighing Solutions, and Measurement Systems. The company offers precision resistors, strain gages, load cells and force measurement transducers, vehicle weighing and over-load monitoring systems, and control process weighing products; rolling force measuring load cell systems and pressure transmitters; web tension measurement load cells and systems; optical strip width gages; and laser velocimeters for speed and length measurements and closed-loop crop optimization control systems for optimal strip cuts. The company also offers thermal-mechanical simulation systems for metallurgical research; conditioning, data acquisition, and control systems; and data acquisition systems and sensors for product safety testing, as well as electronic displays, signal processors, micro-electromechanical sy</t>
        </is>
      </c>
    </row>
    <row r="21" ht="60" customHeight="1">
      <c r="A21" s="19" t="inlineStr">
        <is>
          <t>MNTK</t>
        </is>
      </c>
      <c r="B21" s="20" t="inlineStr">
        <is>
          <t>Montauk Renewables, Inc.</t>
        </is>
      </c>
      <c r="C21" s="20" t="inlineStr">
        <is>
          <t>Industrials</t>
        </is>
      </c>
      <c r="D21" s="20" t="inlineStr">
        <is>
          <t>Industrial - Specialties</t>
        </is>
      </c>
      <c r="E21" s="48" t="inlineStr">
        <is>
          <t>Small Cap</t>
        </is>
      </c>
      <c r="F21" s="47" t="inlineStr">
        <is>
          <t>Montauk Renewables, Inc. is a renewable energy enterprise specializing in the extraction and refinement of biogas sourced from landfills and other non-fossil fuel origins. Its operations are divided into two primary segments: Renewable Natural Gas and Renewable Electricity Generation. The company develops, owns, and operates renewable natural gas (RNG) projects. These initiatives are designed to capture harmful methane emissions, preventing their release into the atmosphere, and convert them into either RNG or electrical power for distribution to the grid. Customers for its renewable natural gas (RNG) and renewable identification numbers (RINs) are diverse, encompassing long-term owner-operators of landfills and livestock farms, local utilities, and refiners within the natural gas and refining sectors. Established in 1980, the company maintains its corporate headquarters in Pittsburgh, Pennsylvania.</t>
        </is>
      </c>
    </row>
    <row r="22" ht="60" customHeight="1">
      <c r="A22" s="24" t="inlineStr">
        <is>
          <t>EVLV</t>
        </is>
      </c>
      <c r="B22" s="25" t="inlineStr">
        <is>
          <t>Evolv Technologies Holdings, Inc.</t>
        </is>
      </c>
      <c r="C22" s="25" t="inlineStr">
        <is>
          <t>Industrials</t>
        </is>
      </c>
      <c r="D22" s="25" t="inlineStr">
        <is>
          <t>Security &amp; Protection Services</t>
        </is>
      </c>
      <c r="E22" s="50" t="inlineStr">
        <is>
          <t>Small Cap</t>
        </is>
      </c>
      <c r="F22" s="51"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23" ht="60" customHeight="1">
      <c r="A23" s="19" t="inlineStr">
        <is>
          <t>ADTN</t>
        </is>
      </c>
      <c r="B23" s="20" t="inlineStr">
        <is>
          <t>ADTRAN Holdings Inc.</t>
        </is>
      </c>
      <c r="C23" s="20" t="inlineStr">
        <is>
          <t>Technology</t>
        </is>
      </c>
      <c r="D23" s="49" t="inlineStr">
        <is>
          <t>Communication Equipment</t>
        </is>
      </c>
      <c r="E23" s="48" t="inlineStr">
        <is>
          <t>Small Cap</t>
        </is>
      </c>
      <c r="F23" s="47" t="inlineStr">
        <is>
          <t>ADTRAN Holdings, Inc. develops and provides network access solutions. It is a global provider of open, disaggregated networking and communications equipment that enable voice, data, video and internet communications across any network infrastructure. It operates through the Network Solutions and Services and Support segments. The Network Solutions segment offers hardware and software products. The Service and Support segment manages a comprehensive portfolio of network design, implementation, maintenance and cloud-hosted services supporting its subscriber, access and aggregation, and optical networking solutions. The company was founded in 1985 and is headquartered in Huntsville, AL.</t>
        </is>
      </c>
    </row>
    <row r="24" ht="60" customHeight="1">
      <c r="A24" s="24" t="inlineStr">
        <is>
          <t>SHLS</t>
        </is>
      </c>
      <c r="B24" s="25" t="inlineStr">
        <is>
          <t>Shoals Technologies Group, Inc.</t>
        </is>
      </c>
      <c r="C24" s="25" t="inlineStr">
        <is>
          <t>Energy</t>
        </is>
      </c>
      <c r="D24" s="54" t="inlineStr">
        <is>
          <t>Solar</t>
        </is>
      </c>
      <c r="E24" s="50" t="inlineStr">
        <is>
          <t>Small Cap</t>
        </is>
      </c>
      <c r="F24" s="51" t="inlineStr">
        <is>
          <t>Shoals Technologies Group, Inc. provides Electrical Balance of System (EBOS) solutions designed for solar power projects throughout the United States. The company manufactures a wide array of EBOS components, including various cable assemblies, inline fuses, combiners, disconnects, recombiners, wireless monitoring systems, junction boxes, specialized transition enclosures, splice boxes, wire management solutions, and IV curve benchmarking devices. Additionally, Shoals offers EV Charging solutions for both public and fleet electric vehicle charging infrastructure, alongside its core EBOS systems. Its primary customers are engineering, procurement, and construction (EPC) firms responsible for developing solar energy installations and deploying electric vehicle charging stations. Shoals Technologies Group, Inc. was founded in 1996 and maintains its headquarters in Portland, Tennessee.</t>
        </is>
      </c>
    </row>
    <row r="25" ht="60" customHeight="1">
      <c r="A25" s="19" t="inlineStr">
        <is>
          <t>CE</t>
        </is>
      </c>
      <c r="B25" s="20" t="inlineStr">
        <is>
          <t>Celanese Corporation</t>
        </is>
      </c>
      <c r="C25" s="20" t="inlineStr">
        <is>
          <t>Basic Materials</t>
        </is>
      </c>
      <c r="D25" s="20" t="inlineStr">
        <is>
          <t>Chemicals</t>
        </is>
      </c>
      <c r="E25" s="48" t="inlineStr">
        <is>
          <t>Breakout</t>
        </is>
      </c>
      <c r="F25" s="47" t="inlineStr">
        <is>
          <t>Celanese Corporation produces and sells engineered polymers worldwide. It operates through Engineered Materials and Acetyl Chain segments. The company offers ethylene acrylic elastomers, ethylene vinyl acetate pharmaceutical grade copolymers, liquid crystal polymers, long-fiber reinforced thermoplastics, nylon and polypropylene compounds and formulations, polyoxymethylene, ultra-high molecular weight polyethylene, and thermoplastic elastomers, polyesters, and vulcanizates for use in appliance, automotive, construction, consumer apparel, consumer electronics, electrical, energy storage, filtration equipment, industrial, medical, and telecommunication applications. It also provides acetic acid and anhydride, acetate flakes and tows, butyl acetates, emulsion polymers, ethyl acetates, ethylene vinyl acetate resins and compounds, formaldehydes, redispersible powders, and vinyl acetate monomers for use in adhesives, automotive parts, coatings, consumer goods, external thermal insulation comp</t>
        </is>
      </c>
    </row>
    <row r="26" ht="60" customHeight="1">
      <c r="A26" s="24" t="inlineStr">
        <is>
          <t>CALX</t>
        </is>
      </c>
      <c r="B26" s="25" t="inlineStr">
        <is>
          <t>Calix, Inc.</t>
        </is>
      </c>
      <c r="C26" s="25" t="inlineStr">
        <is>
          <t>Technology</t>
        </is>
      </c>
      <c r="D26" s="49" t="inlineStr">
        <is>
          <t>Communication Equipment</t>
        </is>
      </c>
      <c r="E26" s="50" t="inlineStr">
        <is>
          <t>Breakout</t>
        </is>
      </c>
      <c r="F26" s="51"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27" ht="60" customHeight="1">
      <c r="A27" s="19" t="inlineStr">
        <is>
          <t>ADEA</t>
        </is>
      </c>
      <c r="B27" s="20" t="inlineStr">
        <is>
          <t>Adeia Inc.</t>
        </is>
      </c>
      <c r="C27" s="20" t="inlineStr">
        <is>
          <t>Technology</t>
        </is>
      </c>
      <c r="D27" s="20" t="inlineStr">
        <is>
          <t>Software - Application</t>
        </is>
      </c>
      <c r="E27" s="48" t="inlineStr">
        <is>
          <t>Breakout</t>
        </is>
      </c>
      <c r="F27" s="47" t="inlineStr">
        <is>
          <t>Adeia Inc. is an international enterprise focused on intellectual property licensing within the consumer and entertainment sectors. Operating globally, the company licenses its proprietary innovations, marketed under the Adeia brand, to various entities across the entertainment landscape. Its extensive patent portfolio is adopted by a wide range of partners, including: Multichannel video programming distributors (MVPDs): This encompasses traditional cable, satellite, and telecommunications television providers that distribute linear content over networks, as well as those delivering aggregated and streamed linear content via broadband. Over-the-top (OTT) and new media companies: Such as subscription video-on-demand (SVOD) services, social networking platforms, and other emerging digital media providers. Consumer electronics manufacturers: For devices like smart televisions, streaming media players, video game consoles, mobile devices, digital video recorders (DVRs), and other internet-</t>
        </is>
      </c>
    </row>
    <row r="28" ht="60" customHeight="1">
      <c r="A28" s="24" t="inlineStr">
        <is>
          <t>DCI</t>
        </is>
      </c>
      <c r="B28" s="25" t="inlineStr">
        <is>
          <t>Donaldson Company, Inc.</t>
        </is>
      </c>
      <c r="C28" s="25" t="inlineStr">
        <is>
          <t>Industrials</t>
        </is>
      </c>
      <c r="D28" s="25" t="inlineStr">
        <is>
          <t>Industrial - Machinery</t>
        </is>
      </c>
      <c r="E28" s="50" t="inlineStr">
        <is>
          <t>Breakout</t>
        </is>
      </c>
      <c r="F28" s="51" t="inlineStr">
        <is>
          <t>Donaldson Company, Inc. (DCI) is a global enterprise that develops, manufactures, and distributes an extensive range of filtration systems and their corresponding replacement parts. The company's operations are strategically divided into two core business units: Engine Products and Industrial Products. The Engine Products division provides a variety of solutions, including replacement filters for both air and liquid filtration needs, comprehensive air filtration systems, and specialized liquid filtration systems designed for fuel, lubrication, and hydraulic applications. This segment also offers exhaust and emissions control technologies, alongside a suite of sensors, indicators, and monitoring systems. Its clientele primarily consists of Original Equipment Manufacturers (OEMs) within the construction, mining, agriculture, aerospace, defense, and transportation industries. Additionally, it caters to the aftermarket through independent distributors, OEM dealership networks, private labe</t>
        </is>
      </c>
    </row>
    <row r="29" ht="60" customHeight="1">
      <c r="A29" s="19" t="inlineStr">
        <is>
          <t>BCO</t>
        </is>
      </c>
      <c r="B29" s="20" t="inlineStr">
        <is>
          <t>The Brink's Company</t>
        </is>
      </c>
      <c r="C29" s="20" t="inlineStr">
        <is>
          <t>Industrials</t>
        </is>
      </c>
      <c r="D29" s="20" t="inlineStr">
        <is>
          <t>Security &amp; Protection Services</t>
        </is>
      </c>
      <c r="E29" s="48" t="inlineStr">
        <is>
          <t>Breakout</t>
        </is>
      </c>
      <c r="F29" s="47" t="inlineStr">
        <is>
          <t>The Brink's Company operates as a global leader in secure logistics, cash management, and comprehensive security services, with operations spanning North America, Latin America, Europe, and other international markets. A core offering is the secure transportation of high-value assets. This encompasses armored vehicle services for cash-in-transit, as well as the specialized movement of diamonds, jewelry, precious metals, securities, banknotes, currency, sophisticated electronics, and pharmaceuticals. The company delivers a full spectrum of automated teller machine (ATM) services. These range from cash replenishment, predictive forecasting, and optimization to remote monitoring, service call dispatch, transaction processing, installation, and multi-level maintenance, all supported by essential network infrastructure. Further extending its cash services, Brink's offers vault outsourcing and detailed money processing solutions, including cashier balancing, counterfeit detection, account co</t>
        </is>
      </c>
    </row>
    <row r="30" ht="60" customHeight="1">
      <c r="A30" s="24" t="inlineStr">
        <is>
          <t>NOVTU</t>
        </is>
      </c>
      <c r="B30" s="25" t="inlineStr">
        <is>
          <t>Novanta Inc. Tangible Equity Units</t>
        </is>
      </c>
      <c r="C30" s="25" t="inlineStr">
        <is>
          <t>Technology</t>
        </is>
      </c>
      <c r="D30" s="25" t="inlineStr">
        <is>
          <t>Hardware, Equipment &amp; Parts</t>
        </is>
      </c>
      <c r="E30" s="50" t="inlineStr">
        <is>
          <t>Breakout</t>
        </is>
      </c>
      <c r="F30" s="51" t="inlineStr">
        <is>
          <t>Novanta Inc. specializes in the development, manufacturing, and global commercialization of advanced components and integrated sub-systems across photonics, vision, and precision motion technologies. Catering to original equipment manufacturers (OEMs), its solutions are vital for medical and industrial applications worldwide. The company's Photonics segment delivers sophisticated solutions, encompassing laser scanning, beam delivery systems, various laser types (CO2, solid state, ultrafast), and optical light engines. These innovations find applications in industrial processing, precise measurement (metrology), medical and life science imaging, genetic sequencing, and diverse medical laser interventions. The Vision division supplies an array of medical-grade technologies, such as insufflators, pumps, and related disposables, alongside advanced visualization solutions. It also offers wireless communication, video recording devices, and video integration systems specifically designed for</t>
        </is>
      </c>
    </row>
    <row r="31" ht="60" customHeight="1">
      <c r="A31" s="19" t="inlineStr">
        <is>
          <t>CACI</t>
        </is>
      </c>
      <c r="B31" s="20" t="inlineStr">
        <is>
          <t>CACI International Inc</t>
        </is>
      </c>
      <c r="C31" s="20" t="inlineStr">
        <is>
          <t>Technology</t>
        </is>
      </c>
      <c r="D31" s="20" t="inlineStr">
        <is>
          <t>Information Technology Services</t>
        </is>
      </c>
      <c r="E31" s="48" t="inlineStr">
        <is>
          <t>Breakout</t>
        </is>
      </c>
      <c r="F31" s="47" t="inlineStr">
        <is>
          <t>CACI International Inc, alongside its subsidiaries, is a provider of specialized expertise and advanced technology. The company primarily serves enterprise and mission-critical customers by supporting vital national security objectives and facilitating government modernization and transformation efforts across the intelligence, defense, and federal civilian sectors. The company operates through two main divisions: Domestic Operations and International Operations. The Domestic Operations segment focuses on delivering information solutions and services to U.S. federal government agencies and commercial entities. This includes areas such as digital transformation, Command, Control, Communications, Computers, Intelligence, Surveillance, and Reconnaissance (C4ISR), cybersecurity and space technologies, engineering services, enterprise IT management, and mission support. Internationally, CACI offers a suite of IT services, proprietary data, and software products to both commercial and govern</t>
        </is>
      </c>
    </row>
    <row r="32" ht="60" customHeight="1">
      <c r="A32" s="24" t="inlineStr">
        <is>
          <t>RAL</t>
        </is>
      </c>
      <c r="B32" s="25" t="inlineStr">
        <is>
          <t>Ralliant Corp</t>
        </is>
      </c>
      <c r="C32" s="25" t="inlineStr">
        <is>
          <t>Technology</t>
        </is>
      </c>
      <c r="D32" s="25" t="inlineStr">
        <is>
          <t>Hardware, Equipment &amp; Parts</t>
        </is>
      </c>
      <c r="E32" s="50" t="inlineStr">
        <is>
          <t>Breakout</t>
        </is>
      </c>
      <c r="F32" s="51" t="inlineStr">
        <is>
          <t>Ralliant Corporation engages in the design, development, manufacture, sale, and service of precision instruments and engineered products in the United States, China, and internationally. It operates through two segments, Test and Measurement; and Sensors and Safety Systems. The Test and Measurement segment provides precision test and measurement instruments, systems, software, and services markets under the TEKTRONIX, KEITHLEY INSTRUMENTS, SONIX, and EA ELECTRO-AUTOMATIK brand names. This segment offers a portfolio of industry solutions, including oscilloscopes, probes, source measuring units, semiconductor test systems, high-power bi-directional power supplies, and measurement analysis software packages. The Sensors and Safety Systems segment provides power grid monitoring solutions, safety systems for mission critical defense and space applications, and sensing solutions for critical environments, as well as sensing products encompassing liquid level, flow, and pressure sensors, moti</t>
        </is>
      </c>
    </row>
    <row r="33" ht="60" customHeight="1">
      <c r="A33" s="19" t="inlineStr">
        <is>
          <t>BDC</t>
        </is>
      </c>
      <c r="B33" s="20" t="inlineStr">
        <is>
          <t>Belden Inc.</t>
        </is>
      </c>
      <c r="C33" s="20" t="inlineStr">
        <is>
          <t>Technology</t>
        </is>
      </c>
      <c r="D33" s="49" t="inlineStr">
        <is>
          <t>Communication Equipment</t>
        </is>
      </c>
      <c r="E33" s="48" t="inlineStr">
        <is>
          <t>Breakout</t>
        </is>
      </c>
      <c r="F33" s="47" t="inlineStr">
        <is>
          <t>Belden Inc. stands as a global leader in signal transmission solutions, serving a diverse customer base across the Americas, Europe, the Middle East, Africa, and Asia-Pacific. The company operates through two primary segments: Enterprise Solutions and Industrial Solutions. Its Enterprise Solutions division furnishes comprehensive cabling (copper and fiber) and connectivity infrastructure, encompassing interconnect panels, racks, enclosures, and signal extension/matrix switching systems. These offerings are vital for modern applications such as local area networks, data centers, access control, 5G, fiber deployments, and building automation. Additionally, this segment provides power, cooling, and airflow management products crucial for mission-critical data center operations, alongside complete copper and fiber network systems. It caters to diverse sectors including commercial real estate, hospitality, healthcare, education, finance, government, and broadband/wireless service providers,</t>
        </is>
      </c>
    </row>
    <row r="34" ht="60" customHeight="1">
      <c r="A34" s="24" t="inlineStr">
        <is>
          <t>KD</t>
        </is>
      </c>
      <c r="B34" s="25" t="inlineStr">
        <is>
          <t>Kyndryl Holdings, Inc.</t>
        </is>
      </c>
      <c r="C34" s="25" t="inlineStr">
        <is>
          <t>Technology</t>
        </is>
      </c>
      <c r="D34" s="25" t="inlineStr">
        <is>
          <t>Information Technology Services</t>
        </is>
      </c>
      <c r="E34" s="50" t="inlineStr">
        <is>
          <t>Breakout</t>
        </is>
      </c>
      <c r="F34" s="51" t="inlineStr">
        <is>
          <t>Kyndryl Holdings, Inc. functions as a global technology and IT infrastructure services specialist. The firm delivers a comprehensive portfolio of IT solutions, encompassing cloud computing, foundational enterprise platforms, application development, data analytics, and artificial intelligence capabilities. Additionally, Kyndryl provides services related to modern digital workplaces, robust security and resiliency, alongside advanced network and edge computing solutions. It caters to a diverse clientele across various sectors such as finance, telecommunications, retail, automotive, and logistics. Established in 2020, its corporate headquarters are situated in New York, New York.</t>
        </is>
      </c>
    </row>
  </sheetData>
  <autoFilter ref="A4:F3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AISP</t>
        </is>
      </c>
      <c r="B5" s="20" t="inlineStr">
        <is>
          <t>Airship AI Holdings, Inc.</t>
        </is>
      </c>
      <c r="C5" s="20" t="inlineStr">
        <is>
          <t>Software - Infrastructure</t>
        </is>
      </c>
      <c r="D5" s="48" t="inlineStr">
        <is>
          <t>Nano Cap</t>
        </is>
      </c>
      <c r="E5" s="48" t="inlineStr">
        <is>
          <t>75%</t>
        </is>
      </c>
      <c r="F5" s="48" t="inlineStr">
        <is>
          <t>42</t>
        </is>
      </c>
      <c r="G5" s="47" t="inlineStr">
        <is>
          <t>Strong pricing power (GM 75%) suggests proprietary technology or IP-protected products with limited direct competition. Rapid revenue growth (92% YoY) signals strong product-market fit and expanding TAM capture. Revenue acceleration (159% QoQ) — growth is compounding, indicating an inflection point or expanding customer adoption. High insider ownership (29%) — founder/management skin in the game strongly aligns incentives with shareholders.</t>
        </is>
      </c>
    </row>
    <row r="6" ht="80" customHeight="1">
      <c r="A6" s="24" t="inlineStr">
        <is>
          <t>KVHI</t>
        </is>
      </c>
      <c r="B6" s="25" t="inlineStr">
        <is>
          <t>KVH Industries, Inc.</t>
        </is>
      </c>
      <c r="C6" s="25" t="inlineStr">
        <is>
          <t>Communication Equipment</t>
        </is>
      </c>
      <c r="D6" s="50" t="inlineStr">
        <is>
          <t>Nano Cap</t>
        </is>
      </c>
      <c r="E6" s="50" t="inlineStr">
        <is>
          <t>30%</t>
        </is>
      </c>
      <c r="F6" s="50" t="inlineStr">
        <is>
          <t>58</t>
        </is>
      </c>
      <c r="G6" s="51" t="inlineStr">
        <is>
          <t>Moderate margins (GM 30%) — competitive market, but cost structure supports reinvestment. Solid revenue growth (27% YoY) suggests growing demand and competitive positioning in target markets. Revenue acceleration (34% QoQ) — growth is compounding, indicating an inflection point or expanding customer adoption. Exceptional capital discipline (1% share growth over 3yr) — management avoids dilution, signaling confidence in organic cash generation. High insider ownership (35%) — founder/management skin in the game strongly aligns incentives with shareholders. Networking/communications infrastructure — installed base and switching costs create customer lock-in.</t>
        </is>
      </c>
    </row>
    <row r="7" ht="80" customHeight="1">
      <c r="A7" s="19" t="inlineStr">
        <is>
          <t>INTT</t>
        </is>
      </c>
      <c r="B7" s="20" t="inlineStr">
        <is>
          <t>inTEST Corporation</t>
        </is>
      </c>
      <c r="C7" s="20" t="inlineStr">
        <is>
          <t>Semiconductors</t>
        </is>
      </c>
      <c r="D7" s="48" t="inlineStr">
        <is>
          <t>Nano Cap</t>
        </is>
      </c>
      <c r="E7" s="48" t="inlineStr">
        <is>
          <t>40%</t>
        </is>
      </c>
      <c r="F7" s="48" t="inlineStr">
        <is>
          <t>71</t>
        </is>
      </c>
      <c r="G7" s="47"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8" ht="80" customHeight="1">
      <c r="A8" s="24" t="inlineStr">
        <is>
          <t>RFIL</t>
        </is>
      </c>
      <c r="B8" s="25" t="inlineStr">
        <is>
          <t>RF Industries, Ltd.</t>
        </is>
      </c>
      <c r="C8" s="25" t="inlineStr">
        <is>
          <t>Electrical Equipment &amp; Parts</t>
        </is>
      </c>
      <c r="D8" s="50" t="inlineStr">
        <is>
          <t>Nano Cap</t>
        </is>
      </c>
      <c r="E8" s="50" t="inlineStr">
        <is>
          <t>35%</t>
        </is>
      </c>
      <c r="F8" s="50" t="inlineStr">
        <is>
          <t>66</t>
        </is>
      </c>
      <c r="G8" s="51" t="inlineStr">
        <is>
          <t>Moderate margins (GM 35%) — competitive market, but cost structure supports reinvestment. Reasonable capital discipline (5% 3yr dilution) — moderate equity issuance suggests funded growth without excessive shareholder dilution. High insider ownership (22%) — founder/management skin in the game strongly aligns incentives with shareholders. Fingerprint score of 66 — structural profile closely matches historical multi-bagger winners at their inflection points.</t>
        </is>
      </c>
    </row>
    <row r="9" ht="80" customHeight="1">
      <c r="A9" s="19" t="inlineStr">
        <is>
          <t>ASYS</t>
        </is>
      </c>
      <c r="B9" s="20" t="inlineStr">
        <is>
          <t>Amtech Systems, Inc.</t>
        </is>
      </c>
      <c r="C9" s="20" t="inlineStr">
        <is>
          <t>Semiconductors</t>
        </is>
      </c>
      <c r="D9" s="48" t="inlineStr">
        <is>
          <t>Nano Cap</t>
        </is>
      </c>
      <c r="E9" s="48" t="inlineStr">
        <is>
          <t>50%</t>
        </is>
      </c>
      <c r="F9" s="48" t="inlineStr">
        <is>
          <t>64</t>
        </is>
      </c>
      <c r="G9" s="47" t="inlineStr">
        <is>
          <t>Healthy margins (GM 50%) indicate differentiated products with some pricing power above commodity levels. Revenue acceleration (41% QoQ) — growth is compounding, indicating an inflection point or expanding customer adoption. Reasonable capital discipline (9% 3yr dilution) — moderate equity issuance suggests funded growth without excessive shareholder dilution. High insider ownership (26%) — founder/management skin in the game strongly aligns incentives with shareholders. Semiconductor design/fab expertise represents years of R&amp;D investment — a significant moat against new entrants.</t>
        </is>
      </c>
    </row>
    <row r="10" ht="80" customHeight="1">
      <c r="A10" s="24" t="inlineStr">
        <is>
          <t>LAW</t>
        </is>
      </c>
      <c r="B10" s="25" t="inlineStr">
        <is>
          <t>CS Disco, Inc.</t>
        </is>
      </c>
      <c r="C10" s="25" t="inlineStr">
        <is>
          <t>Software - Application</t>
        </is>
      </c>
      <c r="D10" s="50" t="inlineStr">
        <is>
          <t>Nano Cap</t>
        </is>
      </c>
      <c r="E10" s="50" t="inlineStr">
        <is>
          <t>74%</t>
        </is>
      </c>
      <c r="F10" s="50" t="inlineStr">
        <is>
          <t>48</t>
        </is>
      </c>
      <c r="G10" s="51" t="inlineStr">
        <is>
          <t>Strong pricing power (GM 74%) suggests proprietary technology or IP-protected products with limited direct competition. Revenue acceleration (7% QoQ) — growth is compounding, indicating an inflection point or expanding customer adoption. Reasonable capital discipline (7% 3yr dilution) — moderate equity issuance suggests funded growth without excessive shareholder dilution. High insider ownership (57%) — founder/management skin in the game strongly aligns incentives with shareholders.</t>
        </is>
      </c>
    </row>
    <row r="11" ht="80" customHeight="1">
      <c r="A11" s="19" t="inlineStr">
        <is>
          <t>LTRX</t>
        </is>
      </c>
      <c r="B11" s="20" t="inlineStr">
        <is>
          <t>Lantronix, Inc.</t>
        </is>
      </c>
      <c r="C11" s="20" t="inlineStr">
        <is>
          <t>Communication Equipment</t>
        </is>
      </c>
      <c r="D11" s="48" t="inlineStr">
        <is>
          <t>Nano Cap</t>
        </is>
      </c>
      <c r="E11" s="48" t="inlineStr">
        <is>
          <t>44%</t>
        </is>
      </c>
      <c r="F11" s="48" t="inlineStr">
        <is>
          <t>62</t>
        </is>
      </c>
      <c r="G11" s="47"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2" ht="80" customHeight="1">
      <c r="A12" s="24" t="inlineStr">
        <is>
          <t>ROC</t>
        </is>
      </c>
      <c r="B12" s="25" t="inlineStr">
        <is>
          <t>Rank One Computing Corp.</t>
        </is>
      </c>
      <c r="C12" s="25" t="inlineStr">
        <is>
          <t>Software - Application</t>
        </is>
      </c>
      <c r="D12" s="50" t="inlineStr">
        <is>
          <t>Nano Cap</t>
        </is>
      </c>
      <c r="E12" s="50" t="inlineStr">
        <is>
          <t>90%</t>
        </is>
      </c>
      <c r="F12" s="50" t="inlineStr">
        <is>
          <t>47</t>
        </is>
      </c>
      <c r="G12" s="51" t="inlineStr">
        <is>
          <t>Strong pricing power (GM 90%) suggests proprietary technology or IP-protected products with limited direct competition. Rapid revenue growth (93% YoY) signals strong product-market fit and expanding TAM capture. Exceptional capital discipline (0% share growth over 3yr) — management avoids dilution, signaling confidence in organic cash generation. High insider ownership (72%) — founder/management skin in the game strongly aligns incentives with shareholders.</t>
        </is>
      </c>
    </row>
    <row r="13" ht="80" customHeight="1">
      <c r="A13" s="19" t="inlineStr">
        <is>
          <t>BKTI</t>
        </is>
      </c>
      <c r="B13" s="20" t="inlineStr">
        <is>
          <t>BK Technologies Corporation</t>
        </is>
      </c>
      <c r="C13" s="20" t="inlineStr">
        <is>
          <t>Communication Equipment</t>
        </is>
      </c>
      <c r="D13" s="48" t="inlineStr">
        <is>
          <t>Nano Cap</t>
        </is>
      </c>
      <c r="E13" s="48" t="inlineStr">
        <is>
          <t>52%</t>
        </is>
      </c>
      <c r="F13" s="48" t="inlineStr">
        <is>
          <t>62</t>
        </is>
      </c>
      <c r="G13" s="47" t="inlineStr">
        <is>
          <t>Healthy margins (GM 52%) indicate differentiated products with some pricing power above commodity levels. Revenue acceleration (6% QoQ) — growth is compounding, indicating an inflection point or expanding customer adoption. Reasonable capital discipline (10% 3yr dilution) — moderate equity issuance suggests funded growth without excessive shareholder dilution. High insider ownership (24%) — founder/management skin in the game strongly aligns incentives with shareholders. Networking/communications infrastructure — installed base and switching costs create customer lock-in.</t>
        </is>
      </c>
    </row>
    <row r="14" ht="80" customHeight="1">
      <c r="A14" s="24" t="inlineStr">
        <is>
          <t>LNSR</t>
        </is>
      </c>
      <c r="B14" s="25" t="inlineStr">
        <is>
          <t>LENSAR Inc</t>
        </is>
      </c>
      <c r="C14" s="25" t="inlineStr">
        <is>
          <t>Medical - Devices</t>
        </is>
      </c>
      <c r="D14" s="50" t="inlineStr">
        <is>
          <t>Nano Cap</t>
        </is>
      </c>
      <c r="E14" s="50" t="inlineStr">
        <is>
          <t>59%</t>
        </is>
      </c>
      <c r="F14" s="50" t="inlineStr">
        <is>
          <t>46</t>
        </is>
      </c>
      <c r="G14" s="51" t="inlineStr">
        <is>
          <t>Healthy margins (GM 59%) indicate differentiated products with some pricing power above commodity levels. Revenue acceleration (8% QoQ) — growth is compounding, indicating an inflection point or expanding customer adoption. High insider ownership (29%) — founder/management skin in the game strongly aligns incentives with shareholders.</t>
        </is>
      </c>
    </row>
    <row r="15" ht="80" customHeight="1">
      <c r="A15" s="19" t="inlineStr">
        <is>
          <t>SWBI</t>
        </is>
      </c>
      <c r="B15" s="20" t="inlineStr">
        <is>
          <t>Smith &amp; Wesson Brands, Inc.</t>
        </is>
      </c>
      <c r="C15" s="20" t="inlineStr">
        <is>
          <t>Aerospace &amp; Defense</t>
        </is>
      </c>
      <c r="D15" s="48" t="inlineStr">
        <is>
          <t>Small Cap</t>
        </is>
      </c>
      <c r="E15" s="48" t="inlineStr">
        <is>
          <t>29%</t>
        </is>
      </c>
      <c r="F15" s="48" t="inlineStr">
        <is>
          <t>85</t>
        </is>
      </c>
      <c r="G15" s="47"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16" ht="80" customHeight="1">
      <c r="A16" s="24" t="inlineStr">
        <is>
          <t>GHM</t>
        </is>
      </c>
      <c r="B16" s="25" t="inlineStr">
        <is>
          <t>Graham Corporation</t>
        </is>
      </c>
      <c r="C16" s="25" t="inlineStr">
        <is>
          <t>Industrial - Machinery</t>
        </is>
      </c>
      <c r="D16" s="50" t="inlineStr">
        <is>
          <t>Small Cap</t>
        </is>
      </c>
      <c r="E16" s="50" t="inlineStr">
        <is>
          <t>25%</t>
        </is>
      </c>
      <c r="F16" s="50" t="inlineStr">
        <is>
          <t>88</t>
        </is>
      </c>
      <c r="G16" s="51" t="inlineStr">
        <is>
          <t>Moderate margins (GM 25%) — competitive market, but cost structure supports reinvestment. Solid revenue growth (29% YoY) suggests growing demand and competitive positioning in target markets. Revenue acceleration (18% QoQ) — growth is compounding, indicating an inflection point or expanding customer adoption. Reasonable capital discipline (8% 3yr dilution) — moderate equity issuance suggests funded growth without excessive shareholder dilution. Fingerprint score of 88 — structural profile closely matches historical multi-bagger winners at their inflection points.</t>
        </is>
      </c>
    </row>
    <row r="17" ht="80" customHeight="1">
      <c r="A17" s="19" t="inlineStr">
        <is>
          <t>TRC</t>
        </is>
      </c>
      <c r="B17" s="20" t="inlineStr">
        <is>
          <t>Tejon Ranch Co.</t>
        </is>
      </c>
      <c r="C17" s="20" t="inlineStr">
        <is>
          <t>Conglomerates</t>
        </is>
      </c>
      <c r="D17" s="48" t="inlineStr">
        <is>
          <t>Small Cap</t>
        </is>
      </c>
      <c r="E17" s="48" t="inlineStr">
        <is>
          <t>22%</t>
        </is>
      </c>
      <c r="F17" s="48" t="inlineStr">
        <is>
          <t>69</t>
        </is>
      </c>
      <c r="G17" s="47" t="inlineStr">
        <is>
          <t>Rapid revenue growth (72% YoY) signals strong product-market fit and expanding TAM capture. Revenue acceleration (26% QoQ) — growth is compounding, indicating an inflection point or expanding customer adoption. Exceptional capital discipline (-1% share growth over 3yr) — management avoids dilution, signaling confidence in organic cash generation. Fingerprint score of 69 — structural profile closely matches historical multi-bagger winners at their inflection points.</t>
        </is>
      </c>
    </row>
    <row r="18" ht="80" customHeight="1">
      <c r="A18" s="24" t="inlineStr">
        <is>
          <t>CEVA</t>
        </is>
      </c>
      <c r="B18" s="25" t="inlineStr">
        <is>
          <t>CEVA, Inc.</t>
        </is>
      </c>
      <c r="C18" s="25" t="inlineStr">
        <is>
          <t>Semiconductors</t>
        </is>
      </c>
      <c r="D18" s="50" t="inlineStr">
        <is>
          <t>Small Cap</t>
        </is>
      </c>
      <c r="E18" s="50" t="inlineStr">
        <is>
          <t>87%</t>
        </is>
      </c>
      <c r="F18" s="50" t="inlineStr">
        <is>
          <t>63</t>
        </is>
      </c>
      <c r="G18" s="51" t="inlineStr">
        <is>
          <t>Strong pricing power (GM 87%) suggests proprietary technology or IP-protected products with limited direct competition. Revenue acceleration (23% QoQ) — growth is compounding, indicating an inflection point or expanding customer adoption. Meaningful insider ownership (11%) — management has material personal stake in company performance. Semiconductor design/fab expertise represents years of R&amp;D investment — a significant moat against new entrants.</t>
        </is>
      </c>
    </row>
    <row r="19" ht="80" customHeight="1">
      <c r="A19" s="19" t="inlineStr">
        <is>
          <t>CMCO</t>
        </is>
      </c>
      <c r="B19" s="20" t="inlineStr">
        <is>
          <t>Columbus McKinnon Corporation</t>
        </is>
      </c>
      <c r="C19" s="20" t="inlineStr">
        <is>
          <t>Industrial - Machinery</t>
        </is>
      </c>
      <c r="D19" s="48" t="inlineStr">
        <is>
          <t>Small Cap</t>
        </is>
      </c>
      <c r="E19" s="48" t="inlineStr">
        <is>
          <t>28%</t>
        </is>
      </c>
      <c r="F19" s="48" t="inlineStr">
        <is>
          <t>72</t>
        </is>
      </c>
      <c r="G19" s="47" t="inlineStr">
        <is>
          <t>Moderate margins (GM 28%) — competitive market, but cost structure supports reinvestment. Rapid revenue growth (125% YoY) signals strong product-market fit and expanding TAM capture. Revenue acceleration (127% QoQ) — growth is compounding, indicating an inflection point or expanding customer adoption. Exceptional capital discipline (0% share growth over 3yr) — management avoids dilution, signaling confidence in organic cash generation. Fingerprint score of 72 — structural profile closely matches historical multi-bagger winners at their inflection points.</t>
        </is>
      </c>
    </row>
    <row r="20" ht="80" customHeight="1">
      <c r="A20" s="24" t="inlineStr">
        <is>
          <t>VPG</t>
        </is>
      </c>
      <c r="B20" s="25" t="inlineStr">
        <is>
          <t>Vishay Precision Group, Inc.</t>
        </is>
      </c>
      <c r="C20" s="25" t="inlineStr">
        <is>
          <t>Hardware, Equipment &amp; Parts</t>
        </is>
      </c>
      <c r="D20" s="50" t="inlineStr">
        <is>
          <t>Small Cap</t>
        </is>
      </c>
      <c r="E20" s="50" t="inlineStr">
        <is>
          <t>39%</t>
        </is>
      </c>
      <c r="F20" s="50" t="inlineStr">
        <is>
          <t>74</t>
        </is>
      </c>
      <c r="G20" s="51" t="inlineStr">
        <is>
          <t>Moderate margins (GM 39%) — competitive market, but cost structure supports reinvestment. Rapid revenue growth (124% YoY) signals strong product-market fit and expanding TAM capture. Revenue acceleration (127% QoQ) — growth is compounding, indicating an inflection point or expanding customer adoption. Exceptional capital discipline (-2% share growth over 3yr) — management avoids dilution, signaling confidence in organic cash generation. Meaningful insider ownership (19%) — management has material personal stake in company performance. Fingerprint score of 74 — structural profile closely matches historical multi-bagger winners at their inflection points.</t>
        </is>
      </c>
    </row>
    <row r="21" ht="80" customHeight="1">
      <c r="A21" s="19" t="inlineStr">
        <is>
          <t>MNTK</t>
        </is>
      </c>
      <c r="B21" s="20" t="inlineStr">
        <is>
          <t>Montauk Renewables, Inc.</t>
        </is>
      </c>
      <c r="C21" s="20" t="inlineStr">
        <is>
          <t>Industrial - Specialties</t>
        </is>
      </c>
      <c r="D21" s="48" t="inlineStr">
        <is>
          <t>Small Cap</t>
        </is>
      </c>
      <c r="E21" s="48" t="inlineStr">
        <is>
          <t>30%</t>
        </is>
      </c>
      <c r="F21" s="48" t="inlineStr">
        <is>
          <t>68</t>
        </is>
      </c>
      <c r="G21" s="47" t="inlineStr">
        <is>
          <t>Moderate margins (GM 30%) — competitive market, but cost structure supports reinvestment. Revenue acceleration (16% QoQ) — growth is compounding, indicating an inflection point or expanding customer adoption. Exceptional capital discipline (1% share growth over 3yr) — management avoids dilution, signaling confidence in organic cash generation. High insider ownership (71%) — founder/management skin in the game strongly aligns incentives with shareholders. Fingerprint score of 68 — structural profile closely matches historical multi-bagger winners at their inflection points.</t>
        </is>
      </c>
    </row>
    <row r="22" ht="80" customHeight="1">
      <c r="A22" s="24" t="inlineStr">
        <is>
          <t>EVLV</t>
        </is>
      </c>
      <c r="B22" s="25" t="inlineStr">
        <is>
          <t>Evolv Technologies Holdings, Inc.</t>
        </is>
      </c>
      <c r="C22" s="25" t="inlineStr">
        <is>
          <t>Security &amp; Protection Services</t>
        </is>
      </c>
      <c r="D22" s="50" t="inlineStr">
        <is>
          <t>Small Cap</t>
        </is>
      </c>
      <c r="E22" s="50" t="inlineStr">
        <is>
          <t>50%</t>
        </is>
      </c>
      <c r="F22" s="50" t="inlineStr">
        <is>
          <t>74</t>
        </is>
      </c>
      <c r="G22" s="51"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23" ht="80" customHeight="1">
      <c r="A23" s="19" t="inlineStr">
        <is>
          <t>ADTN</t>
        </is>
      </c>
      <c r="B23" s="20" t="inlineStr">
        <is>
          <t>ADTRAN Holdings Inc.</t>
        </is>
      </c>
      <c r="C23" s="20" t="inlineStr">
        <is>
          <t>Communication Equipment</t>
        </is>
      </c>
      <c r="D23" s="48" t="inlineStr">
        <is>
          <t>Small Cap</t>
        </is>
      </c>
      <c r="E23" s="48" t="inlineStr">
        <is>
          <t>37%</t>
        </is>
      </c>
      <c r="F23" s="48" t="inlineStr">
        <is>
          <t>77</t>
        </is>
      </c>
      <c r="G23" s="47" t="inlineStr">
        <is>
          <t>Moderate margins (GM 37%) — competitive market, but cost structure supports reinvestment. Exceptional capital discipline (3% share growth over 3yr) — management avoids dilution, signaling confidence in organic cash generation. Networking/communications infrastructure — installed base and switching costs create customer lock-in. Fingerprint score of 77 — structural profile closely matches historical multi-bagger winners at their inflection points.</t>
        </is>
      </c>
    </row>
    <row r="24" ht="80" customHeight="1">
      <c r="A24" s="24" t="inlineStr">
        <is>
          <t>SHLS</t>
        </is>
      </c>
      <c r="B24" s="25" t="inlineStr">
        <is>
          <t>Shoals Technologies Group, Inc.</t>
        </is>
      </c>
      <c r="C24" s="25" t="inlineStr">
        <is>
          <t>Solar</t>
        </is>
      </c>
      <c r="D24" s="50" t="inlineStr">
        <is>
          <t>Small Cap</t>
        </is>
      </c>
      <c r="E24" s="50" t="inlineStr">
        <is>
          <t>30%</t>
        </is>
      </c>
      <c r="F24" s="50" t="inlineStr">
        <is>
          <t>74</t>
        </is>
      </c>
      <c r="G24" s="51" t="inlineStr">
        <is>
          <t>Moderate margins (GM 30%) — competitive market, but cost structure supports reinvestment. Solid revenue growth (47% YoY) suggests growing demand and competitive positioning in target markets. Revenue acceleration (36%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25" ht="80" customHeight="1">
      <c r="A25" s="19" t="inlineStr">
        <is>
          <t>CE</t>
        </is>
      </c>
      <c r="B25" s="20" t="inlineStr">
        <is>
          <t>Celanese Corporation</t>
        </is>
      </c>
      <c r="C25" s="20" t="inlineStr">
        <is>
          <t>Chemicals</t>
        </is>
      </c>
      <c r="D25" s="48" t="inlineStr">
        <is>
          <t>Breakout</t>
        </is>
      </c>
      <c r="E25" s="48" t="inlineStr">
        <is>
          <t>22%</t>
        </is>
      </c>
      <c r="F25" s="48" t="inlineStr">
        <is>
          <t>74</t>
        </is>
      </c>
      <c r="G25" s="47" t="inlineStr">
        <is>
          <t>Revenue acceleration (13%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26" ht="80" customHeight="1">
      <c r="A26" s="24" t="inlineStr">
        <is>
          <t>CALX</t>
        </is>
      </c>
      <c r="B26" s="25" t="inlineStr">
        <is>
          <t>Calix, Inc.</t>
        </is>
      </c>
      <c r="C26" s="25" t="inlineStr">
        <is>
          <t>Communication Equipment</t>
        </is>
      </c>
      <c r="D26" s="50" t="inlineStr">
        <is>
          <t>Breakout</t>
        </is>
      </c>
      <c r="E26" s="50" t="inlineStr">
        <is>
          <t>55%</t>
        </is>
      </c>
      <c r="F26" s="50" t="inlineStr">
        <is>
          <t>84</t>
        </is>
      </c>
      <c r="G26" s="51"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27" ht="80" customHeight="1">
      <c r="A27" s="19" t="inlineStr">
        <is>
          <t>ADEA</t>
        </is>
      </c>
      <c r="B27" s="20" t="inlineStr">
        <is>
          <t>Adeia Inc.</t>
        </is>
      </c>
      <c r="C27" s="20" t="inlineStr">
        <is>
          <t>Software - Application</t>
        </is>
      </c>
      <c r="D27" s="48" t="inlineStr">
        <is>
          <t>Breakout</t>
        </is>
      </c>
      <c r="E27" s="48" t="inlineStr">
        <is>
          <t>26%</t>
        </is>
      </c>
      <c r="F27" s="48" t="inlineStr">
        <is>
          <t>80</t>
        </is>
      </c>
      <c r="G27" s="47" t="inlineStr">
        <is>
          <t>Moderate margins (GM 26%) — competitive market, but cost structure supports reinvestment. Revenue acceleration (14% QoQ) — growth is compounding, indicating an inflection point or expanding customer adoption. Reasonable capital discipline (3% 3yr dilution) — moderate equity issuance suggests funded growth without excessive shareholder dilution. Fingerprint score of 80 — structural profile closely matches historical multi-bagger winners at their inflection points.</t>
        </is>
      </c>
    </row>
    <row r="28" ht="80" customHeight="1">
      <c r="A28" s="24" t="inlineStr">
        <is>
          <t>DCI</t>
        </is>
      </c>
      <c r="B28" s="25" t="inlineStr">
        <is>
          <t>Donaldson Company, Inc.</t>
        </is>
      </c>
      <c r="C28" s="25" t="inlineStr">
        <is>
          <t>Industrial - Machinery</t>
        </is>
      </c>
      <c r="D28" s="50" t="inlineStr">
        <is>
          <t>Breakout</t>
        </is>
      </c>
      <c r="E28" s="50" t="inlineStr">
        <is>
          <t>36%</t>
        </is>
      </c>
      <c r="F28" s="50" t="inlineStr">
        <is>
          <t>79</t>
        </is>
      </c>
      <c r="G28" s="51" t="inlineStr">
        <is>
          <t>Moderate margins (GM 36%) — competitive market, but cost structure supports reinvestment. Exceptional capital discipline (-4% share growth over 3yr) — management avoids dilution, signaling confidence in organic cash generation. Fingerprint score of 79 — structural profile closely matches historical multi-bagger winners at their inflection points.</t>
        </is>
      </c>
    </row>
    <row r="29" ht="80" customHeight="1">
      <c r="A29" s="19" t="inlineStr">
        <is>
          <t>BCO</t>
        </is>
      </c>
      <c r="B29" s="20" t="inlineStr">
        <is>
          <t>The Brink's Company</t>
        </is>
      </c>
      <c r="C29" s="20" t="inlineStr">
        <is>
          <t>Security &amp; Protection Services</t>
        </is>
      </c>
      <c r="D29" s="48" t="inlineStr">
        <is>
          <t>Breakout</t>
        </is>
      </c>
      <c r="E29" s="48" t="inlineStr">
        <is>
          <t>26%</t>
        </is>
      </c>
      <c r="F29" s="48" t="inlineStr">
        <is>
          <t>72</t>
        </is>
      </c>
      <c r="G29" s="47" t="inlineStr">
        <is>
          <t>Moderate margins (GM 26%) — competitive market, but cost structure supports reinvestment. Exceptional capital discipline (-11% share growth over 3yr) — management avoids dilution, signaling confidence in organic cash generation. Fingerprint score of 72 — structural profile closely matches historical multi-bagger winners at their inflection points.</t>
        </is>
      </c>
    </row>
    <row r="30" ht="80" customHeight="1">
      <c r="A30" s="24" t="inlineStr">
        <is>
          <t>NOVTU</t>
        </is>
      </c>
      <c r="B30" s="25" t="inlineStr">
        <is>
          <t>Novanta Inc. Tangible Equity Units</t>
        </is>
      </c>
      <c r="C30" s="25" t="inlineStr">
        <is>
          <t>Hardware, Equipment &amp; Parts</t>
        </is>
      </c>
      <c r="D30" s="50" t="inlineStr">
        <is>
          <t>Breakout</t>
        </is>
      </c>
      <c r="E30" s="50" t="inlineStr">
        <is>
          <t>43%</t>
        </is>
      </c>
      <c r="F30" s="50" t="inlineStr">
        <is>
          <t>63</t>
        </is>
      </c>
      <c r="G30" s="51" t="inlineStr">
        <is>
          <t>Healthy margins (GM 43%) indicate differentiated products with some pricing power above commodity levels.</t>
        </is>
      </c>
    </row>
    <row r="31" ht="80" customHeight="1">
      <c r="A31" s="19" t="inlineStr">
        <is>
          <t>CACI</t>
        </is>
      </c>
      <c r="B31" s="20" t="inlineStr">
        <is>
          <t>CACI International Inc</t>
        </is>
      </c>
      <c r="C31" s="20" t="inlineStr">
        <is>
          <t>Information Technology Services</t>
        </is>
      </c>
      <c r="D31" s="48" t="inlineStr">
        <is>
          <t>Breakout</t>
        </is>
      </c>
      <c r="E31" s="48" t="inlineStr">
        <is>
          <t>34%</t>
        </is>
      </c>
      <c r="F31" s="48" t="inlineStr">
        <is>
          <t>80</t>
        </is>
      </c>
      <c r="G31" s="47" t="inlineStr">
        <is>
          <t>Moderate margins (GM 34%) — competitive market, but cost structure supports reinvestment. Exceptional capital discipline (-2% share growth over 3yr) — management avoids dilution, signaling confidence in organic cash generation. Fingerprint score of 80 — structural profile closely matches historical multi-bagger winners at their inflection points.</t>
        </is>
      </c>
    </row>
    <row r="32" ht="80" customHeight="1">
      <c r="A32" s="24" t="inlineStr">
        <is>
          <t>RAL</t>
        </is>
      </c>
      <c r="B32" s="25" t="inlineStr">
        <is>
          <t>Ralliant Corp</t>
        </is>
      </c>
      <c r="C32" s="25" t="inlineStr">
        <is>
          <t>Hardware, Equipment &amp; Parts</t>
        </is>
      </c>
      <c r="D32" s="50" t="inlineStr">
        <is>
          <t>Breakout</t>
        </is>
      </c>
      <c r="E32" s="50" t="inlineStr">
        <is>
          <t>52%</t>
        </is>
      </c>
      <c r="F32" s="50" t="inlineStr">
        <is>
          <t>60</t>
        </is>
      </c>
      <c r="G32" s="51" t="inlineStr">
        <is>
          <t>Healthy margins (GM 52%) indicate differentiated products with some pricing power above commodity levels. Revenue acceleration (18% QoQ) — growth is compounding, indicating an inflection point or expanding customer adoption. Exceptional capital discipline (-1% share growth over 3yr) — management avoids dilution, signaling confidence in organic cash generation.</t>
        </is>
      </c>
    </row>
    <row r="33" ht="80" customHeight="1">
      <c r="A33" s="19" t="inlineStr">
        <is>
          <t>BDC</t>
        </is>
      </c>
      <c r="B33" s="20" t="inlineStr">
        <is>
          <t>Belden Inc.</t>
        </is>
      </c>
      <c r="C33" s="20" t="inlineStr">
        <is>
          <t>Communication Equipment</t>
        </is>
      </c>
      <c r="D33" s="48" t="inlineStr">
        <is>
          <t>Breakout</t>
        </is>
      </c>
      <c r="E33" s="48" t="inlineStr">
        <is>
          <t>39%</t>
        </is>
      </c>
      <c r="F33" s="48" t="inlineStr">
        <is>
          <t>67</t>
        </is>
      </c>
      <c r="G33" s="47" t="inlineStr">
        <is>
          <t>Moderate margins (GM 39%) — competitive market, but cost structure supports reinvestment. Exceptional capital discipline (-7% share growth over 3yr) — management avoids dilution, signaling confidence in organic cash generation. Networking/communications infrastructure — installed base and switching costs create customer lock-in. Fingerprint score of 67 — structural profile closely matches historical multi-bagger winners at their inflection points.</t>
        </is>
      </c>
    </row>
    <row r="34" ht="80" customHeight="1">
      <c r="A34" s="24" t="inlineStr">
        <is>
          <t>KD</t>
        </is>
      </c>
      <c r="B34" s="25" t="inlineStr">
        <is>
          <t>Kyndryl Holdings, Inc.</t>
        </is>
      </c>
      <c r="C34" s="25" t="inlineStr">
        <is>
          <t>Information Technology Services</t>
        </is>
      </c>
      <c r="D34" s="50" t="inlineStr">
        <is>
          <t>Breakout</t>
        </is>
      </c>
      <c r="E34" s="50" t="inlineStr">
        <is>
          <t>22%</t>
        </is>
      </c>
      <c r="F34" s="50" t="inlineStr">
        <is>
          <t>62</t>
        </is>
      </c>
      <c r="G34" s="51" t="inlineStr">
        <is>
          <t>Rapid revenue growth (303% YoY) signals strong product-market fit and expanding TAM capture. Revenue acceleration (303% QoQ) — growth is compounding, indicating an inflection point or expanding customer adoption. Exceptional capital discipline (-0% share growth over 3yr) — management avoids dilution, signaling confidence in organic cash generation.</t>
        </is>
      </c>
    </row>
  </sheetData>
  <autoFilter ref="A4:G3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5" t="inlineStr">
        <is>
          <t>🏆 Highest Score</t>
        </is>
      </c>
      <c r="C4" s="17" t="n"/>
      <c r="D4" s="17" t="n"/>
      <c r="E4" s="17" t="n"/>
      <c r="F4" s="17" t="n"/>
      <c r="G4" s="56" t="n"/>
      <c r="I4" s="55" t="inlineStr">
        <is>
          <t>🔒 Lowest Dilution</t>
        </is>
      </c>
      <c r="J4" s="17" t="n"/>
      <c r="K4" s="17" t="n"/>
      <c r="L4" s="17" t="n"/>
      <c r="M4" s="17" t="n"/>
      <c r="N4" s="56" t="n"/>
    </row>
    <row r="5" ht="18" customHeight="1">
      <c r="B5" s="57" t="inlineStr">
        <is>
          <t>Rank</t>
        </is>
      </c>
      <c r="C5" s="18" t="inlineStr">
        <is>
          <t>Ticker</t>
        </is>
      </c>
      <c r="D5" s="18" t="inlineStr">
        <is>
          <t>Company</t>
        </is>
      </c>
      <c r="E5" s="18" t="inlineStr">
        <is>
          <t>Score</t>
        </is>
      </c>
      <c r="F5" s="18" t="inlineStr">
        <is>
          <t>Tier</t>
        </is>
      </c>
      <c r="G5" s="58" t="inlineStr">
        <is>
          <t>Score</t>
        </is>
      </c>
      <c r="I5" s="57" t="inlineStr">
        <is>
          <t>Rank</t>
        </is>
      </c>
      <c r="J5" s="18" t="inlineStr">
        <is>
          <t>Ticker</t>
        </is>
      </c>
      <c r="K5" s="18" t="inlineStr">
        <is>
          <t>Company</t>
        </is>
      </c>
      <c r="L5" s="18" t="inlineStr">
        <is>
          <t>Dil %</t>
        </is>
      </c>
      <c r="M5" s="18" t="inlineStr">
        <is>
          <t>Tier</t>
        </is>
      </c>
      <c r="N5" s="58" t="inlineStr">
        <is>
          <t>Score</t>
        </is>
      </c>
    </row>
    <row r="6" ht="16" customHeight="1">
      <c r="B6" s="59" t="inlineStr">
        <is>
          <t>🥇</t>
        </is>
      </c>
      <c r="C6" s="19" t="inlineStr">
        <is>
          <t>SWBI</t>
        </is>
      </c>
      <c r="D6" s="20" t="inlineStr">
        <is>
          <t>Smith &amp; Wesson Brands, Inc.</t>
        </is>
      </c>
      <c r="E6" s="36" t="n">
        <v>70</v>
      </c>
      <c r="F6" s="48" t="inlineStr">
        <is>
          <t>Small Cap</t>
        </is>
      </c>
      <c r="G6" s="60" t="n">
        <v>70</v>
      </c>
      <c r="I6" s="59" t="inlineStr">
        <is>
          <t>🥇</t>
        </is>
      </c>
      <c r="J6" s="19" t="inlineStr">
        <is>
          <t>BCO</t>
        </is>
      </c>
      <c r="K6" s="20" t="inlineStr">
        <is>
          <t>The Brink's Company</t>
        </is>
      </c>
      <c r="L6" s="36" t="n">
        <v>-11</v>
      </c>
      <c r="M6" s="48" t="inlineStr">
        <is>
          <t>Breakout</t>
        </is>
      </c>
      <c r="N6" s="60" t="n">
        <v>57.8</v>
      </c>
    </row>
    <row r="7" ht="16" customHeight="1">
      <c r="B7" s="61" t="inlineStr">
        <is>
          <t>🥈</t>
        </is>
      </c>
      <c r="C7" s="24" t="inlineStr">
        <is>
          <t>CE</t>
        </is>
      </c>
      <c r="D7" s="25" t="inlineStr">
        <is>
          <t>Celanese Corporation</t>
        </is>
      </c>
      <c r="E7" s="42" t="n">
        <v>68.90000000000001</v>
      </c>
      <c r="F7" s="50" t="inlineStr">
        <is>
          <t>Breakout</t>
        </is>
      </c>
      <c r="G7" s="62" t="n">
        <v>68.90000000000001</v>
      </c>
      <c r="I7" s="61" t="inlineStr">
        <is>
          <t>🥈</t>
        </is>
      </c>
      <c r="J7" s="24" t="inlineStr">
        <is>
          <t>BDC</t>
        </is>
      </c>
      <c r="K7" s="25" t="inlineStr">
        <is>
          <t>Belden Inc.</t>
        </is>
      </c>
      <c r="L7" s="42" t="n">
        <v>-7.4</v>
      </c>
      <c r="M7" s="50" t="inlineStr">
        <is>
          <t>Breakout</t>
        </is>
      </c>
      <c r="N7" s="62" t="n">
        <v>57.4</v>
      </c>
    </row>
    <row r="8" ht="16" customHeight="1">
      <c r="B8" s="59" t="inlineStr">
        <is>
          <t>🥉</t>
        </is>
      </c>
      <c r="C8" s="19" t="inlineStr">
        <is>
          <t>CALX</t>
        </is>
      </c>
      <c r="D8" s="20" t="inlineStr">
        <is>
          <t>Calix, Inc.</t>
        </is>
      </c>
      <c r="E8" s="36" t="n">
        <v>68.59999999999999</v>
      </c>
      <c r="F8" s="48" t="inlineStr">
        <is>
          <t>Breakout</t>
        </is>
      </c>
      <c r="G8" s="60" t="n">
        <v>68.59999999999999</v>
      </c>
      <c r="I8" s="59" t="inlineStr">
        <is>
          <t>🥉</t>
        </is>
      </c>
      <c r="J8" s="19" t="inlineStr">
        <is>
          <t>CALX</t>
        </is>
      </c>
      <c r="K8" s="20" t="inlineStr">
        <is>
          <t>Calix, Inc.</t>
        </is>
      </c>
      <c r="L8" s="36" t="n">
        <v>-4.2</v>
      </c>
      <c r="M8" s="48" t="inlineStr">
        <is>
          <t>Breakout</t>
        </is>
      </c>
      <c r="N8" s="60" t="n">
        <v>68.59999999999999</v>
      </c>
    </row>
    <row r="9" ht="16" customHeight="1">
      <c r="B9" s="61" t="inlineStr">
        <is>
          <t>4th</t>
        </is>
      </c>
      <c r="C9" s="24" t="inlineStr">
        <is>
          <t>AISP</t>
        </is>
      </c>
      <c r="D9" s="25" t="inlineStr">
        <is>
          <t>Airship AI Holdings, Inc.</t>
        </is>
      </c>
      <c r="E9" s="42" t="n">
        <v>67</v>
      </c>
      <c r="F9" s="50" t="inlineStr">
        <is>
          <t>Nano Cap</t>
        </is>
      </c>
      <c r="G9" s="62" t="n">
        <v>67</v>
      </c>
      <c r="I9" s="61" t="inlineStr">
        <is>
          <t>4th</t>
        </is>
      </c>
      <c r="J9" s="24" t="inlineStr">
        <is>
          <t>DCI</t>
        </is>
      </c>
      <c r="K9" s="25" t="inlineStr">
        <is>
          <t>Donaldson Company, Inc.</t>
        </is>
      </c>
      <c r="L9" s="42" t="n">
        <v>-4.2</v>
      </c>
      <c r="M9" s="50" t="inlineStr">
        <is>
          <t>Breakout</t>
        </is>
      </c>
      <c r="N9" s="62" t="n">
        <v>59.6</v>
      </c>
    </row>
    <row r="10" ht="16" customHeight="1">
      <c r="B10" s="59" t="inlineStr">
        <is>
          <t>5th</t>
        </is>
      </c>
      <c r="C10" s="19" t="inlineStr">
        <is>
          <t>KVHI</t>
        </is>
      </c>
      <c r="D10" s="20" t="inlineStr">
        <is>
          <t>KVH Industries, Inc.</t>
        </is>
      </c>
      <c r="E10" s="36" t="n">
        <v>66.59999999999999</v>
      </c>
      <c r="F10" s="48" t="inlineStr">
        <is>
          <t>Nano Cap</t>
        </is>
      </c>
      <c r="G10" s="60" t="n">
        <v>66.59999999999999</v>
      </c>
      <c r="I10" s="59" t="inlineStr">
        <is>
          <t>5th</t>
        </is>
      </c>
      <c r="J10" s="19" t="inlineStr">
        <is>
          <t>SWBI</t>
        </is>
      </c>
      <c r="K10" s="20" t="inlineStr">
        <is>
          <t>Smith &amp; Wesson Brands, Inc.</t>
        </is>
      </c>
      <c r="L10" s="36" t="n">
        <v>-2.6</v>
      </c>
      <c r="M10" s="48" t="inlineStr">
        <is>
          <t>Small Cap</t>
        </is>
      </c>
      <c r="N10" s="60" t="n">
        <v>70</v>
      </c>
    </row>
    <row r="12" ht="22" customHeight="1">
      <c r="B12" s="55" t="inlineStr">
        <is>
          <t>🧬 Best Fingerprint</t>
        </is>
      </c>
      <c r="C12" s="17" t="n"/>
      <c r="D12" s="17" t="n"/>
      <c r="E12" s="17" t="n"/>
      <c r="F12" s="17" t="n"/>
      <c r="G12" s="56" t="n"/>
      <c r="I12" s="55" t="inlineStr">
        <is>
          <t>👤 Highest Insider</t>
        </is>
      </c>
      <c r="J12" s="17" t="n"/>
      <c r="K12" s="17" t="n"/>
      <c r="L12" s="17" t="n"/>
      <c r="M12" s="17" t="n"/>
      <c r="N12" s="56" t="n"/>
    </row>
    <row r="13" ht="18" customHeight="1">
      <c r="B13" s="57" t="inlineStr">
        <is>
          <t>Rank</t>
        </is>
      </c>
      <c r="C13" s="18" t="inlineStr">
        <is>
          <t>Ticker</t>
        </is>
      </c>
      <c r="D13" s="18" t="inlineStr">
        <is>
          <t>Company</t>
        </is>
      </c>
      <c r="E13" s="18" t="inlineStr">
        <is>
          <t>FP Score</t>
        </is>
      </c>
      <c r="F13" s="18" t="inlineStr">
        <is>
          <t>Tier</t>
        </is>
      </c>
      <c r="G13" s="58" t="inlineStr">
        <is>
          <t>Score</t>
        </is>
      </c>
      <c r="I13" s="57" t="inlineStr">
        <is>
          <t>Rank</t>
        </is>
      </c>
      <c r="J13" s="18" t="inlineStr">
        <is>
          <t>Ticker</t>
        </is>
      </c>
      <c r="K13" s="18" t="inlineStr">
        <is>
          <t>Company</t>
        </is>
      </c>
      <c r="L13" s="18" t="inlineStr">
        <is>
          <t>Insider %</t>
        </is>
      </c>
      <c r="M13" s="18" t="inlineStr">
        <is>
          <t>Tier</t>
        </is>
      </c>
      <c r="N13" s="58" t="inlineStr">
        <is>
          <t>Score</t>
        </is>
      </c>
    </row>
    <row r="14" ht="16" customHeight="1">
      <c r="B14" s="59" t="inlineStr">
        <is>
          <t>🥇</t>
        </is>
      </c>
      <c r="C14" s="19" t="inlineStr">
        <is>
          <t>GHM</t>
        </is>
      </c>
      <c r="D14" s="20" t="inlineStr">
        <is>
          <t>Graham Corporation</t>
        </is>
      </c>
      <c r="E14" s="36" t="n">
        <v>88.40000000000001</v>
      </c>
      <c r="F14" s="48" t="inlineStr">
        <is>
          <t>Small Cap</t>
        </is>
      </c>
      <c r="G14" s="60" t="n">
        <v>63.6</v>
      </c>
      <c r="I14" s="59" t="inlineStr">
        <is>
          <t>🥇</t>
        </is>
      </c>
      <c r="J14" s="19" t="inlineStr">
        <is>
          <t>ROC</t>
        </is>
      </c>
      <c r="K14" s="20" t="inlineStr">
        <is>
          <t>Rank One Computing Corp.</t>
        </is>
      </c>
      <c r="L14" s="36" t="n">
        <v>71.8</v>
      </c>
      <c r="M14" s="48" t="inlineStr">
        <is>
          <t>Nano Cap</t>
        </is>
      </c>
      <c r="N14" s="60" t="n">
        <v>54.2</v>
      </c>
    </row>
    <row r="15" ht="16" customHeight="1">
      <c r="B15" s="61" t="inlineStr">
        <is>
          <t>🥈</t>
        </is>
      </c>
      <c r="C15" s="24" t="inlineStr">
        <is>
          <t>SWBI</t>
        </is>
      </c>
      <c r="D15" s="25" t="inlineStr">
        <is>
          <t>Smith &amp; Wesson Brands, Inc.</t>
        </is>
      </c>
      <c r="E15" s="42" t="n">
        <v>85.40000000000001</v>
      </c>
      <c r="F15" s="50" t="inlineStr">
        <is>
          <t>Small Cap</t>
        </is>
      </c>
      <c r="G15" s="62" t="n">
        <v>70</v>
      </c>
      <c r="I15" s="61" t="inlineStr">
        <is>
          <t>🥈</t>
        </is>
      </c>
      <c r="J15" s="24" t="inlineStr">
        <is>
          <t>MNTK</t>
        </is>
      </c>
      <c r="K15" s="25" t="inlineStr">
        <is>
          <t>Montauk Renewables, Inc.</t>
        </is>
      </c>
      <c r="L15" s="42" t="n">
        <v>70.7</v>
      </c>
      <c r="M15" s="50" t="inlineStr">
        <is>
          <t>Small Cap</t>
        </is>
      </c>
      <c r="N15" s="62" t="n">
        <v>58.4</v>
      </c>
    </row>
    <row r="16" ht="16" customHeight="1">
      <c r="B16" s="59" t="inlineStr">
        <is>
          <t>🥉</t>
        </is>
      </c>
      <c r="C16" s="19" t="inlineStr">
        <is>
          <t>CALX</t>
        </is>
      </c>
      <c r="D16" s="20" t="inlineStr">
        <is>
          <t>Calix, Inc.</t>
        </is>
      </c>
      <c r="E16" s="36" t="n">
        <v>83.90000000000001</v>
      </c>
      <c r="F16" s="48" t="inlineStr">
        <is>
          <t>Breakout</t>
        </is>
      </c>
      <c r="G16" s="60" t="n">
        <v>68.59999999999999</v>
      </c>
      <c r="I16" s="59" t="inlineStr">
        <is>
          <t>🥉</t>
        </is>
      </c>
      <c r="J16" s="19" t="inlineStr">
        <is>
          <t>LAW</t>
        </is>
      </c>
      <c r="K16" s="20" t="inlineStr">
        <is>
          <t>CS Disco, Inc.</t>
        </is>
      </c>
      <c r="L16" s="36" t="n">
        <v>57</v>
      </c>
      <c r="M16" s="48" t="inlineStr">
        <is>
          <t>Nano Cap</t>
        </is>
      </c>
      <c r="N16" s="60" t="n">
        <v>59.8</v>
      </c>
    </row>
    <row r="17" ht="16" customHeight="1">
      <c r="B17" s="61" t="inlineStr">
        <is>
          <t>4th</t>
        </is>
      </c>
      <c r="C17" s="24" t="inlineStr">
        <is>
          <t>CACI</t>
        </is>
      </c>
      <c r="D17" s="25" t="inlineStr">
        <is>
          <t>CACI International Inc</t>
        </is>
      </c>
      <c r="E17" s="42" t="n">
        <v>79.59999999999999</v>
      </c>
      <c r="F17" s="50" t="inlineStr">
        <is>
          <t>Breakout</t>
        </is>
      </c>
      <c r="G17" s="62" t="n">
        <v>57.7</v>
      </c>
      <c r="I17" s="61" t="inlineStr">
        <is>
          <t>4th</t>
        </is>
      </c>
      <c r="J17" s="24" t="inlineStr">
        <is>
          <t>KVHI</t>
        </is>
      </c>
      <c r="K17" s="25" t="inlineStr">
        <is>
          <t>KVH Industries, Inc.</t>
        </is>
      </c>
      <c r="L17" s="42" t="n">
        <v>35</v>
      </c>
      <c r="M17" s="50" t="inlineStr">
        <is>
          <t>Nano Cap</t>
        </is>
      </c>
      <c r="N17" s="62" t="n">
        <v>66.59999999999999</v>
      </c>
    </row>
    <row r="18" ht="16" customHeight="1">
      <c r="B18" s="59" t="inlineStr">
        <is>
          <t>5th</t>
        </is>
      </c>
      <c r="C18" s="19" t="inlineStr">
        <is>
          <t>ADEA</t>
        </is>
      </c>
      <c r="D18" s="20" t="inlineStr">
        <is>
          <t>Adeia Inc.</t>
        </is>
      </c>
      <c r="E18" s="36" t="n">
        <v>79.5</v>
      </c>
      <c r="F18" s="48" t="inlineStr">
        <is>
          <t>Breakout</t>
        </is>
      </c>
      <c r="G18" s="60" t="n">
        <v>61.8</v>
      </c>
      <c r="I18" s="59" t="inlineStr">
        <is>
          <t>5th</t>
        </is>
      </c>
      <c r="J18" s="19" t="inlineStr">
        <is>
          <t>LNSR</t>
        </is>
      </c>
      <c r="K18" s="20" t="inlineStr">
        <is>
          <t>LENSAR Inc</t>
        </is>
      </c>
      <c r="L18" s="36" t="n">
        <v>29.1</v>
      </c>
      <c r="M18" s="48" t="inlineStr">
        <is>
          <t>Nano Cap</t>
        </is>
      </c>
      <c r="N18" s="60" t="n">
        <v>50.1</v>
      </c>
    </row>
    <row r="20" ht="22" customHeight="1">
      <c r="B20" s="55" t="inlineStr">
        <is>
          <t>🚀 Fastest Growth</t>
        </is>
      </c>
      <c r="C20" s="17" t="n"/>
      <c r="D20" s="17" t="n"/>
      <c r="E20" s="17" t="n"/>
      <c r="F20" s="17" t="n"/>
      <c r="G20" s="56" t="n"/>
      <c r="I20" s="55" t="inlineStr">
        <is>
          <t>🔬 Smallest Cap</t>
        </is>
      </c>
      <c r="J20" s="17" t="n"/>
      <c r="K20" s="17" t="n"/>
      <c r="L20" s="17" t="n"/>
      <c r="M20" s="17" t="n"/>
      <c r="N20" s="56" t="n"/>
    </row>
    <row r="21" ht="18" customHeight="1">
      <c r="B21" s="57" t="inlineStr">
        <is>
          <t>Rank</t>
        </is>
      </c>
      <c r="C21" s="18" t="inlineStr">
        <is>
          <t>Ticker</t>
        </is>
      </c>
      <c r="D21" s="18" t="inlineStr">
        <is>
          <t>Company</t>
        </is>
      </c>
      <c r="E21" s="18" t="inlineStr">
        <is>
          <t>Rev Gr %</t>
        </is>
      </c>
      <c r="F21" s="18" t="inlineStr">
        <is>
          <t>Tier</t>
        </is>
      </c>
      <c r="G21" s="58" t="inlineStr">
        <is>
          <t>Score</t>
        </is>
      </c>
      <c r="I21" s="57" t="inlineStr">
        <is>
          <t>Rank</t>
        </is>
      </c>
      <c r="J21" s="18" t="inlineStr">
        <is>
          <t>Ticker</t>
        </is>
      </c>
      <c r="K21" s="18" t="inlineStr">
        <is>
          <t>Company</t>
        </is>
      </c>
      <c r="L21" s="18" t="inlineStr">
        <is>
          <t>Mkt Cap</t>
        </is>
      </c>
      <c r="M21" s="18" t="inlineStr">
        <is>
          <t>Tier</t>
        </is>
      </c>
      <c r="N21" s="58" t="inlineStr">
        <is>
          <t>Score</t>
        </is>
      </c>
    </row>
    <row r="22" ht="16" customHeight="1">
      <c r="B22" s="59" t="inlineStr">
        <is>
          <t>🥇</t>
        </is>
      </c>
      <c r="C22" s="19" t="inlineStr">
        <is>
          <t>KD</t>
        </is>
      </c>
      <c r="D22" s="20" t="inlineStr">
        <is>
          <t>Kyndryl Holdings, Inc.</t>
        </is>
      </c>
      <c r="E22" s="36" t="n">
        <v>303.2</v>
      </c>
      <c r="F22" s="48" t="inlineStr">
        <is>
          <t>Breakout</t>
        </is>
      </c>
      <c r="G22" s="60" t="n">
        <v>55.2</v>
      </c>
      <c r="I22" s="59" t="inlineStr">
        <is>
          <t>🥇</t>
        </is>
      </c>
      <c r="J22" s="19" t="inlineStr">
        <is>
          <t>AISP</t>
        </is>
      </c>
      <c r="K22" s="20" t="inlineStr">
        <is>
          <t>Airship AI Holdings, Inc.</t>
        </is>
      </c>
      <c r="L22" s="21" t="n">
        <v>71.8</v>
      </c>
      <c r="M22" s="48" t="inlineStr">
        <is>
          <t>Nano Cap</t>
        </is>
      </c>
      <c r="N22" s="60" t="n">
        <v>67</v>
      </c>
    </row>
    <row r="23" ht="16" customHeight="1">
      <c r="B23" s="61" t="inlineStr">
        <is>
          <t>🥈</t>
        </is>
      </c>
      <c r="C23" s="24" t="inlineStr">
        <is>
          <t>CMCO</t>
        </is>
      </c>
      <c r="D23" s="25" t="inlineStr">
        <is>
          <t>Columbus McKinnon Corporation</t>
        </is>
      </c>
      <c r="E23" s="42" t="n">
        <v>125.3</v>
      </c>
      <c r="F23" s="50" t="inlineStr">
        <is>
          <t>Small Cap</t>
        </is>
      </c>
      <c r="G23" s="62" t="n">
        <v>60.8</v>
      </c>
      <c r="I23" s="61" t="inlineStr">
        <is>
          <t>🥈</t>
        </is>
      </c>
      <c r="J23" s="24" t="inlineStr">
        <is>
          <t>ROC</t>
        </is>
      </c>
      <c r="K23" s="25" t="inlineStr">
        <is>
          <t>Rank One Computing Corp.</t>
        </is>
      </c>
      <c r="L23" s="26" t="n">
        <v>79.8</v>
      </c>
      <c r="M23" s="50" t="inlineStr">
        <is>
          <t>Nano Cap</t>
        </is>
      </c>
      <c r="N23" s="62" t="n">
        <v>54.2</v>
      </c>
    </row>
    <row r="24" ht="16" customHeight="1">
      <c r="B24" s="59" t="inlineStr">
        <is>
          <t>🥉</t>
        </is>
      </c>
      <c r="C24" s="19" t="inlineStr">
        <is>
          <t>VPG</t>
        </is>
      </c>
      <c r="D24" s="20" t="inlineStr">
        <is>
          <t>Vishay Precision Group, Inc.</t>
        </is>
      </c>
      <c r="E24" s="36" t="n">
        <v>123.9</v>
      </c>
      <c r="F24" s="48" t="inlineStr">
        <is>
          <t>Small Cap</t>
        </is>
      </c>
      <c r="G24" s="60" t="n">
        <v>59.1</v>
      </c>
      <c r="I24" s="59" t="inlineStr">
        <is>
          <t>🥉</t>
        </is>
      </c>
      <c r="J24" s="19" t="inlineStr">
        <is>
          <t>LNSR</t>
        </is>
      </c>
      <c r="K24" s="20" t="inlineStr">
        <is>
          <t>LENSAR Inc</t>
        </is>
      </c>
      <c r="L24" s="21" t="n">
        <v>105.5</v>
      </c>
      <c r="M24" s="48" t="inlineStr">
        <is>
          <t>Nano Cap</t>
        </is>
      </c>
      <c r="N24" s="60" t="n">
        <v>50.1</v>
      </c>
    </row>
    <row r="25" ht="16" customHeight="1">
      <c r="B25" s="61" t="inlineStr">
        <is>
          <t>4th</t>
        </is>
      </c>
      <c r="C25" s="24" t="inlineStr">
        <is>
          <t>ROC</t>
        </is>
      </c>
      <c r="D25" s="25" t="inlineStr">
        <is>
          <t>Rank One Computing Corp.</t>
        </is>
      </c>
      <c r="E25" s="42" t="n">
        <v>92.7</v>
      </c>
      <c r="F25" s="50" t="inlineStr">
        <is>
          <t>Nano Cap</t>
        </is>
      </c>
      <c r="G25" s="62" t="n">
        <v>54.2</v>
      </c>
      <c r="I25" s="61" t="inlineStr">
        <is>
          <t>4th</t>
        </is>
      </c>
      <c r="J25" s="24" t="inlineStr">
        <is>
          <t>RFIL</t>
        </is>
      </c>
      <c r="K25" s="25" t="inlineStr">
        <is>
          <t>RF Industries, Ltd.</t>
        </is>
      </c>
      <c r="L25" s="26" t="n">
        <v>117.2</v>
      </c>
      <c r="M25" s="50" t="inlineStr">
        <is>
          <t>Nano Cap</t>
        </is>
      </c>
      <c r="N25" s="62" t="n">
        <v>62.1</v>
      </c>
    </row>
    <row r="26" ht="16" customHeight="1">
      <c r="B26" s="59" t="inlineStr">
        <is>
          <t>5th</t>
        </is>
      </c>
      <c r="C26" s="19" t="inlineStr">
        <is>
          <t>AISP</t>
        </is>
      </c>
      <c r="D26" s="20" t="inlineStr">
        <is>
          <t>Airship AI Holdings, Inc.</t>
        </is>
      </c>
      <c r="E26" s="36" t="n">
        <v>92.09999999999999</v>
      </c>
      <c r="F26" s="48" t="inlineStr">
        <is>
          <t>Nano Cap</t>
        </is>
      </c>
      <c r="G26" s="60" t="n">
        <v>67</v>
      </c>
      <c r="I26" s="59" t="inlineStr">
        <is>
          <t>5th</t>
        </is>
      </c>
      <c r="J26" s="19" t="inlineStr">
        <is>
          <t>KVHI</t>
        </is>
      </c>
      <c r="K26" s="20" t="inlineStr">
        <is>
          <t>KVH Industries, Inc.</t>
        </is>
      </c>
      <c r="L26" s="21" t="n">
        <v>138.8</v>
      </c>
      <c r="M26" s="48" t="inlineStr">
        <is>
          <t>Nano Cap</t>
        </is>
      </c>
      <c r="N26" s="60" t="n">
        <v>66.59999999999999</v>
      </c>
    </row>
    <row r="28" ht="22" customHeight="1">
      <c r="B28" s="55" t="inlineStr">
        <is>
          <t>📈 Best Momentum</t>
        </is>
      </c>
      <c r="C28" s="17" t="n"/>
      <c r="D28" s="17" t="n"/>
      <c r="E28" s="17" t="n"/>
      <c r="F28" s="17" t="n"/>
      <c r="G28" s="56" t="n"/>
    </row>
    <row r="29" ht="18" customHeight="1">
      <c r="B29" s="57" t="inlineStr">
        <is>
          <t>Rank</t>
        </is>
      </c>
      <c r="C29" s="18" t="inlineStr">
        <is>
          <t>Ticker</t>
        </is>
      </c>
      <c r="D29" s="18" t="inlineStr">
        <is>
          <t>Company</t>
        </is>
      </c>
      <c r="E29" s="18" t="inlineStr">
        <is>
          <t>3M %</t>
        </is>
      </c>
      <c r="F29" s="18" t="inlineStr">
        <is>
          <t>Tier</t>
        </is>
      </c>
      <c r="G29" s="58" t="inlineStr">
        <is>
          <t>Score</t>
        </is>
      </c>
    </row>
    <row r="30" ht="16" customHeight="1">
      <c r="B30" s="59" t="inlineStr">
        <is>
          <t>🥇</t>
        </is>
      </c>
      <c r="C30" s="19" t="inlineStr">
        <is>
          <t>LNSR</t>
        </is>
      </c>
      <c r="D30" s="20" t="inlineStr">
        <is>
          <t>LENSAR Inc</t>
        </is>
      </c>
      <c r="E30" s="36" t="n">
        <v>53.57143</v>
      </c>
      <c r="F30" s="48" t="inlineStr">
        <is>
          <t>Nano Cap</t>
        </is>
      </c>
      <c r="G30" s="60" t="n">
        <v>50.1</v>
      </c>
    </row>
    <row r="31" ht="16" customHeight="1">
      <c r="B31" s="61" t="inlineStr">
        <is>
          <t>🥈</t>
        </is>
      </c>
      <c r="C31" s="24" t="inlineStr">
        <is>
          <t>CMCO</t>
        </is>
      </c>
      <c r="D31" s="25" t="inlineStr">
        <is>
          <t>Columbus McKinnon Corporation</t>
        </is>
      </c>
      <c r="E31" s="42" t="n">
        <v>50.08026</v>
      </c>
      <c r="F31" s="50" t="inlineStr">
        <is>
          <t>Small Cap</t>
        </is>
      </c>
      <c r="G31" s="62" t="n">
        <v>60.8</v>
      </c>
    </row>
    <row r="32" ht="16" customHeight="1">
      <c r="B32" s="59" t="inlineStr">
        <is>
          <t>🥉</t>
        </is>
      </c>
      <c r="C32" s="19" t="inlineStr">
        <is>
          <t>MNTK</t>
        </is>
      </c>
      <c r="D32" s="20" t="inlineStr">
        <is>
          <t>Montauk Renewables, Inc.</t>
        </is>
      </c>
      <c r="E32" s="36" t="n">
        <v>36.9186</v>
      </c>
      <c r="F32" s="48" t="inlineStr">
        <is>
          <t>Small Cap</t>
        </is>
      </c>
      <c r="G32" s="60" t="n">
        <v>58.4</v>
      </c>
    </row>
    <row r="33" ht="16" customHeight="1">
      <c r="B33" s="61" t="inlineStr">
        <is>
          <t>4th</t>
        </is>
      </c>
      <c r="C33" s="24" t="inlineStr">
        <is>
          <t>CACI</t>
        </is>
      </c>
      <c r="D33" s="25" t="inlineStr">
        <is>
          <t>CACI International Inc</t>
        </is>
      </c>
      <c r="E33" s="42" t="n">
        <v>18.83114</v>
      </c>
      <c r="F33" s="50" t="inlineStr">
        <is>
          <t>Breakout</t>
        </is>
      </c>
      <c r="G33" s="62" t="n">
        <v>57.7</v>
      </c>
    </row>
    <row r="34" ht="16" customHeight="1">
      <c r="B34" s="59" t="inlineStr">
        <is>
          <t>5th</t>
        </is>
      </c>
      <c r="C34" s="19" t="inlineStr">
        <is>
          <t>BDC</t>
        </is>
      </c>
      <c r="D34" s="20" t="inlineStr">
        <is>
          <t>Belden Inc.</t>
        </is>
      </c>
      <c r="E34" s="36" t="n">
        <v>13.19464</v>
      </c>
      <c r="F34" s="48" t="inlineStr">
        <is>
          <t>Breakout</t>
        </is>
      </c>
      <c r="G34" s="60" t="n">
        <v>57.4</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4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3" t="inlineStr">
        <is>
          <t>▼ Filter:</t>
        </is>
      </c>
      <c r="B4" s="64" t="inlineStr">
        <is>
          <t>All</t>
        </is>
      </c>
      <c r="C4" s="64" t="inlineStr">
        <is>
          <t>All</t>
        </is>
      </c>
      <c r="D4" s="64"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SWBI</t>
        </is>
      </c>
      <c r="B6" s="20" t="inlineStr">
        <is>
          <t>Smith &amp; Wesson Brands, Inc.</t>
        </is>
      </c>
      <c r="C6" s="48" t="inlineStr">
        <is>
          <t>Small Cap</t>
        </is>
      </c>
      <c r="D6" s="23" t="inlineStr">
        <is>
          <t>Medium</t>
        </is>
      </c>
      <c r="E6" s="20" t="inlineStr">
        <is>
          <t>Fingerprint Match</t>
        </is>
      </c>
      <c r="F6" s="36" t="n">
        <v>70</v>
      </c>
      <c r="G6" s="47" t="inlineStr">
        <is>
          <t>Strengths: solid revenue growth, minimal dilution, strong fingerprint match. Risks: thin margins, low insider ownership.</t>
        </is>
      </c>
      <c r="H6" s="65" t="inlineStr">
        <is>
          <t>✓ solid revenue growth
✓ minimal dilution
✓ strong fingerprint match</t>
        </is>
      </c>
      <c r="I6" s="66" t="inlineStr">
        <is>
          <t>⚠ thin margins
⚠ low insider ownership</t>
        </is>
      </c>
    </row>
    <row r="7" ht="40" customHeight="1">
      <c r="A7" s="24" t="inlineStr">
        <is>
          <t>CE</t>
        </is>
      </c>
      <c r="B7" s="25" t="inlineStr">
        <is>
          <t>Celanese Corporation</t>
        </is>
      </c>
      <c r="C7" s="50" t="inlineStr">
        <is>
          <t>Breakout</t>
        </is>
      </c>
      <c r="D7" s="23" t="inlineStr">
        <is>
          <t>Medium</t>
        </is>
      </c>
      <c r="E7" s="25" t="inlineStr">
        <is>
          <t>Emerging Watch</t>
        </is>
      </c>
      <c r="F7" s="42" t="n">
        <v>68.90000000000001</v>
      </c>
      <c r="G7" s="51" t="inlineStr">
        <is>
          <t>Strengths: minimal dilution. Risks: thin margins, modest growth.</t>
        </is>
      </c>
      <c r="H7" s="65" t="inlineStr">
        <is>
          <t>✓ minimal dilution</t>
        </is>
      </c>
      <c r="I7" s="66" t="inlineStr">
        <is>
          <t>⚠ thin margins
⚠ modest growth</t>
        </is>
      </c>
    </row>
    <row r="8" ht="40" customHeight="1">
      <c r="A8" s="19" t="inlineStr">
        <is>
          <t>CALX</t>
        </is>
      </c>
      <c r="B8" s="20" t="inlineStr">
        <is>
          <t>Calix, Inc.</t>
        </is>
      </c>
      <c r="C8" s="48" t="inlineStr">
        <is>
          <t>Breakout</t>
        </is>
      </c>
      <c r="D8" s="23" t="inlineStr">
        <is>
          <t>Medium</t>
        </is>
      </c>
      <c r="E8" s="20" t="inlineStr">
        <is>
          <t>Fingerprint Match</t>
        </is>
      </c>
      <c r="F8" s="36" t="n">
        <v>68.59999999999999</v>
      </c>
      <c r="G8" s="47" t="inlineStr">
        <is>
          <t>Strengths: solid revenue growth, high-margin business, minimal dilution, strong fingerprint match. Risks: none significant.</t>
        </is>
      </c>
      <c r="H8" s="65" t="inlineStr">
        <is>
          <t>✓ solid revenue growth
✓ high-margin business
✓ minimal dilution
✓ strong fingerprint match</t>
        </is>
      </c>
      <c r="I8" s="66" t="inlineStr">
        <is>
          <t>—</t>
        </is>
      </c>
    </row>
    <row r="9" ht="40" customHeight="1">
      <c r="A9" s="24" t="inlineStr">
        <is>
          <t>AISP</t>
        </is>
      </c>
      <c r="B9" s="25" t="inlineStr">
        <is>
          <t>Airship AI Holdings, Inc.</t>
        </is>
      </c>
      <c r="C9" s="50" t="inlineStr">
        <is>
          <t>Nano Cap</t>
        </is>
      </c>
      <c r="D9" s="23" t="inlineStr">
        <is>
          <t>Medium</t>
        </is>
      </c>
      <c r="E9" s="25" t="inlineStr">
        <is>
          <t>High-Growth Quality</t>
        </is>
      </c>
      <c r="F9" s="42" t="n">
        <v>67</v>
      </c>
      <c r="G9" s="51" t="inlineStr">
        <is>
          <t>Strengths: strong revenue growth, high-margin business, high insider alignment. Risks: significant dilution.</t>
        </is>
      </c>
      <c r="H9" s="65" t="inlineStr">
        <is>
          <t>✓ strong revenue growth
✓ high-margin business
✓ high insider alignment</t>
        </is>
      </c>
      <c r="I9" s="66" t="inlineStr">
        <is>
          <t>⚠ significant dilution</t>
        </is>
      </c>
    </row>
    <row r="10" ht="40" customHeight="1">
      <c r="A10" s="19" t="inlineStr">
        <is>
          <t>KVHI</t>
        </is>
      </c>
      <c r="B10" s="20" t="inlineStr">
        <is>
          <t>KVH Industries, Inc.</t>
        </is>
      </c>
      <c r="C10" s="48" t="inlineStr">
        <is>
          <t>Nano Cap</t>
        </is>
      </c>
      <c r="D10" s="23" t="inlineStr">
        <is>
          <t>Medium</t>
        </is>
      </c>
      <c r="E10" s="20" t="inlineStr">
        <is>
          <t>Insider Conviction</t>
        </is>
      </c>
      <c r="F10" s="36" t="n">
        <v>66.59999999999999</v>
      </c>
      <c r="G10" s="47" t="inlineStr">
        <is>
          <t>Strengths: solid revenue growth, high insider alignment, minimal dilution. Risks: none significant.</t>
        </is>
      </c>
      <c r="H10" s="65" t="inlineStr">
        <is>
          <t>✓ solid revenue growth
✓ high insider alignment
✓ minimal dilution</t>
        </is>
      </c>
      <c r="I10" s="66" t="inlineStr">
        <is>
          <t>—</t>
        </is>
      </c>
    </row>
    <row r="11" ht="40" customHeight="1">
      <c r="A11" s="24" t="inlineStr">
        <is>
          <t>INTT</t>
        </is>
      </c>
      <c r="B11" s="25" t="inlineStr">
        <is>
          <t>inTEST Corporation</t>
        </is>
      </c>
      <c r="C11" s="50" t="inlineStr">
        <is>
          <t>Nano Cap</t>
        </is>
      </c>
      <c r="D11" s="23" t="inlineStr">
        <is>
          <t>Medium</t>
        </is>
      </c>
      <c r="E11" s="25" t="inlineStr">
        <is>
          <t>Emerging Watch</t>
        </is>
      </c>
      <c r="F11" s="42" t="n">
        <v>66.40000000000001</v>
      </c>
      <c r="G11" s="51" t="inlineStr">
        <is>
          <t>Strengths: solid revenue growth, healthy margins, minimal dilution. Risks: none significant.</t>
        </is>
      </c>
      <c r="H11" s="65" t="inlineStr">
        <is>
          <t>✓ solid revenue growth
✓ healthy margins
✓ minimal dilution</t>
        </is>
      </c>
      <c r="I11" s="66" t="inlineStr">
        <is>
          <t>—</t>
        </is>
      </c>
    </row>
    <row r="12" ht="40" customHeight="1">
      <c r="A12" s="19" t="inlineStr">
        <is>
          <t>GHM</t>
        </is>
      </c>
      <c r="B12" s="20" t="inlineStr">
        <is>
          <t>Graham Corporation</t>
        </is>
      </c>
      <c r="C12" s="48" t="inlineStr">
        <is>
          <t>Small Cap</t>
        </is>
      </c>
      <c r="D12" s="27" t="inlineStr">
        <is>
          <t>Speculative</t>
        </is>
      </c>
      <c r="E12" s="20" t="inlineStr">
        <is>
          <t>Fingerprint Match</t>
        </is>
      </c>
      <c r="F12" s="36" t="n">
        <v>63.6</v>
      </c>
      <c r="G12" s="47" t="inlineStr">
        <is>
          <t>Strengths: solid revenue growth, strong fingerprint match. Risks: thin margins.</t>
        </is>
      </c>
      <c r="H12" s="65" t="inlineStr">
        <is>
          <t>✓ solid revenue growth
✓ strong fingerprint match</t>
        </is>
      </c>
      <c r="I12" s="66" t="inlineStr">
        <is>
          <t>⚠ thin margins</t>
        </is>
      </c>
    </row>
    <row r="13" ht="40" customHeight="1">
      <c r="A13" s="24" t="inlineStr">
        <is>
          <t>TRC</t>
        </is>
      </c>
      <c r="B13" s="25" t="inlineStr">
        <is>
          <t>Tejon Ranch Co.</t>
        </is>
      </c>
      <c r="C13" s="50" t="inlineStr">
        <is>
          <t>Small Cap</t>
        </is>
      </c>
      <c r="D13" s="27" t="inlineStr">
        <is>
          <t>Speculative</t>
        </is>
      </c>
      <c r="E13" s="25" t="inlineStr">
        <is>
          <t>Growth Inflection</t>
        </is>
      </c>
      <c r="F13" s="42" t="n">
        <v>63.5</v>
      </c>
      <c r="G13" s="51" t="inlineStr">
        <is>
          <t>Strengths: strong revenue growth, minimal dilution. Risks: thin margins.</t>
        </is>
      </c>
      <c r="H13" s="65" t="inlineStr">
        <is>
          <t>✓ strong revenue growth
✓ minimal dilution</t>
        </is>
      </c>
      <c r="I13" s="66" t="inlineStr">
        <is>
          <t>⚠ thin margins</t>
        </is>
      </c>
    </row>
    <row r="14" ht="40" customHeight="1">
      <c r="A14" s="19" t="inlineStr">
        <is>
          <t>CEVA</t>
        </is>
      </c>
      <c r="B14" s="20" t="inlineStr">
        <is>
          <t>CEVA, Inc.</t>
        </is>
      </c>
      <c r="C14" s="48" t="inlineStr">
        <is>
          <t>Small Cap</t>
        </is>
      </c>
      <c r="D14" s="27" t="inlineStr">
        <is>
          <t>Speculative</t>
        </is>
      </c>
      <c r="E14" s="20" t="inlineStr">
        <is>
          <t>Emerging Watch</t>
        </is>
      </c>
      <c r="F14" s="36" t="n">
        <v>62.2</v>
      </c>
      <c r="G14" s="47" t="inlineStr">
        <is>
          <t>Strengths: high-margin business. Risks: significant dilution, negative momentum, modest growth.</t>
        </is>
      </c>
      <c r="H14" s="65" t="inlineStr">
        <is>
          <t>✓ high-margin business</t>
        </is>
      </c>
      <c r="I14" s="66" t="inlineStr">
        <is>
          <t>⚠ significant dilution
⚠ negative momentum
⚠ modest growth</t>
        </is>
      </c>
    </row>
    <row r="15" ht="40" customHeight="1">
      <c r="A15" s="24" t="inlineStr">
        <is>
          <t>RFIL</t>
        </is>
      </c>
      <c r="B15" s="25" t="inlineStr">
        <is>
          <t>RF Industries, Ltd.</t>
        </is>
      </c>
      <c r="C15" s="50" t="inlineStr">
        <is>
          <t>Nano Cap</t>
        </is>
      </c>
      <c r="D15" s="27" t="inlineStr">
        <is>
          <t>Speculative</t>
        </is>
      </c>
      <c r="E15" s="25" t="inlineStr">
        <is>
          <t>Insider Conviction</t>
        </is>
      </c>
      <c r="F15" s="42" t="n">
        <v>62.1</v>
      </c>
      <c r="G15" s="51" t="inlineStr">
        <is>
          <t>Strengths: healthy margins, high insider alignment, minimal dilution. Risks: negative momentum, modest growth.</t>
        </is>
      </c>
      <c r="H15" s="65" t="inlineStr">
        <is>
          <t>✓ healthy margins
✓ high insider alignment
✓ minimal dilution</t>
        </is>
      </c>
      <c r="I15" s="66" t="inlineStr">
        <is>
          <t>⚠ negative momentum
⚠ modest growth</t>
        </is>
      </c>
    </row>
    <row r="16" ht="40" customHeight="1">
      <c r="A16" s="19" t="inlineStr">
        <is>
          <t>ADEA</t>
        </is>
      </c>
      <c r="B16" s="20" t="inlineStr">
        <is>
          <t>Adeia Inc.</t>
        </is>
      </c>
      <c r="C16" s="48" t="inlineStr">
        <is>
          <t>Breakout</t>
        </is>
      </c>
      <c r="D16" s="27" t="inlineStr">
        <is>
          <t>Speculative</t>
        </is>
      </c>
      <c r="E16" s="20" t="inlineStr">
        <is>
          <t>Emerging Watch</t>
        </is>
      </c>
      <c r="F16" s="36" t="n">
        <v>61.8</v>
      </c>
      <c r="G16" s="47" t="inlineStr">
        <is>
          <t>Strengths: minimal dilution. Risks: thin margins, low insider ownership, modest growth.</t>
        </is>
      </c>
      <c r="H16" s="65" t="inlineStr">
        <is>
          <t>✓ minimal dilution</t>
        </is>
      </c>
      <c r="I16" s="66" t="inlineStr">
        <is>
          <t>⚠ thin margins
⚠ low insider ownership
⚠ modest growth</t>
        </is>
      </c>
    </row>
    <row r="17" ht="40" customHeight="1">
      <c r="A17" s="24" t="inlineStr">
        <is>
          <t>CMCO</t>
        </is>
      </c>
      <c r="B17" s="25" t="inlineStr">
        <is>
          <t>Columbus McKinnon Corporation</t>
        </is>
      </c>
      <c r="C17" s="50" t="inlineStr">
        <is>
          <t>Small Cap</t>
        </is>
      </c>
      <c r="D17" s="27" t="inlineStr">
        <is>
          <t>Speculative</t>
        </is>
      </c>
      <c r="E17" s="25" t="inlineStr">
        <is>
          <t>Momentum Breakout</t>
        </is>
      </c>
      <c r="F17" s="42" t="n">
        <v>60.8</v>
      </c>
      <c r="G17" s="51" t="inlineStr">
        <is>
          <t>Strengths: strong revenue growth, minimal dilution, positive momentum. Risks: thin margins, low insider ownership.</t>
        </is>
      </c>
      <c r="H17" s="65" t="inlineStr">
        <is>
          <t>✓ strong revenue growth
✓ minimal dilution
✓ positive momentum</t>
        </is>
      </c>
      <c r="I17" s="66" t="inlineStr">
        <is>
          <t>⚠ thin margins
⚠ low insider ownership</t>
        </is>
      </c>
    </row>
    <row r="18" ht="40" customHeight="1">
      <c r="A18" s="19" t="inlineStr">
        <is>
          <t>ASYS</t>
        </is>
      </c>
      <c r="B18" s="20" t="inlineStr">
        <is>
          <t>Amtech Systems, Inc.</t>
        </is>
      </c>
      <c r="C18" s="48" t="inlineStr">
        <is>
          <t>Nano Cap</t>
        </is>
      </c>
      <c r="D18" s="27" t="inlineStr">
        <is>
          <t>Speculative</t>
        </is>
      </c>
      <c r="E18" s="20" t="inlineStr">
        <is>
          <t>Emerging Watch</t>
        </is>
      </c>
      <c r="F18" s="36" t="n">
        <v>59.9</v>
      </c>
      <c r="G18" s="47" t="inlineStr">
        <is>
          <t>Strengths: high-margin business, high insider alignment. Risks: modest growth.</t>
        </is>
      </c>
      <c r="H18" s="65" t="inlineStr">
        <is>
          <t>✓ high-margin business
✓ high insider alignment</t>
        </is>
      </c>
      <c r="I18" s="66" t="inlineStr">
        <is>
          <t>⚠ modest growth</t>
        </is>
      </c>
    </row>
    <row r="19" ht="40" customHeight="1">
      <c r="A19" s="24" t="inlineStr">
        <is>
          <t>LAW</t>
        </is>
      </c>
      <c r="B19" s="25" t="inlineStr">
        <is>
          <t>CS Disco, Inc.</t>
        </is>
      </c>
      <c r="C19" s="50" t="inlineStr">
        <is>
          <t>Nano Cap</t>
        </is>
      </c>
      <c r="D19" s="27" t="inlineStr">
        <is>
          <t>Speculative</t>
        </is>
      </c>
      <c r="E19" s="25" t="inlineStr">
        <is>
          <t>Emerging Watch</t>
        </is>
      </c>
      <c r="F19" s="42" t="n">
        <v>59.8</v>
      </c>
      <c r="G19" s="51" t="inlineStr">
        <is>
          <t>Strengths: high-margin business, high insider alignment. Risks: modest growth.</t>
        </is>
      </c>
      <c r="H19" s="65" t="inlineStr">
        <is>
          <t>✓ high-margin business
✓ high insider alignment</t>
        </is>
      </c>
      <c r="I19" s="66" t="inlineStr">
        <is>
          <t>⚠ modest growth</t>
        </is>
      </c>
    </row>
    <row r="20" ht="40" customHeight="1">
      <c r="A20" s="19" t="inlineStr">
        <is>
          <t>DCI</t>
        </is>
      </c>
      <c r="B20" s="20" t="inlineStr">
        <is>
          <t>Donaldson Company, Inc.</t>
        </is>
      </c>
      <c r="C20" s="48" t="inlineStr">
        <is>
          <t>Breakout</t>
        </is>
      </c>
      <c r="D20" s="27" t="inlineStr">
        <is>
          <t>Speculative</t>
        </is>
      </c>
      <c r="E20" s="20" t="inlineStr">
        <is>
          <t>Emerging Watch</t>
        </is>
      </c>
      <c r="F20" s="36" t="n">
        <v>59.6</v>
      </c>
      <c r="G20" s="47" t="inlineStr">
        <is>
          <t>Strengths: healthy margins, minimal dilution. Risks: low insider ownership, modest growth.</t>
        </is>
      </c>
      <c r="H20" s="65" t="inlineStr">
        <is>
          <t>✓ healthy margins
✓ minimal dilution</t>
        </is>
      </c>
      <c r="I20" s="66" t="inlineStr">
        <is>
          <t>⚠ low insider ownership
⚠ modest growth</t>
        </is>
      </c>
    </row>
    <row r="21" ht="40" customHeight="1">
      <c r="A21" s="24" t="inlineStr">
        <is>
          <t>VPG</t>
        </is>
      </c>
      <c r="B21" s="25" t="inlineStr">
        <is>
          <t>Vishay Precision Group, Inc.</t>
        </is>
      </c>
      <c r="C21" s="50" t="inlineStr">
        <is>
          <t>Small Cap</t>
        </is>
      </c>
      <c r="D21" s="27" t="inlineStr">
        <is>
          <t>Speculative</t>
        </is>
      </c>
      <c r="E21" s="25" t="inlineStr">
        <is>
          <t>Growth Inflection</t>
        </is>
      </c>
      <c r="F21" s="42" t="n">
        <v>59.1</v>
      </c>
      <c r="G21" s="51" t="inlineStr">
        <is>
          <t>Strengths: strong revenue growth, healthy margins, high insider alignment, minimal dilution. Risks: negative momentum.</t>
        </is>
      </c>
      <c r="H21" s="65" t="inlineStr">
        <is>
          <t>✓ strong revenue growth
✓ healthy margins
✓ high insider alignment
✓ minimal dilution</t>
        </is>
      </c>
      <c r="I21" s="66" t="inlineStr">
        <is>
          <t>⚠ negative momentum</t>
        </is>
      </c>
    </row>
    <row r="22" ht="40" customHeight="1">
      <c r="A22" s="19" t="inlineStr">
        <is>
          <t>MNTK</t>
        </is>
      </c>
      <c r="B22" s="20" t="inlineStr">
        <is>
          <t>Montauk Renewables, Inc.</t>
        </is>
      </c>
      <c r="C22" s="48" t="inlineStr">
        <is>
          <t>Small Cap</t>
        </is>
      </c>
      <c r="D22" s="27" t="inlineStr">
        <is>
          <t>Speculative</t>
        </is>
      </c>
      <c r="E22" s="20" t="inlineStr">
        <is>
          <t>Insider Conviction</t>
        </is>
      </c>
      <c r="F22" s="36" t="n">
        <v>58.4</v>
      </c>
      <c r="G22" s="47" t="inlineStr">
        <is>
          <t>Strengths: high insider alignment, minimal dilution, positive momentum. Risks: thin margins.</t>
        </is>
      </c>
      <c r="H22" s="65" t="inlineStr">
        <is>
          <t>✓ high insider alignment
✓ minimal dilution
✓ positive momentum</t>
        </is>
      </c>
      <c r="I22" s="66" t="inlineStr">
        <is>
          <t>⚠ thin margins</t>
        </is>
      </c>
    </row>
    <row r="23" ht="40" customHeight="1">
      <c r="A23" s="24" t="inlineStr">
        <is>
          <t>BCO</t>
        </is>
      </c>
      <c r="B23" s="25" t="inlineStr">
        <is>
          <t>The Brink's Company</t>
        </is>
      </c>
      <c r="C23" s="50" t="inlineStr">
        <is>
          <t>Breakout</t>
        </is>
      </c>
      <c r="D23" s="27" t="inlineStr">
        <is>
          <t>Speculative</t>
        </is>
      </c>
      <c r="E23" s="25" t="inlineStr">
        <is>
          <t>Emerging Watch</t>
        </is>
      </c>
      <c r="F23" s="42" t="n">
        <v>57.8</v>
      </c>
      <c r="G23" s="51" t="inlineStr">
        <is>
          <t>Strengths: minimal dilution. Risks: thin margins, low insider ownership, modest growth.</t>
        </is>
      </c>
      <c r="H23" s="65" t="inlineStr">
        <is>
          <t>✓ minimal dilution</t>
        </is>
      </c>
      <c r="I23" s="66" t="inlineStr">
        <is>
          <t>⚠ thin margins
⚠ low insider ownership
⚠ modest growth</t>
        </is>
      </c>
    </row>
    <row r="24" ht="40" customHeight="1">
      <c r="A24" s="19" t="inlineStr">
        <is>
          <t>NOVTU</t>
        </is>
      </c>
      <c r="B24" s="20" t="inlineStr">
        <is>
          <t>Novanta Inc. Tangible Equity Units</t>
        </is>
      </c>
      <c r="C24" s="48" t="inlineStr">
        <is>
          <t>Breakout</t>
        </is>
      </c>
      <c r="D24" s="27" t="inlineStr">
        <is>
          <t>Speculative</t>
        </is>
      </c>
      <c r="E24" s="20" t="inlineStr">
        <is>
          <t>Emerging Watch</t>
        </is>
      </c>
      <c r="F24" s="36" t="n">
        <v>57.8</v>
      </c>
      <c r="G24" s="47" t="inlineStr">
        <is>
          <t>Strengths: healthy margins. Risks: low insider ownership, modest growth.</t>
        </is>
      </c>
      <c r="H24" s="65" t="inlineStr">
        <is>
          <t>✓ healthy margins</t>
        </is>
      </c>
      <c r="I24" s="66" t="inlineStr">
        <is>
          <t>⚠ low insider ownership
⚠ modest growth</t>
        </is>
      </c>
    </row>
    <row r="25" ht="40" customHeight="1">
      <c r="A25" s="24" t="inlineStr">
        <is>
          <t>CACI</t>
        </is>
      </c>
      <c r="B25" s="25" t="inlineStr">
        <is>
          <t>CACI International Inc</t>
        </is>
      </c>
      <c r="C25" s="50" t="inlineStr">
        <is>
          <t>Breakout</t>
        </is>
      </c>
      <c r="D25" s="27" t="inlineStr">
        <is>
          <t>Speculative</t>
        </is>
      </c>
      <c r="E25" s="25" t="inlineStr">
        <is>
          <t>Emerging Watch</t>
        </is>
      </c>
      <c r="F25" s="42" t="n">
        <v>57.7</v>
      </c>
      <c r="G25" s="51" t="inlineStr">
        <is>
          <t>Strengths: minimal dilution. Risks: low insider ownership.</t>
        </is>
      </c>
      <c r="H25" s="65" t="inlineStr">
        <is>
          <t>✓ minimal dilution</t>
        </is>
      </c>
      <c r="I25" s="66" t="inlineStr">
        <is>
          <t>⚠ low insider ownership</t>
        </is>
      </c>
    </row>
    <row r="26" ht="40" customHeight="1">
      <c r="A26" s="19" t="inlineStr">
        <is>
          <t>RAL</t>
        </is>
      </c>
      <c r="B26" s="20" t="inlineStr">
        <is>
          <t>Ralliant Corp</t>
        </is>
      </c>
      <c r="C26" s="48" t="inlineStr">
        <is>
          <t>Breakout</t>
        </is>
      </c>
      <c r="D26" s="27" t="inlineStr">
        <is>
          <t>Speculative</t>
        </is>
      </c>
      <c r="E26" s="20" t="inlineStr">
        <is>
          <t>Emerging Watch</t>
        </is>
      </c>
      <c r="F26" s="36" t="n">
        <v>57.6</v>
      </c>
      <c r="G26" s="47" t="inlineStr">
        <is>
          <t>Strengths: high-margin business, minimal dilution. Risks: low insider ownership, modest growth.</t>
        </is>
      </c>
      <c r="H26" s="65" t="inlineStr">
        <is>
          <t>✓ high-margin business
✓ minimal dilution</t>
        </is>
      </c>
      <c r="I26" s="66" t="inlineStr">
        <is>
          <t>⚠ low insider ownership
⚠ modest growth</t>
        </is>
      </c>
    </row>
    <row r="27" ht="40" customHeight="1">
      <c r="A27" s="24" t="inlineStr">
        <is>
          <t>EVLV</t>
        </is>
      </c>
      <c r="B27" s="25" t="inlineStr">
        <is>
          <t>Evolv Technologies Holdings, Inc.</t>
        </is>
      </c>
      <c r="C27" s="50" t="inlineStr">
        <is>
          <t>Small Cap</t>
        </is>
      </c>
      <c r="D27" s="27" t="inlineStr">
        <is>
          <t>Speculative</t>
        </is>
      </c>
      <c r="E27" s="25" t="inlineStr">
        <is>
          <t>Growth Inflection</t>
        </is>
      </c>
      <c r="F27" s="42" t="n">
        <v>57.5</v>
      </c>
      <c r="G27" s="51" t="inlineStr">
        <is>
          <t>Strengths: solid revenue growth, high-margin business. Risks: significant dilution.</t>
        </is>
      </c>
      <c r="H27" s="65" t="inlineStr">
        <is>
          <t>✓ solid revenue growth
✓ high-margin business</t>
        </is>
      </c>
      <c r="I27" s="66" t="inlineStr">
        <is>
          <t>⚠ significant dilution</t>
        </is>
      </c>
    </row>
    <row r="28" ht="40" customHeight="1">
      <c r="A28" s="19" t="inlineStr">
        <is>
          <t>ADTN</t>
        </is>
      </c>
      <c r="B28" s="20" t="inlineStr">
        <is>
          <t>ADTRAN Holdings Inc.</t>
        </is>
      </c>
      <c r="C28" s="48" t="inlineStr">
        <is>
          <t>Small Cap</t>
        </is>
      </c>
      <c r="D28" s="27" t="inlineStr">
        <is>
          <t>Speculative</t>
        </is>
      </c>
      <c r="E28" s="20" t="inlineStr">
        <is>
          <t>Emerging Watch</t>
        </is>
      </c>
      <c r="F28" s="36" t="n">
        <v>57.4</v>
      </c>
      <c r="G28" s="47" t="inlineStr">
        <is>
          <t>Strengths: healthy margins, minimal dilution. Risks: low insider ownership, negative momentum, modest growth.</t>
        </is>
      </c>
      <c r="H28" s="65" t="inlineStr">
        <is>
          <t>✓ healthy margins
✓ minimal dilution</t>
        </is>
      </c>
      <c r="I28" s="66" t="inlineStr">
        <is>
          <t>⚠ low insider ownership
⚠ negative momentum
⚠ modest growth</t>
        </is>
      </c>
    </row>
    <row r="29" ht="40" customHeight="1">
      <c r="A29" s="24" t="inlineStr">
        <is>
          <t>BDC</t>
        </is>
      </c>
      <c r="B29" s="25" t="inlineStr">
        <is>
          <t>Belden Inc.</t>
        </is>
      </c>
      <c r="C29" s="50" t="inlineStr">
        <is>
          <t>Breakout</t>
        </is>
      </c>
      <c r="D29" s="27" t="inlineStr">
        <is>
          <t>Speculative</t>
        </is>
      </c>
      <c r="E29" s="25" t="inlineStr">
        <is>
          <t>Emerging Watch</t>
        </is>
      </c>
      <c r="F29" s="42" t="n">
        <v>57.4</v>
      </c>
      <c r="G29" s="51" t="inlineStr">
        <is>
          <t>Strengths: healthy margins, minimal dilution. Risks: low insider ownership, modest growth.</t>
        </is>
      </c>
      <c r="H29" s="65" t="inlineStr">
        <is>
          <t>✓ healthy margins
✓ minimal dilution</t>
        </is>
      </c>
      <c r="I29" s="66" t="inlineStr">
        <is>
          <t>⚠ low insider ownership
⚠ modest growth</t>
        </is>
      </c>
    </row>
    <row r="30" ht="40" customHeight="1">
      <c r="A30" s="19" t="inlineStr">
        <is>
          <t>LTRX</t>
        </is>
      </c>
      <c r="B30" s="20" t="inlineStr">
        <is>
          <t>Lantronix, Inc.</t>
        </is>
      </c>
      <c r="C30" s="48" t="inlineStr">
        <is>
          <t>Nano Cap</t>
        </is>
      </c>
      <c r="D30" s="27" t="inlineStr">
        <is>
          <t>Speculative</t>
        </is>
      </c>
      <c r="E30" s="20" t="inlineStr">
        <is>
          <t>Emerging Watch</t>
        </is>
      </c>
      <c r="F30" s="36" t="n">
        <v>56.8</v>
      </c>
      <c r="G30" s="47" t="inlineStr">
        <is>
          <t>Strengths: healthy margins, high insider alignment. Risks: modest growth.</t>
        </is>
      </c>
      <c r="H30" s="65" t="inlineStr">
        <is>
          <t>✓ healthy margins
✓ high insider alignment</t>
        </is>
      </c>
      <c r="I30" s="66" t="inlineStr">
        <is>
          <t>⚠ modest growth</t>
        </is>
      </c>
    </row>
    <row r="31" ht="40" customHeight="1">
      <c r="A31" s="24" t="inlineStr">
        <is>
          <t>SHLS</t>
        </is>
      </c>
      <c r="B31" s="25" t="inlineStr">
        <is>
          <t>Shoals Technologies Group, Inc.</t>
        </is>
      </c>
      <c r="C31" s="50" t="inlineStr">
        <is>
          <t>Small Cap</t>
        </is>
      </c>
      <c r="D31" s="27" t="inlineStr">
        <is>
          <t>Speculative</t>
        </is>
      </c>
      <c r="E31" s="25" t="inlineStr">
        <is>
          <t>Growth Inflection</t>
        </is>
      </c>
      <c r="F31" s="42" t="n">
        <v>56.2</v>
      </c>
      <c r="G31" s="51" t="inlineStr">
        <is>
          <t>Strengths: strong revenue growth, minimal dilution. Risks: low insider ownership, negative momentum.</t>
        </is>
      </c>
      <c r="H31" s="65" t="inlineStr">
        <is>
          <t>✓ strong revenue growth
✓ minimal dilution</t>
        </is>
      </c>
      <c r="I31" s="66" t="inlineStr">
        <is>
          <t>⚠ low insider ownership
⚠ negative momentum</t>
        </is>
      </c>
    </row>
    <row r="32" ht="40" customHeight="1">
      <c r="A32" s="19" t="inlineStr">
        <is>
          <t>KD</t>
        </is>
      </c>
      <c r="B32" s="20" t="inlineStr">
        <is>
          <t>Kyndryl Holdings, Inc.</t>
        </is>
      </c>
      <c r="C32" s="48" t="inlineStr">
        <is>
          <t>Breakout</t>
        </is>
      </c>
      <c r="D32" s="27" t="inlineStr">
        <is>
          <t>Speculative</t>
        </is>
      </c>
      <c r="E32" s="20" t="inlineStr">
        <is>
          <t>Growth Inflection</t>
        </is>
      </c>
      <c r="F32" s="36" t="n">
        <v>55.2</v>
      </c>
      <c r="G32" s="47" t="inlineStr">
        <is>
          <t>Strengths: strong revenue growth, minimal dilution. Risks: thin margins.</t>
        </is>
      </c>
      <c r="H32" s="65" t="inlineStr">
        <is>
          <t>✓ strong revenue growth
✓ minimal dilution</t>
        </is>
      </c>
      <c r="I32" s="66" t="inlineStr">
        <is>
          <t>⚠ thin margins</t>
        </is>
      </c>
    </row>
    <row r="33" ht="40" customHeight="1">
      <c r="A33" s="24" t="inlineStr">
        <is>
          <t>ROC</t>
        </is>
      </c>
      <c r="B33" s="25" t="inlineStr">
        <is>
          <t>Rank One Computing Corp.</t>
        </is>
      </c>
      <c r="C33" s="50" t="inlineStr">
        <is>
          <t>Nano Cap</t>
        </is>
      </c>
      <c r="D33" s="27" t="inlineStr">
        <is>
          <t>Speculative</t>
        </is>
      </c>
      <c r="E33" s="25" t="inlineStr">
        <is>
          <t>High-Growth Quality</t>
        </is>
      </c>
      <c r="F33" s="42" t="n">
        <v>54.2</v>
      </c>
      <c r="G33" s="51" t="inlineStr">
        <is>
          <t>Strengths: strong revenue growth, high-margin business, high insider alignment, minimal dilution. Risks: none significant.</t>
        </is>
      </c>
      <c r="H33" s="65" t="inlineStr">
        <is>
          <t>✓ strong revenue growth
✓ high-margin business
✓ high insider alignment
✓ minimal dilution</t>
        </is>
      </c>
      <c r="I33" s="66" t="inlineStr">
        <is>
          <t>—</t>
        </is>
      </c>
    </row>
    <row r="34" ht="40" customHeight="1">
      <c r="A34" s="19" t="inlineStr">
        <is>
          <t>BKTI</t>
        </is>
      </c>
      <c r="B34" s="20" t="inlineStr">
        <is>
          <t>BK Technologies Corporation</t>
        </is>
      </c>
      <c r="C34" s="48" t="inlineStr">
        <is>
          <t>Nano Cap</t>
        </is>
      </c>
      <c r="D34" s="27" t="inlineStr">
        <is>
          <t>Speculative</t>
        </is>
      </c>
      <c r="E34" s="20" t="inlineStr">
        <is>
          <t>Emerging Watch</t>
        </is>
      </c>
      <c r="F34" s="36" t="n">
        <v>52.2</v>
      </c>
      <c r="G34" s="47" t="inlineStr">
        <is>
          <t>Strengths: high-margin business, high insider alignment. Risks: modest growth.</t>
        </is>
      </c>
      <c r="H34" s="65" t="inlineStr">
        <is>
          <t>✓ high-margin business
✓ high insider alignment</t>
        </is>
      </c>
      <c r="I34" s="66" t="inlineStr">
        <is>
          <t>⚠ modest growth</t>
        </is>
      </c>
    </row>
    <row r="35" ht="40" customHeight="1">
      <c r="A35" s="24" t="inlineStr">
        <is>
          <t>LNSR</t>
        </is>
      </c>
      <c r="B35" s="25" t="inlineStr">
        <is>
          <t>LENSAR Inc</t>
        </is>
      </c>
      <c r="C35" s="50" t="inlineStr">
        <is>
          <t>Nano Cap</t>
        </is>
      </c>
      <c r="D35" s="27" t="inlineStr">
        <is>
          <t>Speculative</t>
        </is>
      </c>
      <c r="E35" s="25" t="inlineStr">
        <is>
          <t>Momentum Breakout</t>
        </is>
      </c>
      <c r="F35" s="42" t="n">
        <v>50.1</v>
      </c>
      <c r="G35" s="51" t="inlineStr">
        <is>
          <t>Strengths: high-margin business, high insider alignment, positive momentum. Risks: none significant.</t>
        </is>
      </c>
      <c r="H35" s="65" t="inlineStr">
        <is>
          <t>✓ high-margin business
✓ high insider alignment
✓ positive momentum</t>
        </is>
      </c>
      <c r="I35" s="66" t="inlineStr">
        <is>
          <t>—</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0</v>
      </c>
      <c r="C40" t="n">
        <v>0</v>
      </c>
      <c r="D40" t="n">
        <v>3</v>
      </c>
      <c r="E40" t="n">
        <v>7</v>
      </c>
    </row>
    <row r="41">
      <c r="A41" t="inlineStr">
        <is>
          <t>Small Cap</t>
        </is>
      </c>
      <c r="B41" t="n">
        <v>0</v>
      </c>
      <c r="C41" t="n">
        <v>0</v>
      </c>
      <c r="D41" t="n">
        <v>1</v>
      </c>
      <c r="E41" t="n">
        <v>9</v>
      </c>
    </row>
    <row r="42">
      <c r="A42" t="inlineStr">
        <is>
          <t>Breakout</t>
        </is>
      </c>
      <c r="B42" t="n">
        <v>0</v>
      </c>
      <c r="C42" t="n">
        <v>0</v>
      </c>
      <c r="D42" t="n">
        <v>2</v>
      </c>
      <c r="E42" t="n">
        <v>8</v>
      </c>
    </row>
    <row r="43">
      <c r="A43" t="inlineStr">
        <is>
          <t>Vital Link</t>
        </is>
      </c>
      <c r="B43" t="n">
        <v>0</v>
      </c>
      <c r="C43" t="n">
        <v>0</v>
      </c>
      <c r="D43" t="n">
        <v>0</v>
      </c>
      <c r="E43"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6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7" t="inlineStr">
        <is>
          <t>Portfolio Size ($)</t>
        </is>
      </c>
      <c r="C5" s="68" t="n">
        <v>100000</v>
      </c>
      <c r="D5" s="69" t="inlineStr">
        <is>
          <t>← Input</t>
        </is>
      </c>
    </row>
    <row r="6" ht="18" customHeight="1">
      <c r="B6" s="67" t="inlineStr">
        <is>
          <t>Max Single Position %</t>
        </is>
      </c>
      <c r="C6" s="70" t="n">
        <v>0.08</v>
      </c>
      <c r="D6" s="69" t="inlineStr">
        <is>
          <t>← Input</t>
        </is>
      </c>
    </row>
    <row r="7" ht="18" customHeight="1">
      <c r="B7" s="67" t="inlineStr">
        <is>
          <t>Nano Cap Risk Multiplier</t>
        </is>
      </c>
      <c r="C7" s="71" t="n">
        <v>0.6</v>
      </c>
      <c r="D7" s="69" t="inlineStr">
        <is>
          <t>← Input</t>
        </is>
      </c>
    </row>
    <row r="8" ht="18" customHeight="1">
      <c r="B8" s="67" t="inlineStr">
        <is>
          <t>Breakout Cap Multiplier</t>
        </is>
      </c>
      <c r="C8" s="71" t="n">
        <v>1.2</v>
      </c>
      <c r="D8" s="69" t="inlineStr">
        <is>
          <t>← Input</t>
        </is>
      </c>
    </row>
    <row r="9" ht="18" customHeight="1">
      <c r="B9" s="67" t="inlineStr">
        <is>
          <t>Vital Link Multiplier</t>
        </is>
      </c>
      <c r="C9" s="71" t="n">
        <v>1.4</v>
      </c>
      <c r="D9" s="69" t="inlineStr">
        <is>
          <t>← Input</t>
        </is>
      </c>
    </row>
    <row r="10" ht="18" customHeight="1">
      <c r="B10" s="67" t="inlineStr">
        <is>
          <t>Cash Reserve Target %</t>
        </is>
      </c>
      <c r="C10" s="70" t="n">
        <v>0.1</v>
      </c>
      <c r="D10" s="69"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SWBI</t>
        </is>
      </c>
      <c r="C14" s="20" t="inlineStr">
        <is>
          <t>Smith &amp; Wesson Brands, Inc.</t>
        </is>
      </c>
      <c r="D14" s="48" t="inlineStr">
        <is>
          <t>Small Cap</t>
        </is>
      </c>
      <c r="E14" s="23" t="inlineStr">
        <is>
          <t>Medium</t>
        </is>
      </c>
      <c r="F14" s="34" t="n">
        <v>0.03</v>
      </c>
      <c r="G14" s="72" t="n">
        <v>0.03</v>
      </c>
      <c r="H14" s="73" t="n">
        <v>3000</v>
      </c>
      <c r="I14" s="74" t="n">
        <v>227</v>
      </c>
      <c r="J14" s="75" t="inlineStr">
        <is>
          <t>Medium-High risk</t>
        </is>
      </c>
    </row>
    <row r="15" ht="16" customHeight="1">
      <c r="B15" s="24" t="inlineStr">
        <is>
          <t>CE</t>
        </is>
      </c>
      <c r="C15" s="25" t="inlineStr">
        <is>
          <t>Celanese Corporation</t>
        </is>
      </c>
      <c r="D15" s="50" t="inlineStr">
        <is>
          <t>Breakout</t>
        </is>
      </c>
      <c r="E15" s="23" t="inlineStr">
        <is>
          <t>Medium</t>
        </is>
      </c>
      <c r="F15" s="41" t="n">
        <v>0.03</v>
      </c>
      <c r="G15" s="76" t="n">
        <v>0.036</v>
      </c>
      <c r="H15" s="77" t="n">
        <v>3600</v>
      </c>
      <c r="I15" s="78" t="n">
        <v>80</v>
      </c>
      <c r="J15" s="79" t="inlineStr">
        <is>
          <t>High risk</t>
        </is>
      </c>
    </row>
    <row r="16" ht="16" customHeight="1">
      <c r="B16" s="19" t="inlineStr">
        <is>
          <t>CALX</t>
        </is>
      </c>
      <c r="C16" s="20" t="inlineStr">
        <is>
          <t>Calix, Inc.</t>
        </is>
      </c>
      <c r="D16" s="48" t="inlineStr">
        <is>
          <t>Breakout</t>
        </is>
      </c>
      <c r="E16" s="23" t="inlineStr">
        <is>
          <t>Medium</t>
        </is>
      </c>
      <c r="F16" s="34" t="n">
        <v>0.03</v>
      </c>
      <c r="G16" s="72" t="n">
        <v>0.036</v>
      </c>
      <c r="H16" s="73" t="n">
        <v>3600</v>
      </c>
      <c r="I16" s="74" t="n">
        <v>102</v>
      </c>
      <c r="J16" s="75" t="inlineStr">
        <is>
          <t>Medium-Low risk</t>
        </is>
      </c>
    </row>
    <row r="17" ht="16" customHeight="1">
      <c r="B17" s="24" t="inlineStr">
        <is>
          <t>AISP</t>
        </is>
      </c>
      <c r="C17" s="25" t="inlineStr">
        <is>
          <t>Airship AI Holdings, Inc.</t>
        </is>
      </c>
      <c r="D17" s="50" t="inlineStr">
        <is>
          <t>Nano Cap</t>
        </is>
      </c>
      <c r="E17" s="23" t="inlineStr">
        <is>
          <t>Medium</t>
        </is>
      </c>
      <c r="F17" s="41" t="n">
        <v>0.03</v>
      </c>
      <c r="G17" s="76" t="n">
        <v>0.018</v>
      </c>
      <c r="H17" s="77" t="n">
        <v>1800</v>
      </c>
      <c r="I17" s="78" t="n">
        <v>863</v>
      </c>
      <c r="J17" s="79" t="inlineStr">
        <is>
          <t>High risk</t>
        </is>
      </c>
    </row>
    <row r="18" ht="16" customHeight="1">
      <c r="B18" s="19" t="inlineStr">
        <is>
          <t>KVHI</t>
        </is>
      </c>
      <c r="C18" s="20" t="inlineStr">
        <is>
          <t>KVH Industries, Inc.</t>
        </is>
      </c>
      <c r="D18" s="48" t="inlineStr">
        <is>
          <t>Nano Cap</t>
        </is>
      </c>
      <c r="E18" s="23" t="inlineStr">
        <is>
          <t>Medium</t>
        </is>
      </c>
      <c r="F18" s="34" t="n">
        <v>0.03</v>
      </c>
      <c r="G18" s="72" t="n">
        <v>0.018</v>
      </c>
      <c r="H18" s="73" t="n">
        <v>1800</v>
      </c>
      <c r="I18" s="74" t="n">
        <v>252</v>
      </c>
      <c r="J18" s="75" t="inlineStr">
        <is>
          <t>Medium-High risk</t>
        </is>
      </c>
    </row>
    <row r="19" ht="16" customHeight="1">
      <c r="B19" s="24" t="inlineStr">
        <is>
          <t>INTT</t>
        </is>
      </c>
      <c r="C19" s="25" t="inlineStr">
        <is>
          <t>inTEST Corporation</t>
        </is>
      </c>
      <c r="D19" s="50" t="inlineStr">
        <is>
          <t>Nano Cap</t>
        </is>
      </c>
      <c r="E19" s="23" t="inlineStr">
        <is>
          <t>Medium</t>
        </is>
      </c>
      <c r="F19" s="41" t="n">
        <v>0.03</v>
      </c>
      <c r="G19" s="76" t="n">
        <v>0.018</v>
      </c>
      <c r="H19" s="77" t="n">
        <v>1800</v>
      </c>
      <c r="I19" s="78" t="n">
        <v>155</v>
      </c>
      <c r="J19" s="79" t="inlineStr">
        <is>
          <t>Medium-High risk</t>
        </is>
      </c>
    </row>
    <row r="20" ht="16" customHeight="1">
      <c r="B20" s="19" t="inlineStr">
        <is>
          <t>GHM</t>
        </is>
      </c>
      <c r="C20" s="20" t="inlineStr">
        <is>
          <t>Graham Corporation</t>
        </is>
      </c>
      <c r="D20" s="48" t="inlineStr">
        <is>
          <t>Small Cap</t>
        </is>
      </c>
      <c r="E20" s="27" t="inlineStr">
        <is>
          <t>Speculative</t>
        </is>
      </c>
      <c r="F20" s="34" t="n">
        <v>0.015</v>
      </c>
      <c r="G20" s="72" t="n">
        <v>0.015</v>
      </c>
      <c r="H20" s="73" t="n">
        <v>1500</v>
      </c>
      <c r="I20" s="74" t="n">
        <v>16</v>
      </c>
      <c r="J20" s="75" t="inlineStr">
        <is>
          <t>Medium-High risk</t>
        </is>
      </c>
    </row>
    <row r="21" ht="16" customHeight="1">
      <c r="B21" s="24" t="inlineStr">
        <is>
          <t>TRC</t>
        </is>
      </c>
      <c r="C21" s="25" t="inlineStr">
        <is>
          <t>Tejon Ranch Co.</t>
        </is>
      </c>
      <c r="D21" s="50" t="inlineStr">
        <is>
          <t>Small Cap</t>
        </is>
      </c>
      <c r="E21" s="27" t="inlineStr">
        <is>
          <t>Speculative</t>
        </is>
      </c>
      <c r="F21" s="41" t="n">
        <v>0.015</v>
      </c>
      <c r="G21" s="76" t="n">
        <v>0.015</v>
      </c>
      <c r="H21" s="77" t="n">
        <v>1500</v>
      </c>
      <c r="I21" s="78" t="n">
        <v>90</v>
      </c>
      <c r="J21" s="79" t="inlineStr">
        <is>
          <t>High risk</t>
        </is>
      </c>
    </row>
    <row r="22" ht="16" customHeight="1">
      <c r="B22" s="19" t="inlineStr">
        <is>
          <t>CEVA</t>
        </is>
      </c>
      <c r="C22" s="20" t="inlineStr">
        <is>
          <t>CEVA, Inc.</t>
        </is>
      </c>
      <c r="D22" s="48" t="inlineStr">
        <is>
          <t>Small Cap</t>
        </is>
      </c>
      <c r="E22" s="27" t="inlineStr">
        <is>
          <t>Speculative</t>
        </is>
      </c>
      <c r="F22" s="34" t="n">
        <v>0.015</v>
      </c>
      <c r="G22" s="72" t="n">
        <v>0.015</v>
      </c>
      <c r="H22" s="73" t="n">
        <v>1500</v>
      </c>
      <c r="I22" s="74" t="n">
        <v>53</v>
      </c>
      <c r="J22" s="75" t="inlineStr">
        <is>
          <t>Medium-High risk</t>
        </is>
      </c>
    </row>
    <row r="23" ht="16" customHeight="1">
      <c r="B23" s="24" t="inlineStr">
        <is>
          <t>RFIL</t>
        </is>
      </c>
      <c r="C23" s="25" t="inlineStr">
        <is>
          <t>RF Industries, Ltd.</t>
        </is>
      </c>
      <c r="D23" s="50" t="inlineStr">
        <is>
          <t>Nano Cap</t>
        </is>
      </c>
      <c r="E23" s="27" t="inlineStr">
        <is>
          <t>Speculative</t>
        </is>
      </c>
      <c r="F23" s="41" t="n">
        <v>0.015</v>
      </c>
      <c r="G23" s="76" t="n">
        <v>0.009000000000000001</v>
      </c>
      <c r="H23" s="77" t="n">
        <v>900</v>
      </c>
      <c r="I23" s="78" t="n">
        <v>82</v>
      </c>
      <c r="J23" s="79" t="inlineStr">
        <is>
          <t>Medium-High risk</t>
        </is>
      </c>
    </row>
    <row r="24" ht="16" customHeight="1">
      <c r="B24" s="19" t="inlineStr">
        <is>
          <t>ADEA</t>
        </is>
      </c>
      <c r="C24" s="20" t="inlineStr">
        <is>
          <t>Adeia Inc.</t>
        </is>
      </c>
      <c r="D24" s="48" t="inlineStr">
        <is>
          <t>Breakout</t>
        </is>
      </c>
      <c r="E24" s="27" t="inlineStr">
        <is>
          <t>Speculative</t>
        </is>
      </c>
      <c r="F24" s="34" t="n">
        <v>0.015</v>
      </c>
      <c r="G24" s="72" t="n">
        <v>0.018</v>
      </c>
      <c r="H24" s="73" t="n">
        <v>1800</v>
      </c>
      <c r="I24" s="74" t="n">
        <v>66</v>
      </c>
      <c r="J24" s="75" t="inlineStr">
        <is>
          <t>Medium-High risk</t>
        </is>
      </c>
    </row>
    <row r="25" ht="16" customHeight="1">
      <c r="B25" s="24" t="inlineStr">
        <is>
          <t>CMCO</t>
        </is>
      </c>
      <c r="C25" s="25" t="inlineStr">
        <is>
          <t>Columbus McKinnon Corporation</t>
        </is>
      </c>
      <c r="D25" s="50" t="inlineStr">
        <is>
          <t>Small Cap</t>
        </is>
      </c>
      <c r="E25" s="27" t="inlineStr">
        <is>
          <t>Speculative</t>
        </is>
      </c>
      <c r="F25" s="41" t="n">
        <v>0.015</v>
      </c>
      <c r="G25" s="76" t="n">
        <v>0.015</v>
      </c>
      <c r="H25" s="77" t="n">
        <v>1500</v>
      </c>
      <c r="I25" s="78" t="n">
        <v>80</v>
      </c>
      <c r="J25" s="79" t="inlineStr">
        <is>
          <t>Medium-High risk</t>
        </is>
      </c>
    </row>
    <row r="26" ht="16" customHeight="1">
      <c r="B26" s="19" t="inlineStr">
        <is>
          <t>ASYS</t>
        </is>
      </c>
      <c r="C26" s="20" t="inlineStr">
        <is>
          <t>Amtech Systems, Inc.</t>
        </is>
      </c>
      <c r="D26" s="48" t="inlineStr">
        <is>
          <t>Nano Cap</t>
        </is>
      </c>
      <c r="E26" s="27" t="inlineStr">
        <is>
          <t>Speculative</t>
        </is>
      </c>
      <c r="F26" s="34" t="n">
        <v>0.015</v>
      </c>
      <c r="G26" s="72" t="n">
        <v>0.009000000000000001</v>
      </c>
      <c r="H26" s="73" t="n">
        <v>900</v>
      </c>
      <c r="I26" s="74" t="n">
        <v>58</v>
      </c>
      <c r="J26" s="75" t="inlineStr">
        <is>
          <t>Medium-High risk</t>
        </is>
      </c>
    </row>
    <row r="27" ht="16" customHeight="1">
      <c r="B27" s="24" t="inlineStr">
        <is>
          <t>LAW</t>
        </is>
      </c>
      <c r="C27" s="25" t="inlineStr">
        <is>
          <t>CS Disco, Inc.</t>
        </is>
      </c>
      <c r="D27" s="50" t="inlineStr">
        <is>
          <t>Nano Cap</t>
        </is>
      </c>
      <c r="E27" s="27" t="inlineStr">
        <is>
          <t>Speculative</t>
        </is>
      </c>
      <c r="F27" s="41" t="n">
        <v>0.015</v>
      </c>
      <c r="G27" s="76" t="n">
        <v>0.009000000000000001</v>
      </c>
      <c r="H27" s="77" t="n">
        <v>900</v>
      </c>
      <c r="I27" s="78" t="n">
        <v>221</v>
      </c>
      <c r="J27" s="79" t="inlineStr">
        <is>
          <t>Medium-High risk</t>
        </is>
      </c>
    </row>
    <row r="28" ht="16" customHeight="1">
      <c r="B28" s="19" t="inlineStr">
        <is>
          <t>DCI</t>
        </is>
      </c>
      <c r="C28" s="20" t="inlineStr">
        <is>
          <t>Donaldson Company, Inc.</t>
        </is>
      </c>
      <c r="D28" s="48" t="inlineStr">
        <is>
          <t>Breakout</t>
        </is>
      </c>
      <c r="E28" s="27" t="inlineStr">
        <is>
          <t>Speculative</t>
        </is>
      </c>
      <c r="F28" s="34" t="n">
        <v>0.015</v>
      </c>
      <c r="G28" s="72" t="n">
        <v>0.018</v>
      </c>
      <c r="H28" s="73" t="n">
        <v>1800</v>
      </c>
      <c r="I28" s="74" t="n">
        <v>19</v>
      </c>
      <c r="J28" s="75" t="inlineStr">
        <is>
          <t>Medium-Low risk</t>
        </is>
      </c>
    </row>
    <row r="29" ht="16" customHeight="1">
      <c r="B29" s="24" t="inlineStr">
        <is>
          <t>VPG</t>
        </is>
      </c>
      <c r="C29" s="25" t="inlineStr">
        <is>
          <t>Vishay Precision Group, Inc.</t>
        </is>
      </c>
      <c r="D29" s="50" t="inlineStr">
        <is>
          <t>Small Cap</t>
        </is>
      </c>
      <c r="E29" s="27" t="inlineStr">
        <is>
          <t>Speculative</t>
        </is>
      </c>
      <c r="F29" s="41" t="n">
        <v>0.015</v>
      </c>
      <c r="G29" s="76" t="n">
        <v>0.015</v>
      </c>
      <c r="H29" s="77" t="n">
        <v>1500</v>
      </c>
      <c r="I29" s="78" t="n">
        <v>22</v>
      </c>
      <c r="J29" s="79" t="inlineStr"/>
    </row>
    <row r="30" ht="16" customHeight="1">
      <c r="B30" s="19" t="inlineStr">
        <is>
          <t>MNTK</t>
        </is>
      </c>
      <c r="C30" s="20" t="inlineStr">
        <is>
          <t>Montauk Renewables, Inc.</t>
        </is>
      </c>
      <c r="D30" s="48" t="inlineStr">
        <is>
          <t>Small Cap</t>
        </is>
      </c>
      <c r="E30" s="27" t="inlineStr">
        <is>
          <t>Speculative</t>
        </is>
      </c>
      <c r="F30" s="34" t="n">
        <v>0.015</v>
      </c>
      <c r="G30" s="72" t="n">
        <v>0.015</v>
      </c>
      <c r="H30" s="73" t="n">
        <v>1500</v>
      </c>
      <c r="I30" s="74" t="n">
        <v>636</v>
      </c>
      <c r="J30" s="75" t="inlineStr">
        <is>
          <t>Medium-High risk</t>
        </is>
      </c>
    </row>
    <row r="31" ht="16" customHeight="1">
      <c r="B31" s="24" t="inlineStr">
        <is>
          <t>BCO</t>
        </is>
      </c>
      <c r="C31" s="25" t="inlineStr">
        <is>
          <t>The Brink's Company</t>
        </is>
      </c>
      <c r="D31" s="50" t="inlineStr">
        <is>
          <t>Breakout</t>
        </is>
      </c>
      <c r="E31" s="27" t="inlineStr">
        <is>
          <t>Speculative</t>
        </is>
      </c>
      <c r="F31" s="41" t="n">
        <v>0.015</v>
      </c>
      <c r="G31" s="76" t="n">
        <v>0.018</v>
      </c>
      <c r="H31" s="77" t="n">
        <v>1800</v>
      </c>
      <c r="I31" s="78" t="n">
        <v>16</v>
      </c>
      <c r="J31" s="79" t="inlineStr">
        <is>
          <t>Medium-High risk</t>
        </is>
      </c>
    </row>
    <row r="32" ht="16" customHeight="1">
      <c r="B32" s="19" t="inlineStr">
        <is>
          <t>NOVTU</t>
        </is>
      </c>
      <c r="C32" s="20" t="inlineStr">
        <is>
          <t>Novanta Inc. Tangible Equity Units</t>
        </is>
      </c>
      <c r="D32" s="48" t="inlineStr">
        <is>
          <t>Breakout</t>
        </is>
      </c>
      <c r="E32" s="27" t="inlineStr">
        <is>
          <t>Speculative</t>
        </is>
      </c>
      <c r="F32" s="34" t="n">
        <v>0.015</v>
      </c>
      <c r="G32" s="72" t="n">
        <v>0.018</v>
      </c>
      <c r="H32" s="73" t="n">
        <v>1800</v>
      </c>
      <c r="I32" s="74" t="n">
        <v>28</v>
      </c>
      <c r="J32" s="75" t="inlineStr">
        <is>
          <t>Medium-High risk</t>
        </is>
      </c>
    </row>
    <row r="33" ht="16" customHeight="1">
      <c r="B33" s="24" t="inlineStr">
        <is>
          <t>CACI</t>
        </is>
      </c>
      <c r="C33" s="25" t="inlineStr">
        <is>
          <t>CACI International Inc</t>
        </is>
      </c>
      <c r="D33" s="50" t="inlineStr">
        <is>
          <t>Breakout</t>
        </is>
      </c>
      <c r="E33" s="27" t="inlineStr">
        <is>
          <t>Speculative</t>
        </is>
      </c>
      <c r="F33" s="41" t="n">
        <v>0.015</v>
      </c>
      <c r="G33" s="76" t="n">
        <v>0.018</v>
      </c>
      <c r="H33" s="77" t="n">
        <v>1800</v>
      </c>
      <c r="I33" s="78" t="n">
        <v>2</v>
      </c>
      <c r="J33" s="79" t="inlineStr">
        <is>
          <t>Medium-High risk</t>
        </is>
      </c>
    </row>
    <row r="34" ht="16" customHeight="1">
      <c r="B34" s="19" t="inlineStr">
        <is>
          <t>RAL</t>
        </is>
      </c>
      <c r="C34" s="20" t="inlineStr">
        <is>
          <t>Ralliant Corp</t>
        </is>
      </c>
      <c r="D34" s="48" t="inlineStr">
        <is>
          <t>Breakout</t>
        </is>
      </c>
      <c r="E34" s="27" t="inlineStr">
        <is>
          <t>Speculative</t>
        </is>
      </c>
      <c r="F34" s="34" t="n">
        <v>0.015</v>
      </c>
      <c r="G34" s="72" t="n">
        <v>0.018</v>
      </c>
      <c r="H34" s="73" t="n">
        <v>1800</v>
      </c>
      <c r="I34" s="74" t="n">
        <v>28</v>
      </c>
      <c r="J34" s="75" t="inlineStr">
        <is>
          <t>Medium-Low risk</t>
        </is>
      </c>
    </row>
    <row r="35" ht="16" customHeight="1">
      <c r="B35" s="24" t="inlineStr">
        <is>
          <t>EVLV</t>
        </is>
      </c>
      <c r="C35" s="25" t="inlineStr">
        <is>
          <t>Evolv Technologies Holdings, Inc.</t>
        </is>
      </c>
      <c r="D35" s="50" t="inlineStr">
        <is>
          <t>Small Cap</t>
        </is>
      </c>
      <c r="E35" s="27" t="inlineStr">
        <is>
          <t>Speculative</t>
        </is>
      </c>
      <c r="F35" s="41" t="n">
        <v>0.015</v>
      </c>
      <c r="G35" s="76" t="n">
        <v>0.015</v>
      </c>
      <c r="H35" s="77" t="n">
        <v>1500</v>
      </c>
      <c r="I35" s="78" t="n">
        <v>294</v>
      </c>
      <c r="J35" s="79" t="inlineStr">
        <is>
          <t>Medium-High risk</t>
        </is>
      </c>
    </row>
    <row r="36" ht="16" customHeight="1">
      <c r="B36" s="19" t="inlineStr">
        <is>
          <t>ADTN</t>
        </is>
      </c>
      <c r="C36" s="20" t="inlineStr">
        <is>
          <t>ADTRAN Holdings Inc.</t>
        </is>
      </c>
      <c r="D36" s="48" t="inlineStr">
        <is>
          <t>Small Cap</t>
        </is>
      </c>
      <c r="E36" s="27" t="inlineStr">
        <is>
          <t>Speculative</t>
        </is>
      </c>
      <c r="F36" s="34" t="n">
        <v>0.015</v>
      </c>
      <c r="G36" s="72" t="n">
        <v>0.015</v>
      </c>
      <c r="H36" s="73" t="n">
        <v>1500</v>
      </c>
      <c r="I36" s="74" t="n">
        <v>199</v>
      </c>
      <c r="J36" s="75" t="inlineStr"/>
    </row>
    <row r="37" ht="16" customHeight="1">
      <c r="B37" s="24" t="inlineStr">
        <is>
          <t>BDC</t>
        </is>
      </c>
      <c r="C37" s="25" t="inlineStr">
        <is>
          <t>Belden Inc.</t>
        </is>
      </c>
      <c r="D37" s="50" t="inlineStr">
        <is>
          <t>Breakout</t>
        </is>
      </c>
      <c r="E37" s="27" t="inlineStr">
        <is>
          <t>Speculative</t>
        </is>
      </c>
      <c r="F37" s="41" t="n">
        <v>0.015</v>
      </c>
      <c r="G37" s="76" t="n">
        <v>0.018</v>
      </c>
      <c r="H37" s="77" t="n">
        <v>1800</v>
      </c>
      <c r="I37" s="78" t="n">
        <v>14</v>
      </c>
      <c r="J37" s="79" t="inlineStr">
        <is>
          <t>Medium-Low risk</t>
        </is>
      </c>
    </row>
    <row r="38" ht="16" customHeight="1">
      <c r="B38" s="19" t="inlineStr">
        <is>
          <t>LTRX</t>
        </is>
      </c>
      <c r="C38" s="20" t="inlineStr">
        <is>
          <t>Lantronix, Inc.</t>
        </is>
      </c>
      <c r="D38" s="48" t="inlineStr">
        <is>
          <t>Nano Cap</t>
        </is>
      </c>
      <c r="E38" s="27" t="inlineStr">
        <is>
          <t>Speculative</t>
        </is>
      </c>
      <c r="F38" s="34" t="n">
        <v>0.015</v>
      </c>
      <c r="G38" s="72" t="n">
        <v>0.009000000000000001</v>
      </c>
      <c r="H38" s="73" t="n">
        <v>900</v>
      </c>
      <c r="I38" s="74" t="n">
        <v>168</v>
      </c>
      <c r="J38" s="75" t="inlineStr">
        <is>
          <t>Medium-High risk</t>
        </is>
      </c>
    </row>
    <row r="39" ht="16" customHeight="1">
      <c r="B39" s="24" t="inlineStr">
        <is>
          <t>SHLS</t>
        </is>
      </c>
      <c r="C39" s="25" t="inlineStr">
        <is>
          <t>Shoals Technologies Group, Inc.</t>
        </is>
      </c>
      <c r="D39" s="50" t="inlineStr">
        <is>
          <t>Small Cap</t>
        </is>
      </c>
      <c r="E39" s="27" t="inlineStr">
        <is>
          <t>Speculative</t>
        </is>
      </c>
      <c r="F39" s="41" t="n">
        <v>0.015</v>
      </c>
      <c r="G39" s="76" t="n">
        <v>0.015</v>
      </c>
      <c r="H39" s="77" t="n">
        <v>1500</v>
      </c>
      <c r="I39" s="78" t="n">
        <v>199</v>
      </c>
      <c r="J39" s="79" t="inlineStr">
        <is>
          <t>Medium-High risk</t>
        </is>
      </c>
    </row>
    <row r="40" ht="16" customHeight="1">
      <c r="B40" s="19" t="inlineStr">
        <is>
          <t>KD</t>
        </is>
      </c>
      <c r="C40" s="20" t="inlineStr">
        <is>
          <t>Kyndryl Holdings, Inc.</t>
        </is>
      </c>
      <c r="D40" s="48" t="inlineStr">
        <is>
          <t>Breakout</t>
        </is>
      </c>
      <c r="E40" s="27" t="inlineStr">
        <is>
          <t>Speculative</t>
        </is>
      </c>
      <c r="F40" s="34" t="n">
        <v>0.015</v>
      </c>
      <c r="G40" s="72" t="n">
        <v>0.018</v>
      </c>
      <c r="H40" s="73" t="n">
        <v>1800</v>
      </c>
      <c r="I40" s="74" t="n">
        <v>142</v>
      </c>
      <c r="J40" s="75" t="inlineStr">
        <is>
          <t>High risk</t>
        </is>
      </c>
    </row>
    <row r="41" ht="16" customHeight="1">
      <c r="B41" s="24" t="inlineStr">
        <is>
          <t>ROC</t>
        </is>
      </c>
      <c r="C41" s="25" t="inlineStr">
        <is>
          <t>Rank One Computing Corp.</t>
        </is>
      </c>
      <c r="D41" s="50" t="inlineStr">
        <is>
          <t>Nano Cap</t>
        </is>
      </c>
      <c r="E41" s="27" t="inlineStr">
        <is>
          <t>Speculative</t>
        </is>
      </c>
      <c r="F41" s="41" t="n">
        <v>0.015</v>
      </c>
      <c r="G41" s="76" t="n">
        <v>0.009000000000000001</v>
      </c>
      <c r="H41" s="77" t="n">
        <v>900</v>
      </c>
      <c r="I41" s="78" t="n">
        <v>209</v>
      </c>
      <c r="J41" s="79" t="inlineStr">
        <is>
          <t>High risk</t>
        </is>
      </c>
    </row>
    <row r="42" ht="16" customHeight="1">
      <c r="B42" s="19" t="inlineStr">
        <is>
          <t>BKTI</t>
        </is>
      </c>
      <c r="C42" s="20" t="inlineStr">
        <is>
          <t>BK Technologies Corporation</t>
        </is>
      </c>
      <c r="D42" s="48" t="inlineStr">
        <is>
          <t>Nano Cap</t>
        </is>
      </c>
      <c r="E42" s="27" t="inlineStr">
        <is>
          <t>Speculative</t>
        </is>
      </c>
      <c r="F42" s="34" t="n">
        <v>0.015</v>
      </c>
      <c r="G42" s="72" t="n">
        <v>0.009000000000000001</v>
      </c>
      <c r="H42" s="73" t="n">
        <v>900</v>
      </c>
      <c r="I42" s="74" t="n">
        <v>12</v>
      </c>
      <c r="J42" s="75" t="inlineStr">
        <is>
          <t>Medium-High risk</t>
        </is>
      </c>
    </row>
    <row r="43" ht="16" customHeight="1">
      <c r="B43" s="24" t="inlineStr">
        <is>
          <t>LNSR</t>
        </is>
      </c>
      <c r="C43" s="25" t="inlineStr">
        <is>
          <t>LENSAR Inc</t>
        </is>
      </c>
      <c r="D43" s="50" t="inlineStr">
        <is>
          <t>Nano Cap</t>
        </is>
      </c>
      <c r="E43" s="27" t="inlineStr">
        <is>
          <t>Speculative</t>
        </is>
      </c>
      <c r="F43" s="41" t="n">
        <v>0.015</v>
      </c>
      <c r="G43" s="76" t="n">
        <v>0.009000000000000001</v>
      </c>
      <c r="H43" s="77" t="n">
        <v>900</v>
      </c>
      <c r="I43" s="78" t="n">
        <v>104</v>
      </c>
      <c r="J43" s="79" t="inlineStr">
        <is>
          <t>Medium-High risk</t>
        </is>
      </c>
    </row>
    <row r="45">
      <c r="B45" s="80" t="inlineStr">
        <is>
          <t>TOTAL ALLOCATED</t>
        </is>
      </c>
      <c r="C45" s="81" t="n"/>
      <c r="D45" s="81" t="n"/>
      <c r="E45" s="81" t="n"/>
      <c r="F45" s="81" t="n"/>
      <c r="G45" s="82" t="n">
        <v>0.4979999999999998</v>
      </c>
      <c r="H45" s="83" t="n">
        <v>49800</v>
      </c>
    </row>
    <row r="46">
      <c r="B46" s="80" t="inlineStr">
        <is>
          <t>CASH RESERVE</t>
        </is>
      </c>
      <c r="C46" s="81" t="n"/>
      <c r="D46" s="81" t="n"/>
      <c r="E46" s="81" t="n"/>
      <c r="F46" s="81" t="n"/>
      <c r="G46" s="84" t="n">
        <v>0.5020000000000002</v>
      </c>
      <c r="H46" s="85" t="n">
        <v>50200</v>
      </c>
    </row>
    <row r="49" ht="22" customHeight="1">
      <c r="B49" s="16" t="inlineStr">
        <is>
          <t>SENSITIVITY TO PORTFOLIO SIZE</t>
        </is>
      </c>
      <c r="C49" s="17" t="n"/>
      <c r="D49" s="17" t="n"/>
      <c r="E49" s="17" t="n"/>
      <c r="F49" s="17" t="n"/>
      <c r="G49" s="17" t="n"/>
      <c r="H49" s="17" t="n"/>
      <c r="I49" s="17" t="n"/>
      <c r="J49" s="17" t="n"/>
    </row>
    <row r="50" ht="18" customHeight="1">
      <c r="B50" s="18" t="inlineStr">
        <is>
          <t>Ticker</t>
        </is>
      </c>
      <c r="C50" s="18" t="inlineStr">
        <is>
          <t>$50K</t>
        </is>
      </c>
      <c r="D50" s="18" t="inlineStr">
        <is>
          <t>$100K</t>
        </is>
      </c>
      <c r="E50" s="18" t="inlineStr">
        <is>
          <t>$250K</t>
        </is>
      </c>
      <c r="F50" s="18" t="inlineStr">
        <is>
          <t>$500K</t>
        </is>
      </c>
      <c r="G50" s="18" t="inlineStr">
        <is>
          <t>$1M</t>
        </is>
      </c>
      <c r="L50" t="inlineStr">
        <is>
          <t>Tier</t>
        </is>
      </c>
      <c r="M50" t="inlineStr">
        <is>
          <t>Allocation %</t>
        </is>
      </c>
    </row>
    <row r="51" ht="16" customHeight="1">
      <c r="B51" s="19" t="inlineStr">
        <is>
          <t>SWBI</t>
        </is>
      </c>
      <c r="C51" s="21" t="n">
        <v>1500</v>
      </c>
      <c r="D51" s="86" t="n">
        <v>3000</v>
      </c>
      <c r="E51" s="21" t="n">
        <v>7500</v>
      </c>
      <c r="F51" s="21" t="n">
        <v>15000</v>
      </c>
      <c r="G51" s="21" t="n">
        <v>30000</v>
      </c>
      <c r="L51" t="inlineStr">
        <is>
          <t>Small Cap</t>
        </is>
      </c>
      <c r="M51" t="n">
        <v>16.5</v>
      </c>
    </row>
    <row r="52" ht="16" customHeight="1">
      <c r="B52" s="24" t="inlineStr">
        <is>
          <t>CE</t>
        </is>
      </c>
      <c r="C52" s="26" t="n">
        <v>1800</v>
      </c>
      <c r="D52" s="86" t="n">
        <v>3600</v>
      </c>
      <c r="E52" s="26" t="n">
        <v>9000.000000000002</v>
      </c>
      <c r="F52" s="26" t="n">
        <v>18000</v>
      </c>
      <c r="G52" s="26" t="n">
        <v>36000.00000000001</v>
      </c>
      <c r="L52" t="inlineStr">
        <is>
          <t>Breakout</t>
        </is>
      </c>
      <c r="M52" t="n">
        <v>21.6</v>
      </c>
    </row>
    <row r="53" ht="16" customHeight="1">
      <c r="B53" s="19" t="inlineStr">
        <is>
          <t>CALX</t>
        </is>
      </c>
      <c r="C53" s="21" t="n">
        <v>1800</v>
      </c>
      <c r="D53" s="86" t="n">
        <v>3600</v>
      </c>
      <c r="E53" s="21" t="n">
        <v>9000.000000000002</v>
      </c>
      <c r="F53" s="21" t="n">
        <v>18000</v>
      </c>
      <c r="G53" s="21" t="n">
        <v>36000.00000000001</v>
      </c>
      <c r="L53" t="inlineStr">
        <is>
          <t>Nano Cap</t>
        </is>
      </c>
      <c r="M53" t="n">
        <v>11.7</v>
      </c>
    </row>
    <row r="54" ht="16" customHeight="1">
      <c r="B54" s="24" t="inlineStr">
        <is>
          <t>AISP</t>
        </is>
      </c>
      <c r="C54" s="26" t="n">
        <v>900.0000000000001</v>
      </c>
      <c r="D54" s="86" t="n">
        <v>1800</v>
      </c>
      <c r="E54" s="26" t="n">
        <v>4500.000000000001</v>
      </c>
      <c r="F54" s="26" t="n">
        <v>9000.000000000002</v>
      </c>
      <c r="G54" s="26" t="n">
        <v>18000</v>
      </c>
      <c r="L54" t="inlineStr">
        <is>
          <t>Cash</t>
        </is>
      </c>
      <c r="M54" t="n">
        <v>50.20000000000002</v>
      </c>
    </row>
    <row r="55" ht="16" customHeight="1">
      <c r="B55" s="19" t="inlineStr">
        <is>
          <t>KVHI</t>
        </is>
      </c>
      <c r="C55" s="21" t="n">
        <v>900.0000000000001</v>
      </c>
      <c r="D55" s="86" t="n">
        <v>1800</v>
      </c>
      <c r="E55" s="21" t="n">
        <v>4500.000000000001</v>
      </c>
      <c r="F55" s="21" t="n">
        <v>9000.000000000002</v>
      </c>
      <c r="G55" s="21" t="n">
        <v>18000</v>
      </c>
    </row>
    <row r="56" ht="16" customHeight="1">
      <c r="B56" s="24" t="inlineStr">
        <is>
          <t>INTT</t>
        </is>
      </c>
      <c r="C56" s="26" t="n">
        <v>900.0000000000001</v>
      </c>
      <c r="D56" s="86" t="n">
        <v>1800</v>
      </c>
      <c r="E56" s="26" t="n">
        <v>4500.000000000001</v>
      </c>
      <c r="F56" s="26" t="n">
        <v>9000.000000000002</v>
      </c>
      <c r="G56" s="26" t="n">
        <v>18000</v>
      </c>
    </row>
    <row r="57" ht="16" customHeight="1">
      <c r="B57" s="19" t="inlineStr">
        <is>
          <t>GHM</t>
        </is>
      </c>
      <c r="C57" s="21" t="n">
        <v>750</v>
      </c>
      <c r="D57" s="86" t="n">
        <v>1500</v>
      </c>
      <c r="E57" s="21" t="n">
        <v>3750</v>
      </c>
      <c r="F57" s="21" t="n">
        <v>7500</v>
      </c>
      <c r="G57" s="21" t="n">
        <v>15000</v>
      </c>
    </row>
    <row r="58" ht="16" customHeight="1">
      <c r="B58" s="24" t="inlineStr">
        <is>
          <t>TRC</t>
        </is>
      </c>
      <c r="C58" s="26" t="n">
        <v>750</v>
      </c>
      <c r="D58" s="86" t="n">
        <v>1500</v>
      </c>
      <c r="E58" s="26" t="n">
        <v>3750</v>
      </c>
      <c r="F58" s="26" t="n">
        <v>7500</v>
      </c>
      <c r="G58" s="26" t="n">
        <v>15000</v>
      </c>
    </row>
    <row r="59" ht="16" customHeight="1">
      <c r="B59" s="19" t="inlineStr">
        <is>
          <t>CEVA</t>
        </is>
      </c>
      <c r="C59" s="21" t="n">
        <v>750</v>
      </c>
      <c r="D59" s="86" t="n">
        <v>1500</v>
      </c>
      <c r="E59" s="21" t="n">
        <v>3750</v>
      </c>
      <c r="F59" s="21" t="n">
        <v>7500</v>
      </c>
      <c r="G59" s="21" t="n">
        <v>15000</v>
      </c>
    </row>
    <row r="60" ht="16" customHeight="1">
      <c r="B60" s="24" t="inlineStr">
        <is>
          <t>RFIL</t>
        </is>
      </c>
      <c r="C60" s="26" t="n">
        <v>450.0000000000001</v>
      </c>
      <c r="D60" s="86" t="n">
        <v>900.0000000000001</v>
      </c>
      <c r="E60" s="26" t="n">
        <v>2250</v>
      </c>
      <c r="F60" s="26" t="n">
        <v>4500.000000000001</v>
      </c>
      <c r="G60" s="26" t="n">
        <v>9000.000000000002</v>
      </c>
    </row>
  </sheetData>
  <mergeCells count="5">
    <mergeCell ref="A2:N2"/>
    <mergeCell ref="B49:J49"/>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5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7" t="inlineStr">
        <is>
          <t>Active Scenario:</t>
        </is>
      </c>
      <c r="C5" s="64" t="inlineStr">
        <is>
          <t>Baseline</t>
        </is>
      </c>
    </row>
    <row r="7" ht="18" customHeight="1">
      <c r="B7" s="18" t="inlineStr">
        <is>
          <t>Weight</t>
        </is>
      </c>
      <c r="C7" s="18" t="inlineStr">
        <is>
          <t>Baseline</t>
        </is>
      </c>
      <c r="D7" s="18" t="inlineStr">
        <is>
          <t>Fingerprint Only</t>
        </is>
      </c>
      <c r="E7" s="18" t="inlineStr">
        <is>
          <t>Insider Heavy</t>
        </is>
      </c>
      <c r="F7" s="18" t="inlineStr">
        <is>
          <t>Legacy 35/25/40</t>
        </is>
      </c>
      <c r="G7" s="18" t="inlineStr">
        <is>
          <t>Custom</t>
        </is>
      </c>
    </row>
    <row r="8" ht="16" customHeight="1">
      <c r="B8" s="20" t="inlineStr">
        <is>
          <t>Composite</t>
        </is>
      </c>
      <c r="C8" s="88" t="n">
        <v>0</v>
      </c>
      <c r="D8" s="89" t="n">
        <v>0</v>
      </c>
      <c r="E8" s="89" t="n">
        <v>0</v>
      </c>
      <c r="F8" s="89" t="n">
        <v>0.35</v>
      </c>
      <c r="G8" s="90" t="n">
        <v>0</v>
      </c>
    </row>
    <row r="9" ht="16" customHeight="1">
      <c r="B9" s="20" t="inlineStr">
        <is>
          <t>Fingerprint</t>
        </is>
      </c>
      <c r="C9" s="88" t="n">
        <v>0.5</v>
      </c>
      <c r="D9" s="89" t="n">
        <v>1</v>
      </c>
      <c r="E9" s="89" t="n">
        <v>0.4</v>
      </c>
      <c r="F9" s="89" t="n">
        <v>0.25</v>
      </c>
      <c r="G9" s="90" t="n">
        <v>0.5</v>
      </c>
    </row>
    <row r="10" ht="16" customHeight="1">
      <c r="B10" s="20" t="inlineStr">
        <is>
          <t>WPS</t>
        </is>
      </c>
      <c r="C10" s="88" t="n">
        <v>0.2</v>
      </c>
      <c r="D10" s="89" t="n">
        <v>0</v>
      </c>
      <c r="E10" s="89" t="n">
        <v>0</v>
      </c>
      <c r="F10" s="89" t="n">
        <v>0.4</v>
      </c>
      <c r="G10" s="90" t="n">
        <v>0.2</v>
      </c>
    </row>
    <row r="11" ht="16" customHeight="1">
      <c r="B11" s="20" t="inlineStr">
        <is>
          <t>Insider Flow</t>
        </is>
      </c>
      <c r="C11" s="88" t="n">
        <v>0.3</v>
      </c>
      <c r="D11" s="89" t="n">
        <v>0</v>
      </c>
      <c r="E11" s="89" t="n">
        <v>0.6</v>
      </c>
      <c r="F11" s="89" t="n">
        <v>0</v>
      </c>
      <c r="G11" s="90" t="n">
        <v>0.3</v>
      </c>
    </row>
    <row r="13" ht="22" customHeight="1">
      <c r="B13" s="16" t="inlineStr">
        <is>
          <t>COMBINED SCORES UNDER EACH PROFILE</t>
        </is>
      </c>
      <c r="C13" s="17" t="n"/>
      <c r="D13" s="17" t="n"/>
      <c r="E13" s="17" t="n"/>
      <c r="F13" s="17" t="n"/>
      <c r="G13" s="17" t="n"/>
      <c r="H13" s="17" t="n"/>
      <c r="I13" s="17" t="n"/>
      <c r="J13" s="17" t="n"/>
      <c r="K13" s="17" t="n"/>
      <c r="L13" s="17" t="n"/>
      <c r="M13" s="17" t="n"/>
    </row>
    <row r="14" ht="18" customHeight="1">
      <c r="B14" s="18" t="inlineStr">
        <is>
          <t>Ticker</t>
        </is>
      </c>
      <c r="C14" s="18" t="inlineStr">
        <is>
          <t>Name</t>
        </is>
      </c>
      <c r="D14" s="18" t="inlineStr">
        <is>
          <t>Tier</t>
        </is>
      </c>
      <c r="E14" s="18" t="inlineStr">
        <is>
          <t>Baseline</t>
        </is>
      </c>
      <c r="F14" s="18" t="inlineStr">
        <is>
          <t>Fingerprint Only</t>
        </is>
      </c>
      <c r="G14" s="18" t="inlineStr">
        <is>
          <t>Insider Heavy</t>
        </is>
      </c>
      <c r="H14" s="18" t="inlineStr">
        <is>
          <t>Legacy 35/25/40</t>
        </is>
      </c>
      <c r="I14" s="18" t="inlineStr">
        <is>
          <t>Max Score</t>
        </is>
      </c>
      <c r="J14" s="18" t="inlineStr">
        <is>
          <t>Min Score</t>
        </is>
      </c>
      <c r="K14" s="18" t="inlineStr">
        <is>
          <t>Score Range</t>
        </is>
      </c>
      <c r="L14" s="18" t="inlineStr">
        <is>
          <t>Rank Stability</t>
        </is>
      </c>
    </row>
    <row r="15" ht="16" customHeight="1">
      <c r="B15" s="19" t="inlineStr">
        <is>
          <t>SWBI</t>
        </is>
      </c>
      <c r="C15" s="20" t="inlineStr">
        <is>
          <t>Smith &amp; Wesson Brands, Inc.</t>
        </is>
      </c>
      <c r="D15" s="48" t="inlineStr">
        <is>
          <t>Small Cap</t>
        </is>
      </c>
      <c r="E15" s="36" t="n">
        <v>70</v>
      </c>
      <c r="F15" s="36" t="n">
        <v>85.40000000000001</v>
      </c>
      <c r="G15" s="36" t="n">
        <v>64.2</v>
      </c>
      <c r="H15" s="36" t="n">
        <v>71.7</v>
      </c>
      <c r="I15" s="36" t="n">
        <v>85.40000000000001</v>
      </c>
      <c r="J15" s="36" t="n">
        <v>64.2</v>
      </c>
      <c r="K15" s="36" t="n">
        <v>21.2</v>
      </c>
      <c r="L15" s="27" t="inlineStr">
        <is>
          <t>Sensitive</t>
        </is>
      </c>
    </row>
    <row r="16" ht="16" customHeight="1">
      <c r="B16" s="24" t="inlineStr">
        <is>
          <t>CE</t>
        </is>
      </c>
      <c r="C16" s="25" t="inlineStr">
        <is>
          <t>Celanese Corporation</t>
        </is>
      </c>
      <c r="D16" s="50" t="inlineStr">
        <is>
          <t>Breakout</t>
        </is>
      </c>
      <c r="E16" s="42" t="n">
        <v>68.90000000000001</v>
      </c>
      <c r="F16" s="42" t="n">
        <v>73.5</v>
      </c>
      <c r="G16" s="42" t="n">
        <v>70.7</v>
      </c>
      <c r="H16" s="42" t="n">
        <v>62.2</v>
      </c>
      <c r="I16" s="42" t="n">
        <v>73.5</v>
      </c>
      <c r="J16" s="42" t="n">
        <v>62.2</v>
      </c>
      <c r="K16" s="42" t="n">
        <v>11.3</v>
      </c>
      <c r="L16" s="23" t="inlineStr">
        <is>
          <t>Moderate</t>
        </is>
      </c>
    </row>
    <row r="17" ht="16" customHeight="1">
      <c r="B17" s="19" t="inlineStr">
        <is>
          <t>CALX</t>
        </is>
      </c>
      <c r="C17" s="20" t="inlineStr">
        <is>
          <t>Calix, Inc.</t>
        </is>
      </c>
      <c r="D17" s="48" t="inlineStr">
        <is>
          <t>Breakout</t>
        </is>
      </c>
      <c r="E17" s="36" t="n">
        <v>68.59999999999999</v>
      </c>
      <c r="F17" s="36" t="n">
        <v>83.90000000000001</v>
      </c>
      <c r="G17" s="36" t="n">
        <v>63.6</v>
      </c>
      <c r="H17" s="36" t="n">
        <v>70.3</v>
      </c>
      <c r="I17" s="36" t="n">
        <v>83.90000000000001</v>
      </c>
      <c r="J17" s="36" t="n">
        <v>63.6</v>
      </c>
      <c r="K17" s="36" t="n">
        <v>20.3</v>
      </c>
      <c r="L17" s="27" t="inlineStr">
        <is>
          <t>Sensitive</t>
        </is>
      </c>
    </row>
    <row r="18" ht="16" customHeight="1">
      <c r="B18" s="24" t="inlineStr">
        <is>
          <t>AISP</t>
        </is>
      </c>
      <c r="C18" s="25" t="inlineStr">
        <is>
          <t>Airship AI Holdings, Inc.</t>
        </is>
      </c>
      <c r="D18" s="50" t="inlineStr">
        <is>
          <t>Nano Cap</t>
        </is>
      </c>
      <c r="E18" s="42" t="n">
        <v>67</v>
      </c>
      <c r="F18" s="42" t="n">
        <v>41.5</v>
      </c>
      <c r="G18" s="42" t="n">
        <v>76.59999999999999</v>
      </c>
      <c r="H18" s="42" t="n">
        <v>73.3</v>
      </c>
      <c r="I18" s="42" t="n">
        <v>76.59999999999999</v>
      </c>
      <c r="J18" s="42" t="n">
        <v>41.5</v>
      </c>
      <c r="K18" s="42" t="n">
        <v>35.09999999999999</v>
      </c>
      <c r="L18" s="27" t="inlineStr">
        <is>
          <t>Sensitive</t>
        </is>
      </c>
    </row>
    <row r="19" ht="16" customHeight="1">
      <c r="B19" s="19" t="inlineStr">
        <is>
          <t>KVHI</t>
        </is>
      </c>
      <c r="C19" s="20" t="inlineStr">
        <is>
          <t>KVH Industries, Inc.</t>
        </is>
      </c>
      <c r="D19" s="48" t="inlineStr">
        <is>
          <t>Nano Cap</t>
        </is>
      </c>
      <c r="E19" s="36" t="n">
        <v>66.59999999999999</v>
      </c>
      <c r="F19" s="36" t="n">
        <v>58.4</v>
      </c>
      <c r="G19" s="36" t="n">
        <v>73.2</v>
      </c>
      <c r="H19" s="36" t="n">
        <v>67.90000000000001</v>
      </c>
      <c r="I19" s="36" t="n">
        <v>73.2</v>
      </c>
      <c r="J19" s="36" t="n">
        <v>58.4</v>
      </c>
      <c r="K19" s="36" t="n">
        <v>14.8</v>
      </c>
      <c r="L19" s="23" t="inlineStr">
        <is>
          <t>Moderate</t>
        </is>
      </c>
    </row>
    <row r="20" ht="16" customHeight="1">
      <c r="B20" s="24" t="inlineStr">
        <is>
          <t>INTT</t>
        </is>
      </c>
      <c r="C20" s="25" t="inlineStr">
        <is>
          <t>inTEST Corporation</t>
        </is>
      </c>
      <c r="D20" s="50" t="inlineStr">
        <is>
          <t>Nano Cap</t>
        </is>
      </c>
      <c r="E20" s="42" t="n">
        <v>66.40000000000001</v>
      </c>
      <c r="F20" s="42" t="n">
        <v>71.2</v>
      </c>
      <c r="G20" s="42" t="n">
        <v>63.3</v>
      </c>
      <c r="H20" s="42" t="n">
        <v>74.5</v>
      </c>
      <c r="I20" s="42" t="n">
        <v>74.5</v>
      </c>
      <c r="J20" s="42" t="n">
        <v>63.3</v>
      </c>
      <c r="K20" s="42" t="n">
        <v>11.2</v>
      </c>
      <c r="L20" s="23" t="inlineStr">
        <is>
          <t>Moderate</t>
        </is>
      </c>
    </row>
    <row r="21" ht="16" customHeight="1">
      <c r="B21" s="19" t="inlineStr">
        <is>
          <t>GHM</t>
        </is>
      </c>
      <c r="C21" s="20" t="inlineStr">
        <is>
          <t>Graham Corporation</t>
        </is>
      </c>
      <c r="D21" s="48" t="inlineStr">
        <is>
          <t>Small Cap</t>
        </is>
      </c>
      <c r="E21" s="36" t="n">
        <v>63.6</v>
      </c>
      <c r="F21" s="36" t="n">
        <v>77</v>
      </c>
      <c r="G21" s="36" t="n">
        <v>60.2</v>
      </c>
      <c r="H21" s="36" t="n">
        <v>61</v>
      </c>
      <c r="I21" s="36" t="n">
        <v>77</v>
      </c>
      <c r="J21" s="36" t="n">
        <v>60.2</v>
      </c>
      <c r="K21" s="36" t="n">
        <v>16.8</v>
      </c>
      <c r="L21" s="23" t="inlineStr">
        <is>
          <t>Moderate</t>
        </is>
      </c>
    </row>
    <row r="22" ht="16" customHeight="1">
      <c r="B22" s="24" t="inlineStr">
        <is>
          <t>TRC</t>
        </is>
      </c>
      <c r="C22" s="25" t="inlineStr">
        <is>
          <t>Tejon Ranch Co.</t>
        </is>
      </c>
      <c r="D22" s="50" t="inlineStr">
        <is>
          <t>Small Cap</t>
        </is>
      </c>
      <c r="E22" s="42" t="n">
        <v>63.5</v>
      </c>
      <c r="F22" s="42" t="n">
        <v>69.40000000000001</v>
      </c>
      <c r="G22" s="42" t="n">
        <v>57.8</v>
      </c>
      <c r="H22" s="42" t="n">
        <v>75.90000000000001</v>
      </c>
      <c r="I22" s="42" t="n">
        <v>75.90000000000001</v>
      </c>
      <c r="J22" s="42" t="n">
        <v>57.8</v>
      </c>
      <c r="K22" s="42" t="n">
        <v>18.10000000000001</v>
      </c>
      <c r="L22" s="23" t="inlineStr">
        <is>
          <t>Moderate</t>
        </is>
      </c>
    </row>
    <row r="23" ht="16" customHeight="1">
      <c r="B23" s="19" t="inlineStr">
        <is>
          <t>CEVA</t>
        </is>
      </c>
      <c r="C23" s="20" t="inlineStr">
        <is>
          <t>CEVA, Inc.</t>
        </is>
      </c>
      <c r="D23" s="48" t="inlineStr">
        <is>
          <t>Small Cap</t>
        </is>
      </c>
      <c r="E23" s="36" t="n">
        <v>62.2</v>
      </c>
      <c r="F23" s="36" t="n">
        <v>62.7</v>
      </c>
      <c r="G23" s="36" t="n">
        <v>66.7</v>
      </c>
      <c r="H23" s="36" t="n">
        <v>59.1</v>
      </c>
      <c r="I23" s="36" t="n">
        <v>66.7</v>
      </c>
      <c r="J23" s="36" t="n">
        <v>59.1</v>
      </c>
      <c r="K23" s="36" t="n">
        <v>7.600000000000001</v>
      </c>
      <c r="L23" s="91" t="inlineStr">
        <is>
          <t>Stable</t>
        </is>
      </c>
    </row>
    <row r="24" ht="16" customHeight="1">
      <c r="B24" s="24" t="inlineStr">
        <is>
          <t>RFIL</t>
        </is>
      </c>
      <c r="C24" s="25" t="inlineStr">
        <is>
          <t>RF Industries, Ltd.</t>
        </is>
      </c>
      <c r="D24" s="50" t="inlineStr">
        <is>
          <t>Nano Cap</t>
        </is>
      </c>
      <c r="E24" s="42" t="n">
        <v>62.1</v>
      </c>
      <c r="F24" s="42" t="n">
        <v>65.7</v>
      </c>
      <c r="G24" s="42" t="n">
        <v>56.3</v>
      </c>
      <c r="H24" s="42" t="n">
        <v>66.8</v>
      </c>
      <c r="I24" s="42" t="n">
        <v>66.8</v>
      </c>
      <c r="J24" s="42" t="n">
        <v>56.3</v>
      </c>
      <c r="K24" s="42" t="n">
        <v>10.5</v>
      </c>
      <c r="L24" s="23" t="inlineStr">
        <is>
          <t>Moderate</t>
        </is>
      </c>
    </row>
    <row r="25" ht="16" customHeight="1">
      <c r="B25" s="19" t="inlineStr">
        <is>
          <t>ADEA</t>
        </is>
      </c>
      <c r="C25" s="20" t="inlineStr">
        <is>
          <t>Adeia Inc.</t>
        </is>
      </c>
      <c r="D25" s="48" t="inlineStr">
        <is>
          <t>Breakout</t>
        </is>
      </c>
      <c r="E25" s="36" t="n">
        <v>61.8</v>
      </c>
      <c r="F25" s="36" t="n">
        <v>75.09999999999999</v>
      </c>
      <c r="G25" s="36" t="n">
        <v>51.2</v>
      </c>
      <c r="H25" s="36" t="n">
        <v>64.90000000000001</v>
      </c>
      <c r="I25" s="36" t="n">
        <v>75.09999999999999</v>
      </c>
      <c r="J25" s="36" t="n">
        <v>51.2</v>
      </c>
      <c r="K25" s="36" t="n">
        <v>23.89999999999999</v>
      </c>
      <c r="L25" s="27" t="inlineStr">
        <is>
          <t>Sensitive</t>
        </is>
      </c>
    </row>
    <row r="26" ht="16" customHeight="1">
      <c r="B26" s="24" t="inlineStr">
        <is>
          <t>CMCO</t>
        </is>
      </c>
      <c r="C26" s="25" t="inlineStr">
        <is>
          <t>Columbus McKinnon Corporation</t>
        </is>
      </c>
      <c r="D26" s="50" t="inlineStr">
        <is>
          <t>Small Cap</t>
        </is>
      </c>
      <c r="E26" s="42" t="n">
        <v>60.8</v>
      </c>
      <c r="F26" s="42" t="n">
        <v>72.2</v>
      </c>
      <c r="G26" s="42" t="n">
        <v>59.2</v>
      </c>
      <c r="H26" s="42" t="n">
        <v>66</v>
      </c>
      <c r="I26" s="42" t="n">
        <v>72.2</v>
      </c>
      <c r="J26" s="42" t="n">
        <v>59.2</v>
      </c>
      <c r="K26" s="42" t="n">
        <v>13</v>
      </c>
      <c r="L26" s="23" t="inlineStr">
        <is>
          <t>Moderate</t>
        </is>
      </c>
    </row>
    <row r="27" ht="16" customHeight="1">
      <c r="B27" s="19" t="inlineStr">
        <is>
          <t>ASYS</t>
        </is>
      </c>
      <c r="C27" s="20" t="inlineStr">
        <is>
          <t>Amtech Systems, Inc.</t>
        </is>
      </c>
      <c r="D27" s="48" t="inlineStr">
        <is>
          <t>Nano Cap</t>
        </is>
      </c>
      <c r="E27" s="36" t="n">
        <v>59.9</v>
      </c>
      <c r="F27" s="36" t="n">
        <v>62.4</v>
      </c>
      <c r="G27" s="36" t="n">
        <v>58.6</v>
      </c>
      <c r="H27" s="36" t="n">
        <v>65.2</v>
      </c>
      <c r="I27" s="36" t="n">
        <v>65.2</v>
      </c>
      <c r="J27" s="36" t="n">
        <v>58.6</v>
      </c>
      <c r="K27" s="36" t="n">
        <v>6.600000000000001</v>
      </c>
      <c r="L27" s="91" t="inlineStr">
        <is>
          <t>Stable</t>
        </is>
      </c>
    </row>
    <row r="28" ht="16" customHeight="1">
      <c r="B28" s="24" t="inlineStr">
        <is>
          <t>LAW</t>
        </is>
      </c>
      <c r="C28" s="25" t="inlineStr">
        <is>
          <t>CS Disco, Inc.</t>
        </is>
      </c>
      <c r="D28" s="50" t="inlineStr">
        <is>
          <t>Nano Cap</t>
        </is>
      </c>
      <c r="E28" s="42" t="n">
        <v>59.8</v>
      </c>
      <c r="F28" s="42" t="n">
        <v>47.5</v>
      </c>
      <c r="G28" s="42" t="n">
        <v>68.2</v>
      </c>
      <c r="H28" s="42" t="n">
        <v>59.9</v>
      </c>
      <c r="I28" s="42" t="n">
        <v>68.2</v>
      </c>
      <c r="J28" s="42" t="n">
        <v>47.5</v>
      </c>
      <c r="K28" s="42" t="n">
        <v>20.7</v>
      </c>
      <c r="L28" s="27" t="inlineStr">
        <is>
          <t>Sensitive</t>
        </is>
      </c>
    </row>
    <row r="29" ht="16" customHeight="1">
      <c r="B29" s="19" t="inlineStr">
        <is>
          <t>DCI</t>
        </is>
      </c>
      <c r="C29" s="20" t="inlineStr">
        <is>
          <t>Donaldson Company, Inc.</t>
        </is>
      </c>
      <c r="D29" s="48" t="inlineStr">
        <is>
          <t>Breakout</t>
        </is>
      </c>
      <c r="E29" s="36" t="n">
        <v>59.6</v>
      </c>
      <c r="F29" s="36" t="n">
        <v>79.40000000000001</v>
      </c>
      <c r="G29" s="36" t="n">
        <v>49.9</v>
      </c>
      <c r="H29" s="36" t="n">
        <v>59.9</v>
      </c>
      <c r="I29" s="36" t="n">
        <v>79.40000000000001</v>
      </c>
      <c r="J29" s="36" t="n">
        <v>49.9</v>
      </c>
      <c r="K29" s="36" t="n">
        <v>29.50000000000001</v>
      </c>
      <c r="L29" s="27" t="inlineStr">
        <is>
          <t>Sensitive</t>
        </is>
      </c>
    </row>
    <row r="30" ht="16" customHeight="1">
      <c r="B30" s="24" t="inlineStr">
        <is>
          <t>VPG</t>
        </is>
      </c>
      <c r="C30" s="25" t="inlineStr">
        <is>
          <t>Vishay Precision Group, Inc.</t>
        </is>
      </c>
      <c r="D30" s="50" t="inlineStr">
        <is>
          <t>Small Cap</t>
        </is>
      </c>
      <c r="E30" s="42" t="n">
        <v>59.1</v>
      </c>
      <c r="F30" s="42" t="n">
        <v>66.2</v>
      </c>
      <c r="G30" s="42" t="n">
        <v>53.4</v>
      </c>
      <c r="H30" s="42" t="n">
        <v>72.8</v>
      </c>
      <c r="I30" s="42" t="n">
        <v>72.8</v>
      </c>
      <c r="J30" s="42" t="n">
        <v>53.4</v>
      </c>
      <c r="K30" s="42" t="n">
        <v>19.4</v>
      </c>
      <c r="L30" s="23" t="inlineStr">
        <is>
          <t>Moderate</t>
        </is>
      </c>
    </row>
    <row r="31" ht="16" customHeight="1">
      <c r="B31" s="19" t="inlineStr">
        <is>
          <t>MNTK</t>
        </is>
      </c>
      <c r="C31" s="20" t="inlineStr">
        <is>
          <t>Montauk Renewables, Inc.</t>
        </is>
      </c>
      <c r="D31" s="48" t="inlineStr">
        <is>
          <t>Small Cap</t>
        </is>
      </c>
      <c r="E31" s="36" t="n">
        <v>58.4</v>
      </c>
      <c r="F31" s="36" t="n">
        <v>67.5</v>
      </c>
      <c r="G31" s="36" t="n">
        <v>60.7</v>
      </c>
      <c r="H31" s="36" t="n">
        <v>58.6</v>
      </c>
      <c r="I31" s="36" t="n">
        <v>67.5</v>
      </c>
      <c r="J31" s="36" t="n">
        <v>58.4</v>
      </c>
      <c r="K31" s="36" t="n">
        <v>9.100000000000001</v>
      </c>
      <c r="L31" s="91" t="inlineStr">
        <is>
          <t>Stable</t>
        </is>
      </c>
    </row>
    <row r="32" ht="16" customHeight="1">
      <c r="B32" s="24" t="inlineStr">
        <is>
          <t>BCO</t>
        </is>
      </c>
      <c r="C32" s="25" t="inlineStr">
        <is>
          <t>The Brink's Company</t>
        </is>
      </c>
      <c r="D32" s="50" t="inlineStr">
        <is>
          <t>Breakout</t>
        </is>
      </c>
      <c r="E32" s="42" t="n">
        <v>57.8</v>
      </c>
      <c r="F32" s="42" t="n">
        <v>72.09999999999999</v>
      </c>
      <c r="G32" s="42" t="n">
        <v>55.1</v>
      </c>
      <c r="H32" s="42" t="n">
        <v>51.9</v>
      </c>
      <c r="I32" s="42" t="n">
        <v>72.09999999999999</v>
      </c>
      <c r="J32" s="42" t="n">
        <v>51.9</v>
      </c>
      <c r="K32" s="42" t="n">
        <v>20.2</v>
      </c>
      <c r="L32" s="27" t="inlineStr">
        <is>
          <t>Sensitive</t>
        </is>
      </c>
    </row>
    <row r="33" ht="16" customHeight="1">
      <c r="B33" s="19" t="inlineStr">
        <is>
          <t>NOVTU</t>
        </is>
      </c>
      <c r="C33" s="20" t="inlineStr">
        <is>
          <t>Novanta Inc. Tangible Equity Units</t>
        </is>
      </c>
      <c r="D33" s="48" t="inlineStr">
        <is>
          <t>Breakout</t>
        </is>
      </c>
      <c r="E33" s="36" t="n">
        <v>57.8</v>
      </c>
      <c r="F33" s="36" t="n">
        <v>63.1</v>
      </c>
      <c r="G33" s="36" t="n">
        <v>55.2</v>
      </c>
      <c r="H33" s="36" t="n">
        <v>52.3</v>
      </c>
      <c r="I33" s="36" t="n">
        <v>63.1</v>
      </c>
      <c r="J33" s="36" t="n">
        <v>52.3</v>
      </c>
      <c r="K33" s="36" t="n">
        <v>10.8</v>
      </c>
      <c r="L33" s="23" t="inlineStr">
        <is>
          <t>Moderate</t>
        </is>
      </c>
    </row>
    <row r="34" ht="16" customHeight="1">
      <c r="B34" s="24" t="inlineStr">
        <is>
          <t>CACI</t>
        </is>
      </c>
      <c r="C34" s="25" t="inlineStr">
        <is>
          <t>CACI International Inc</t>
        </is>
      </c>
      <c r="D34" s="50" t="inlineStr">
        <is>
          <t>Breakout</t>
        </is>
      </c>
      <c r="E34" s="42" t="n">
        <v>57.8</v>
      </c>
      <c r="F34" s="42" t="n">
        <v>76.90000000000001</v>
      </c>
      <c r="G34" s="42" t="n">
        <v>47</v>
      </c>
      <c r="H34" s="42" t="n">
        <v>61.3</v>
      </c>
      <c r="I34" s="42" t="n">
        <v>76.90000000000001</v>
      </c>
      <c r="J34" s="42" t="n">
        <v>47</v>
      </c>
      <c r="K34" s="42" t="n">
        <v>29.90000000000001</v>
      </c>
      <c r="L34" s="27" t="inlineStr">
        <is>
          <t>Sensitive</t>
        </is>
      </c>
    </row>
    <row r="35" ht="16" customHeight="1">
      <c r="B35" s="19" t="inlineStr">
        <is>
          <t>RAL</t>
        </is>
      </c>
      <c r="C35" s="20" t="inlineStr">
        <is>
          <t>Ralliant Corp</t>
        </is>
      </c>
      <c r="D35" s="48" t="inlineStr">
        <is>
          <t>Breakout</t>
        </is>
      </c>
      <c r="E35" s="36" t="n">
        <v>57.6</v>
      </c>
      <c r="F35" s="36" t="n">
        <v>57.6</v>
      </c>
      <c r="G35" s="36" t="n">
        <v>60.5</v>
      </c>
      <c r="H35" s="36" t="n">
        <v>55.6</v>
      </c>
      <c r="I35" s="36" t="n">
        <v>60.5</v>
      </c>
      <c r="J35" s="36" t="n">
        <v>55.6</v>
      </c>
      <c r="K35" s="36" t="n">
        <v>4.899999999999999</v>
      </c>
      <c r="L35" s="91" t="inlineStr">
        <is>
          <t>Stable</t>
        </is>
      </c>
    </row>
    <row r="36" ht="16" customHeight="1">
      <c r="B36" s="24" t="inlineStr">
        <is>
          <t>EVLV</t>
        </is>
      </c>
      <c r="C36" s="25" t="inlineStr">
        <is>
          <t>Evolv Technologies Holdings, Inc.</t>
        </is>
      </c>
      <c r="D36" s="50" t="inlineStr">
        <is>
          <t>Small Cap</t>
        </is>
      </c>
      <c r="E36" s="42" t="n">
        <v>57.5</v>
      </c>
      <c r="F36" s="42" t="n">
        <v>74</v>
      </c>
      <c r="G36" s="42" t="n">
        <v>44</v>
      </c>
      <c r="H36" s="42" t="n">
        <v>68.40000000000001</v>
      </c>
      <c r="I36" s="42" t="n">
        <v>74</v>
      </c>
      <c r="J36" s="42" t="n">
        <v>44</v>
      </c>
      <c r="K36" s="42" t="n">
        <v>30</v>
      </c>
      <c r="L36" s="27" t="inlineStr">
        <is>
          <t>Sensitive</t>
        </is>
      </c>
    </row>
    <row r="37" ht="16" customHeight="1">
      <c r="B37" s="19" t="inlineStr">
        <is>
          <t>ADTN</t>
        </is>
      </c>
      <c r="C37" s="20" t="inlineStr">
        <is>
          <t>ADTRAN Holdings Inc.</t>
        </is>
      </c>
      <c r="D37" s="48" t="inlineStr">
        <is>
          <t>Small Cap</t>
        </is>
      </c>
      <c r="E37" s="36" t="n">
        <v>57.4</v>
      </c>
      <c r="F37" s="36" t="n">
        <v>76.7</v>
      </c>
      <c r="G37" s="36" t="n">
        <v>48</v>
      </c>
      <c r="H37" s="36" t="n">
        <v>56.8</v>
      </c>
      <c r="I37" s="36" t="n">
        <v>76.7</v>
      </c>
      <c r="J37" s="36" t="n">
        <v>48</v>
      </c>
      <c r="K37" s="36" t="n">
        <v>28.7</v>
      </c>
      <c r="L37" s="27" t="inlineStr">
        <is>
          <t>Sensitive</t>
        </is>
      </c>
    </row>
    <row r="38" ht="16" customHeight="1">
      <c r="B38" s="24" t="inlineStr">
        <is>
          <t>BDC</t>
        </is>
      </c>
      <c r="C38" s="25" t="inlineStr">
        <is>
          <t>Belden Inc.</t>
        </is>
      </c>
      <c r="D38" s="50" t="inlineStr">
        <is>
          <t>Breakout</t>
        </is>
      </c>
      <c r="E38" s="42" t="n">
        <v>57.4</v>
      </c>
      <c r="F38" s="42" t="n">
        <v>67.3</v>
      </c>
      <c r="G38" s="42" t="n">
        <v>48.8</v>
      </c>
      <c r="H38" s="42" t="n">
        <v>62.4</v>
      </c>
      <c r="I38" s="42" t="n">
        <v>67.3</v>
      </c>
      <c r="J38" s="42" t="n">
        <v>48.8</v>
      </c>
      <c r="K38" s="42" t="n">
        <v>18.5</v>
      </c>
      <c r="L38" s="23" t="inlineStr">
        <is>
          <t>Moderate</t>
        </is>
      </c>
    </row>
    <row r="39" ht="16" customHeight="1">
      <c r="B39" s="19" t="inlineStr">
        <is>
          <t>LTRX</t>
        </is>
      </c>
      <c r="C39" s="20" t="inlineStr">
        <is>
          <t>Lantronix, Inc.</t>
        </is>
      </c>
      <c r="D39" s="48" t="inlineStr">
        <is>
          <t>Nano Cap</t>
        </is>
      </c>
      <c r="E39" s="36" t="n">
        <v>56.8</v>
      </c>
      <c r="F39" s="36" t="n">
        <v>61.6</v>
      </c>
      <c r="G39" s="36" t="n">
        <v>45</v>
      </c>
      <c r="H39" s="36" t="n">
        <v>70.59999999999999</v>
      </c>
      <c r="I39" s="36" t="n">
        <v>70.59999999999999</v>
      </c>
      <c r="J39" s="36" t="n">
        <v>45</v>
      </c>
      <c r="K39" s="36" t="n">
        <v>25.59999999999999</v>
      </c>
      <c r="L39" s="27" t="inlineStr">
        <is>
          <t>Sensitive</t>
        </is>
      </c>
    </row>
    <row r="40" ht="16" customHeight="1">
      <c r="B40" s="24" t="inlineStr">
        <is>
          <t>SHLS</t>
        </is>
      </c>
      <c r="C40" s="25" t="inlineStr">
        <is>
          <t>Shoals Technologies Group, Inc.</t>
        </is>
      </c>
      <c r="D40" s="50" t="inlineStr">
        <is>
          <t>Small Cap</t>
        </is>
      </c>
      <c r="E40" s="42" t="n">
        <v>56.2</v>
      </c>
      <c r="F40" s="42" t="n">
        <v>73.5</v>
      </c>
      <c r="G40" s="42" t="n">
        <v>50.4</v>
      </c>
      <c r="H40" s="42" t="n">
        <v>64.2</v>
      </c>
      <c r="I40" s="42" t="n">
        <v>73.5</v>
      </c>
      <c r="J40" s="42" t="n">
        <v>50.4</v>
      </c>
      <c r="K40" s="42" t="n">
        <v>23.1</v>
      </c>
      <c r="L40" s="27" t="inlineStr">
        <is>
          <t>Sensitive</t>
        </is>
      </c>
    </row>
    <row r="41" ht="16" customHeight="1">
      <c r="B41" s="19" t="inlineStr">
        <is>
          <t>KD</t>
        </is>
      </c>
      <c r="C41" s="20" t="inlineStr">
        <is>
          <t>Kyndryl Holdings, Inc.</t>
        </is>
      </c>
      <c r="D41" s="48" t="inlineStr">
        <is>
          <t>Breakout</t>
        </is>
      </c>
      <c r="E41" s="36" t="n">
        <v>55.2</v>
      </c>
      <c r="F41" s="36" t="n">
        <v>61.6</v>
      </c>
      <c r="G41" s="36" t="n">
        <v>50.8</v>
      </c>
      <c r="H41" s="36" t="n">
        <v>68.59999999999999</v>
      </c>
      <c r="I41" s="36" t="n">
        <v>68.59999999999999</v>
      </c>
      <c r="J41" s="36" t="n">
        <v>50.8</v>
      </c>
      <c r="K41" s="36" t="n">
        <v>17.8</v>
      </c>
      <c r="L41" s="23" t="inlineStr">
        <is>
          <t>Moderate</t>
        </is>
      </c>
    </row>
    <row r="42" ht="16" customHeight="1">
      <c r="B42" s="24" t="inlineStr">
        <is>
          <t>ROC</t>
        </is>
      </c>
      <c r="C42" s="25" t="inlineStr">
        <is>
          <t>Rank One Computing Corp.</t>
        </is>
      </c>
      <c r="D42" s="50" t="inlineStr">
        <is>
          <t>Nano Cap</t>
        </is>
      </c>
      <c r="E42" s="42" t="n">
        <v>54.2</v>
      </c>
      <c r="F42" s="42" t="n">
        <v>47.3</v>
      </c>
      <c r="G42" s="42" t="n">
        <v>48.9</v>
      </c>
      <c r="H42" s="42" t="n">
        <v>72.7</v>
      </c>
      <c r="I42" s="42" t="n">
        <v>72.7</v>
      </c>
      <c r="J42" s="42" t="n">
        <v>47.3</v>
      </c>
      <c r="K42" s="42" t="n">
        <v>25.40000000000001</v>
      </c>
      <c r="L42" s="27" t="inlineStr">
        <is>
          <t>Sensitive</t>
        </is>
      </c>
    </row>
    <row r="43" ht="16" customHeight="1">
      <c r="B43" s="19" t="inlineStr">
        <is>
          <t>BKTI</t>
        </is>
      </c>
      <c r="C43" s="20" t="inlineStr">
        <is>
          <t>BK Technologies Corporation</t>
        </is>
      </c>
      <c r="D43" s="48" t="inlineStr">
        <is>
          <t>Nano Cap</t>
        </is>
      </c>
      <c r="E43" s="36" t="n">
        <v>52.2</v>
      </c>
      <c r="F43" s="36" t="n">
        <v>62.1</v>
      </c>
      <c r="G43" s="36" t="n">
        <v>40.6</v>
      </c>
      <c r="H43" s="36" t="n">
        <v>65.5</v>
      </c>
      <c r="I43" s="36" t="n">
        <v>65.5</v>
      </c>
      <c r="J43" s="36" t="n">
        <v>40.6</v>
      </c>
      <c r="K43" s="36" t="n">
        <v>24.9</v>
      </c>
      <c r="L43" s="27" t="inlineStr">
        <is>
          <t>Sensitive</t>
        </is>
      </c>
    </row>
    <row r="44" ht="16" customHeight="1">
      <c r="B44" s="24" t="inlineStr">
        <is>
          <t>LNSR</t>
        </is>
      </c>
      <c r="C44" s="25" t="inlineStr">
        <is>
          <t>LENSAR Inc</t>
        </is>
      </c>
      <c r="D44" s="50" t="inlineStr">
        <is>
          <t>Nano Cap</t>
        </is>
      </c>
      <c r="E44" s="42" t="n">
        <v>50.1</v>
      </c>
      <c r="F44" s="42" t="n">
        <v>45.6</v>
      </c>
      <c r="G44" s="42" t="n">
        <v>48.2</v>
      </c>
      <c r="H44" s="42" t="n">
        <v>61.2</v>
      </c>
      <c r="I44" s="42" t="n">
        <v>61.2</v>
      </c>
      <c r="J44" s="42" t="n">
        <v>45.6</v>
      </c>
      <c r="K44" s="42" t="n">
        <v>15.6</v>
      </c>
      <c r="L44" s="23" t="inlineStr">
        <is>
          <t>Moderate</t>
        </is>
      </c>
    </row>
    <row r="46">
      <c r="B46" s="92" t="inlineStr">
        <is>
          <t>Note: Stocks with high Score Range are ranking artifacts — their attractiveness depends heavily on your investment philosophy.</t>
        </is>
      </c>
    </row>
    <row r="48" ht="22" customHeight="1">
      <c r="B48" s="16" t="inlineStr">
        <is>
          <t>TORNADO ANALYSIS — SWBI (Score Impact of ±10% Weight Changes)</t>
        </is>
      </c>
      <c r="C48" s="17" t="n"/>
      <c r="D48" s="17" t="n"/>
      <c r="E48" s="17" t="n"/>
      <c r="F48" s="17" t="n"/>
      <c r="G48" s="17" t="n"/>
      <c r="H48" s="17" t="n"/>
      <c r="I48" s="17" t="n"/>
      <c r="J48" s="17" t="n"/>
      <c r="K48" s="17" t="n"/>
      <c r="L48" s="17" t="n"/>
      <c r="M48" s="17" t="n"/>
    </row>
    <row r="49" ht="18" customHeight="1">
      <c r="B49" s="18" t="inlineStr">
        <is>
          <t>Component</t>
        </is>
      </c>
      <c r="C49" s="18" t="inlineStr">
        <is>
          <t>−10% Impact</t>
        </is>
      </c>
      <c r="D49" s="18" t="inlineStr">
        <is>
          <t>+10% Impact</t>
        </is>
      </c>
    </row>
    <row r="50" ht="16" customHeight="1">
      <c r="B50" s="20" t="inlineStr">
        <is>
          <t>Composite</t>
        </is>
      </c>
      <c r="C50" s="93" t="n">
        <v>0</v>
      </c>
      <c r="D50" s="93" t="n">
        <v>0.34</v>
      </c>
    </row>
    <row r="51" ht="16" customHeight="1">
      <c r="B51" s="25" t="inlineStr">
        <is>
          <t>Fingerprint</t>
        </is>
      </c>
      <c r="C51" s="94" t="n">
        <v>-1.71</v>
      </c>
      <c r="D51" s="94" t="n">
        <v>1.4</v>
      </c>
    </row>
    <row r="52" ht="16" customHeight="1">
      <c r="B52" s="20" t="inlineStr">
        <is>
          <t>WPS</t>
        </is>
      </c>
      <c r="C52" s="93" t="n">
        <v>0.95</v>
      </c>
      <c r="D52" s="93" t="n">
        <v>-0.78</v>
      </c>
    </row>
    <row r="53" ht="16" customHeight="1">
      <c r="B53" s="25" t="inlineStr">
        <is>
          <t>Insider Flow</t>
        </is>
      </c>
      <c r="C53" s="94" t="n">
        <v>2.22</v>
      </c>
      <c r="D53" s="94" t="n">
        <v>-1.82</v>
      </c>
    </row>
  </sheetData>
  <mergeCells count="6">
    <mergeCell ref="B48:M48"/>
    <mergeCell ref="A1:M1"/>
    <mergeCell ref="B46:M46"/>
    <mergeCell ref="B13:M13"/>
    <mergeCell ref="B4:M4"/>
    <mergeCell ref="A2:M2"/>
  </mergeCells>
  <conditionalFormatting sqref="E15:E44">
    <cfRule type="colorScale" priority="1">
      <colorScale>
        <cfvo type="num" val="0"/>
        <cfvo type="num" val="50"/>
        <cfvo type="num" val="100"/>
        <color rgb="00C1121F"/>
        <color rgb="00F9C74F"/>
        <color rgb="001A6B3C"/>
      </colorScale>
    </cfRule>
  </conditionalFormatting>
  <conditionalFormatting sqref="F15:F44">
    <cfRule type="colorScale" priority="2">
      <colorScale>
        <cfvo type="num" val="0"/>
        <cfvo type="num" val="50"/>
        <cfvo type="num" val="100"/>
        <color rgb="00C1121F"/>
        <color rgb="00F9C74F"/>
        <color rgb="001A6B3C"/>
      </colorScale>
    </cfRule>
  </conditionalFormatting>
  <conditionalFormatting sqref="G15:G44">
    <cfRule type="colorScale" priority="3">
      <colorScale>
        <cfvo type="num" val="0"/>
        <cfvo type="num" val="50"/>
        <cfvo type="num" val="100"/>
        <color rgb="00C1121F"/>
        <color rgb="00F9C74F"/>
        <color rgb="001A6B3C"/>
      </colorScale>
    </cfRule>
  </conditionalFormatting>
  <conditionalFormatting sqref="H15:H44">
    <cfRule type="colorScale" priority="4">
      <colorScale>
        <cfvo type="num" val="0"/>
        <cfvo type="num" val="50"/>
        <cfvo type="num" val="100"/>
        <color rgb="00C1121F"/>
        <color rgb="00F9C74F"/>
        <color rgb="001A6B3C"/>
      </colorScale>
    </cfRule>
  </conditionalFormatting>
  <conditionalFormatting sqref="K15:K44">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5" t="inlineStr">
        <is>
          <t>AISP  —  Airship AI Holdings, Inc.</t>
        </is>
      </c>
      <c r="C5" s="38" t="inlineStr">
        <is>
          <t>Nano Cap</t>
        </is>
      </c>
      <c r="D5" s="75" t="inlineStr">
        <is>
          <t>Mkt Cap: $72M</t>
        </is>
      </c>
      <c r="E5" s="96" t="n"/>
      <c r="F5" s="96" t="n"/>
      <c r="G5" s="96" t="n"/>
      <c r="H5" s="96" t="n"/>
      <c r="I5" s="96" t="n"/>
      <c r="J5" s="96" t="n"/>
      <c r="K5" s="96" t="n"/>
    </row>
    <row r="6" ht="16" customHeight="1">
      <c r="A6" s="97" t="inlineStr"/>
      <c r="B6" s="18" t="inlineStr">
        <is>
          <t>Quarter</t>
        </is>
      </c>
      <c r="C6" s="18" t="inlineStr">
        <is>
          <t>2024-03-31</t>
        </is>
      </c>
      <c r="D6" s="18" t="inlineStr">
        <is>
          <t>2024-06-30</t>
        </is>
      </c>
      <c r="E6" s="18" t="inlineStr">
        <is>
          <t>2024-09-30</t>
        </is>
      </c>
      <c r="F6" s="18" t="inlineStr">
        <is>
          <t>2024-12-31</t>
        </is>
      </c>
      <c r="G6" s="18" t="inlineStr">
        <is>
          <t>2025-03-31</t>
        </is>
      </c>
      <c r="H6" s="18" t="inlineStr">
        <is>
          <t>2025-06-30</t>
        </is>
      </c>
      <c r="I6" s="18" t="inlineStr">
        <is>
          <t>2025-09-30</t>
        </is>
      </c>
      <c r="J6" s="18" t="inlineStr">
        <is>
          <t>2025-12-31</t>
        </is>
      </c>
    </row>
    <row r="7" ht="16" customHeight="1">
      <c r="A7" s="97" t="inlineStr"/>
      <c r="B7" s="67" t="inlineStr">
        <is>
          <t>Revenue ($M)</t>
        </is>
      </c>
      <c r="C7" s="98" t="n">
        <v>10.575</v>
      </c>
      <c r="D7" s="98" t="n">
        <v>6.401</v>
      </c>
      <c r="E7" s="98" t="n">
        <v>2.868</v>
      </c>
      <c r="F7" s="98" t="n">
        <v>3.206518</v>
      </c>
      <c r="G7" s="98" t="n">
        <v>5.503</v>
      </c>
      <c r="H7" s="98" t="n">
        <v>2.14689</v>
      </c>
      <c r="I7" s="98" t="n">
        <v>1.17745</v>
      </c>
      <c r="J7" s="98" t="n">
        <v>6.493981</v>
      </c>
    </row>
    <row r="8" ht="16" customHeight="1">
      <c r="A8" s="97" t="inlineStr"/>
      <c r="B8" s="95" t="inlineStr">
        <is>
          <t>Gross Margin %</t>
        </is>
      </c>
      <c r="C8" s="72" t="n">
        <v>0.249</v>
      </c>
      <c r="D8" s="72" t="n">
        <v>0.7040000000000001</v>
      </c>
      <c r="E8" s="72" t="n">
        <v>0.7509999999999999</v>
      </c>
      <c r="F8" s="72" t="n">
        <v>0.386</v>
      </c>
      <c r="G8" s="72" t="n">
        <v>0.406</v>
      </c>
      <c r="H8" s="72" t="n">
        <v>0.7140000000000001</v>
      </c>
      <c r="I8" s="72" t="n">
        <v>0.513</v>
      </c>
      <c r="J8" s="72" t="n">
        <v>0.512</v>
      </c>
    </row>
    <row r="9" ht="16" customHeight="1">
      <c r="A9" s="97" t="inlineStr"/>
      <c r="B9" s="25" t="inlineStr">
        <is>
          <t>QoQ Rev Growth</t>
        </is>
      </c>
      <c r="C9" s="50" t="n"/>
      <c r="D9" s="76" t="n">
        <v>-0.3947044917257683</v>
      </c>
      <c r="E9" s="76" t="n">
        <v>-0.5519450085924075</v>
      </c>
      <c r="F9" s="76" t="n">
        <v>0.1180327754532775</v>
      </c>
      <c r="G9" s="76" t="n">
        <v>0.7161918317626784</v>
      </c>
      <c r="H9" s="76" t="n">
        <v>-0.6098691622751227</v>
      </c>
      <c r="I9" s="76" t="n">
        <v>-0.4515555058712836</v>
      </c>
      <c r="J9" s="76" t="n">
        <v>4.515292369102722</v>
      </c>
    </row>
    <row r="10" ht="16" customHeight="1">
      <c r="A10" s="97" t="inlineStr"/>
      <c r="B10" s="20" t="inlineStr">
        <is>
          <t>YoY Rev Growth</t>
        </is>
      </c>
      <c r="C10" s="48" t="n"/>
      <c r="D10" s="48" t="n"/>
      <c r="E10" s="48" t="n"/>
      <c r="F10" s="48" t="n"/>
      <c r="G10" s="72" t="n">
        <v>-0.4796217494089834</v>
      </c>
      <c r="H10" s="72" t="n">
        <v>-0.6646008436181846</v>
      </c>
      <c r="I10" s="72" t="n">
        <v>-0.589452580195258</v>
      </c>
      <c r="J10" s="72" t="n">
        <v>1.025243893843727</v>
      </c>
    </row>
    <row r="11" ht="8" customHeight="1"/>
    <row r="12" ht="18" customHeight="1">
      <c r="A12" s="95" t="inlineStr">
        <is>
          <t>KVHI  —  KVH Industries, Inc.</t>
        </is>
      </c>
      <c r="C12" s="38" t="inlineStr">
        <is>
          <t>Nano Cap</t>
        </is>
      </c>
      <c r="D12" s="75" t="inlineStr">
        <is>
          <t>Mkt Cap: $139M</t>
        </is>
      </c>
      <c r="E12" s="96" t="n"/>
      <c r="F12" s="96" t="n"/>
      <c r="G12" s="96" t="n"/>
      <c r="H12" s="96" t="n"/>
      <c r="I12" s="96" t="n"/>
      <c r="J12" s="96" t="n"/>
      <c r="K12" s="96" t="n"/>
    </row>
    <row r="13" ht="16" customHeight="1">
      <c r="A13" s="97"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7" t="inlineStr"/>
      <c r="B14" s="67" t="inlineStr">
        <is>
          <t>Revenue ($M)</t>
        </is>
      </c>
      <c r="C14" s="98" t="n">
        <v>29.267</v>
      </c>
      <c r="D14" s="98" t="n">
        <v>28.673</v>
      </c>
      <c r="E14" s="98" t="n">
        <v>28.971</v>
      </c>
      <c r="F14" s="98" t="n">
        <v>26.917</v>
      </c>
      <c r="G14" s="98" t="n">
        <v>25.414</v>
      </c>
      <c r="H14" s="98" t="n">
        <v>26.623</v>
      </c>
      <c r="I14" s="98" t="n">
        <v>28.453</v>
      </c>
      <c r="J14" s="98" t="n">
        <v>30.519</v>
      </c>
    </row>
    <row r="15" ht="16" customHeight="1">
      <c r="A15" s="97" t="inlineStr"/>
      <c r="B15" s="95" t="inlineStr">
        <is>
          <t>Gross Margin %</t>
        </is>
      </c>
      <c r="C15" s="72" t="n">
        <v>0.339</v>
      </c>
      <c r="D15" s="72" t="n">
        <v>0.311</v>
      </c>
      <c r="E15" s="72" t="n">
        <v>0.32</v>
      </c>
      <c r="F15" s="72" t="n">
        <v>0.265</v>
      </c>
      <c r="G15" s="72" t="n">
        <v>0.293</v>
      </c>
      <c r="H15" s="72" t="n">
        <v>0.343</v>
      </c>
      <c r="I15" s="72" t="n">
        <v>0.067</v>
      </c>
      <c r="J15" s="72" t="n">
        <v>0.295</v>
      </c>
    </row>
    <row r="16" ht="16" customHeight="1">
      <c r="A16" s="97" t="inlineStr"/>
      <c r="B16" s="25" t="inlineStr">
        <is>
          <t>QoQ Rev Growth</t>
        </is>
      </c>
      <c r="C16" s="50" t="n"/>
      <c r="D16" s="76" t="n">
        <v>-0.02029589640209109</v>
      </c>
      <c r="E16" s="76" t="n">
        <v>0.01039305269765982</v>
      </c>
      <c r="F16" s="76" t="n">
        <v>-0.07089848469158815</v>
      </c>
      <c r="G16" s="76" t="n">
        <v>-0.05583831779173013</v>
      </c>
      <c r="H16" s="76" t="n">
        <v>0.04757220429684426</v>
      </c>
      <c r="I16" s="76" t="n">
        <v>0.06873755775081697</v>
      </c>
      <c r="J16" s="76" t="n">
        <v>0.07261097248093347</v>
      </c>
    </row>
    <row r="17" ht="16" customHeight="1">
      <c r="A17" s="97" t="inlineStr"/>
      <c r="B17" s="20" t="inlineStr">
        <is>
          <t>YoY Rev Growth</t>
        </is>
      </c>
      <c r="C17" s="48" t="n"/>
      <c r="D17" s="48" t="n"/>
      <c r="E17" s="48" t="n"/>
      <c r="F17" s="48" t="n"/>
      <c r="G17" s="72" t="n">
        <v>-0.1316499812075033</v>
      </c>
      <c r="H17" s="72" t="n">
        <v>-0.07149583231611621</v>
      </c>
      <c r="I17" s="72" t="n">
        <v>-0.01787994891443167</v>
      </c>
      <c r="J17" s="72" t="n">
        <v>0.1338187762380652</v>
      </c>
    </row>
    <row r="18" ht="8" customHeight="1"/>
    <row r="19" ht="18" customHeight="1">
      <c r="A19" s="95" t="inlineStr">
        <is>
          <t>INTT  —  inTEST Corporation</t>
        </is>
      </c>
      <c r="C19" s="38" t="inlineStr">
        <is>
          <t>Nano Cap</t>
        </is>
      </c>
      <c r="D19" s="75" t="inlineStr">
        <is>
          <t>Mkt Cap: $146M</t>
        </is>
      </c>
      <c r="E19" s="96" t="n"/>
      <c r="F19" s="96" t="n"/>
      <c r="G19" s="96" t="n"/>
      <c r="H19" s="96" t="n"/>
      <c r="I19" s="96" t="n"/>
      <c r="J19" s="96" t="n"/>
      <c r="K19" s="96" t="n"/>
    </row>
    <row r="20" ht="16" customHeight="1">
      <c r="A20" s="97" t="inlineStr"/>
      <c r="B20" s="18" t="inlineStr">
        <is>
          <t>Quarter</t>
        </is>
      </c>
      <c r="C20" s="18" t="inlineStr">
        <is>
          <t>2024-03-31</t>
        </is>
      </c>
      <c r="D20" s="18" t="inlineStr">
        <is>
          <t>2024-06-30</t>
        </is>
      </c>
      <c r="E20" s="18" t="inlineStr">
        <is>
          <t>2024-09-30</t>
        </is>
      </c>
      <c r="F20" s="18" t="inlineStr">
        <is>
          <t>2024-12-31</t>
        </is>
      </c>
      <c r="G20" s="18" t="inlineStr">
        <is>
          <t>2025-03-31</t>
        </is>
      </c>
      <c r="H20" s="18" t="inlineStr">
        <is>
          <t>2025-06-30</t>
        </is>
      </c>
      <c r="I20" s="18" t="inlineStr">
        <is>
          <t>2025-09-30</t>
        </is>
      </c>
      <c r="J20" s="18" t="inlineStr">
        <is>
          <t>2025-12-31</t>
        </is>
      </c>
    </row>
    <row r="21" ht="16" customHeight="1">
      <c r="A21" s="97" t="inlineStr"/>
      <c r="B21" s="67" t="inlineStr">
        <is>
          <t>Revenue ($M)</t>
        </is>
      </c>
      <c r="C21" s="98" t="n">
        <v>29.824</v>
      </c>
      <c r="D21" s="98" t="n">
        <v>33.991</v>
      </c>
      <c r="E21" s="98" t="n">
        <v>30.272</v>
      </c>
      <c r="F21" s="98" t="n">
        <v>36.603</v>
      </c>
      <c r="G21" s="98" t="n">
        <v>26.637</v>
      </c>
      <c r="H21" s="98" t="n">
        <v>28.13</v>
      </c>
      <c r="I21" s="98" t="n">
        <v>26.236</v>
      </c>
      <c r="J21" s="98" t="n">
        <v>32.822</v>
      </c>
    </row>
    <row r="22" ht="16" customHeight="1">
      <c r="A22" s="97" t="inlineStr"/>
      <c r="B22" s="95" t="inlineStr">
        <is>
          <t>Gross Margin %</t>
        </is>
      </c>
      <c r="C22" s="72" t="n">
        <v>0.4379999999999999</v>
      </c>
      <c r="D22" s="72" t="n">
        <v>0.406</v>
      </c>
      <c r="E22" s="72" t="n">
        <v>0.463</v>
      </c>
      <c r="F22" s="72" t="n">
        <v>0.397</v>
      </c>
      <c r="G22" s="72" t="n">
        <v>0.415</v>
      </c>
      <c r="H22" s="72" t="n">
        <v>0.426</v>
      </c>
      <c r="I22" s="72" t="n">
        <v>0.419</v>
      </c>
      <c r="J22" s="72" t="n">
        <v>0.454</v>
      </c>
    </row>
    <row r="23" ht="16" customHeight="1">
      <c r="A23" s="97" t="inlineStr"/>
      <c r="B23" s="25" t="inlineStr">
        <is>
          <t>QoQ Rev Growth</t>
        </is>
      </c>
      <c r="C23" s="50" t="n"/>
      <c r="D23" s="76" t="n">
        <v>0.1397196888412017</v>
      </c>
      <c r="E23" s="76" t="n">
        <v>-0.1094113147597894</v>
      </c>
      <c r="F23" s="76" t="n">
        <v>0.209137156448203</v>
      </c>
      <c r="G23" s="76" t="n">
        <v>-0.2722727645274978</v>
      </c>
      <c r="H23" s="76" t="n">
        <v>0.05604985546420393</v>
      </c>
      <c r="I23" s="76" t="n">
        <v>-0.06733025239957341</v>
      </c>
      <c r="J23" s="76" t="n">
        <v>0.2510291202927276</v>
      </c>
    </row>
    <row r="24" ht="16" customHeight="1">
      <c r="A24" s="97" t="inlineStr"/>
      <c r="B24" s="20" t="inlineStr">
        <is>
          <t>YoY Rev Growth</t>
        </is>
      </c>
      <c r="C24" s="48" t="n"/>
      <c r="D24" s="48" t="n"/>
      <c r="E24" s="48" t="n"/>
      <c r="F24" s="48" t="n"/>
      <c r="G24" s="72" t="n">
        <v>-0.1068602467811159</v>
      </c>
      <c r="H24" s="72" t="n">
        <v>-0.1724279956459063</v>
      </c>
      <c r="I24" s="72" t="n">
        <v>-0.1333245243128964</v>
      </c>
      <c r="J24" s="72" t="n">
        <v>-0.1032975439171653</v>
      </c>
    </row>
    <row r="25" ht="8" customHeight="1"/>
    <row r="26" ht="18" customHeight="1">
      <c r="A26" s="95" t="inlineStr">
        <is>
          <t>RFIL  —  RF Industries, Ltd.</t>
        </is>
      </c>
      <c r="C26" s="38" t="inlineStr">
        <is>
          <t>Nano Cap</t>
        </is>
      </c>
      <c r="D26" s="75" t="inlineStr">
        <is>
          <t>Mkt Cap: $117M</t>
        </is>
      </c>
      <c r="E26" s="96" t="n"/>
      <c r="F26" s="96" t="n"/>
      <c r="G26" s="96" t="n"/>
      <c r="H26" s="96" t="n"/>
      <c r="I26" s="96" t="n"/>
      <c r="J26" s="96" t="n"/>
      <c r="K26" s="96" t="n"/>
    </row>
    <row r="27" ht="16" customHeight="1">
      <c r="A27" s="97"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7" t="inlineStr"/>
      <c r="B28" s="67" t="inlineStr">
        <is>
          <t>Revenue ($M)</t>
        </is>
      </c>
      <c r="C28" s="98" t="n">
        <v>13.458</v>
      </c>
      <c r="D28" s="98" t="n">
        <v>16.11</v>
      </c>
      <c r="E28" s="98" t="n">
        <v>16.836</v>
      </c>
      <c r="F28" s="98" t="n">
        <v>18.453</v>
      </c>
      <c r="G28" s="98" t="n">
        <v>19.2</v>
      </c>
      <c r="H28" s="98" t="n">
        <v>18.91</v>
      </c>
      <c r="I28" s="98" t="n">
        <v>19.79</v>
      </c>
      <c r="J28" s="98" t="n">
        <v>22.686</v>
      </c>
    </row>
    <row r="29" ht="16" customHeight="1">
      <c r="A29" s="97" t="inlineStr"/>
      <c r="B29" s="95" t="inlineStr">
        <is>
          <t>Gross Margin %</t>
        </is>
      </c>
      <c r="C29" s="72" t="n">
        <v>0.188</v>
      </c>
      <c r="D29" s="72" t="n">
        <v>0.26</v>
      </c>
      <c r="E29" s="72" t="n">
        <v>0.256</v>
      </c>
      <c r="F29" s="72" t="n">
        <v>0.274</v>
      </c>
      <c r="G29" s="72" t="n">
        <v>0.298</v>
      </c>
      <c r="H29" s="72" t="n">
        <v>0.315</v>
      </c>
      <c r="I29" s="72" t="n">
        <v>0.34</v>
      </c>
      <c r="J29" s="72" t="n">
        <v>0.368</v>
      </c>
    </row>
    <row r="30" ht="16" customHeight="1">
      <c r="A30" s="97" t="inlineStr"/>
      <c r="B30" s="25" t="inlineStr">
        <is>
          <t>QoQ Rev Growth</t>
        </is>
      </c>
      <c r="C30" s="50" t="n"/>
      <c r="D30" s="76" t="n">
        <v>0.1970575122603656</v>
      </c>
      <c r="E30" s="76" t="n">
        <v>0.04506517690875233</v>
      </c>
      <c r="F30" s="76" t="n">
        <v>0.09604419101924448</v>
      </c>
      <c r="G30" s="76" t="n">
        <v>0.04048122256543651</v>
      </c>
      <c r="H30" s="76" t="n">
        <v>-0.01510416666666667</v>
      </c>
      <c r="I30" s="76" t="n">
        <v>0.04653622421998942</v>
      </c>
      <c r="J30" s="76" t="n">
        <v>0.1463365336028297</v>
      </c>
    </row>
    <row r="31" ht="16" customHeight="1">
      <c r="A31" s="97" t="inlineStr"/>
      <c r="B31" s="20" t="inlineStr">
        <is>
          <t>YoY Rev Growth</t>
        </is>
      </c>
      <c r="C31" s="48" t="n"/>
      <c r="D31" s="48" t="n"/>
      <c r="E31" s="48" t="n"/>
      <c r="F31" s="48" t="n"/>
      <c r="G31" s="72" t="n">
        <v>0.4266607222469906</v>
      </c>
      <c r="H31" s="72" t="n">
        <v>0.1738050900062073</v>
      </c>
      <c r="I31" s="72" t="n">
        <v>0.1754573532905678</v>
      </c>
      <c r="J31" s="72" t="n">
        <v>0.2293935945374736</v>
      </c>
    </row>
    <row r="32" ht="8" customHeight="1"/>
    <row r="33" ht="18" customHeight="1">
      <c r="A33" s="95" t="inlineStr">
        <is>
          <t>ASYS  —  Amtech Systems, Inc.</t>
        </is>
      </c>
      <c r="C33" s="38" t="inlineStr">
        <is>
          <t>Nano Cap</t>
        </is>
      </c>
      <c r="D33" s="75" t="inlineStr">
        <is>
          <t>Mkt Cap: $269M</t>
        </is>
      </c>
      <c r="E33" s="96" t="n"/>
      <c r="F33" s="96" t="n"/>
      <c r="G33" s="96" t="n"/>
      <c r="H33" s="96" t="n"/>
      <c r="I33" s="96" t="n"/>
      <c r="J33" s="96" t="n"/>
      <c r="K33" s="96" t="n"/>
    </row>
    <row r="34" ht="16" customHeight="1">
      <c r="A34" s="97"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7" t="inlineStr"/>
      <c r="B35" s="67" t="inlineStr">
        <is>
          <t>Revenue ($M)</t>
        </is>
      </c>
      <c r="C35" s="98" t="n">
        <v>25.433</v>
      </c>
      <c r="D35" s="98" t="n">
        <v>26.749</v>
      </c>
      <c r="E35" s="98" t="n">
        <v>24.112</v>
      </c>
      <c r="F35" s="98" t="n">
        <v>24.385</v>
      </c>
      <c r="G35" s="98" t="n">
        <v>15.58</v>
      </c>
      <c r="H35" s="98" t="n">
        <v>19.557</v>
      </c>
      <c r="I35" s="98" t="n">
        <v>19.842</v>
      </c>
      <c r="J35" s="98" t="n">
        <v>18.973</v>
      </c>
    </row>
    <row r="36" ht="16" customHeight="1">
      <c r="A36" s="97" t="inlineStr"/>
      <c r="B36" s="95" t="inlineStr">
        <is>
          <t>Gross Margin %</t>
        </is>
      </c>
      <c r="C36" s="72" t="n">
        <v>0.332</v>
      </c>
      <c r="D36" s="72" t="n">
        <v>0.365</v>
      </c>
      <c r="E36" s="72" t="n">
        <v>0.407</v>
      </c>
      <c r="F36" s="72" t="n">
        <v>0.384</v>
      </c>
      <c r="G36" s="72" t="n">
        <v>-0.021</v>
      </c>
      <c r="H36" s="72" t="n">
        <v>0.467</v>
      </c>
      <c r="I36" s="72" t="n">
        <v>0.444</v>
      </c>
      <c r="J36" s="72" t="n">
        <v>0.448</v>
      </c>
    </row>
    <row r="37" ht="16" customHeight="1">
      <c r="A37" s="97" t="inlineStr"/>
      <c r="B37" s="25" t="inlineStr">
        <is>
          <t>QoQ Rev Growth</t>
        </is>
      </c>
      <c r="C37" s="50" t="n"/>
      <c r="D37" s="76" t="n">
        <v>0.05174379742853773</v>
      </c>
      <c r="E37" s="76" t="n">
        <v>-0.09858312460278888</v>
      </c>
      <c r="F37" s="76" t="n">
        <v>0.01132216323822163</v>
      </c>
      <c r="G37" s="76" t="n">
        <v>-0.3610826327660447</v>
      </c>
      <c r="H37" s="76" t="n">
        <v>0.2552631578947369</v>
      </c>
      <c r="I37" s="76" t="n">
        <v>0.01457278723730633</v>
      </c>
      <c r="J37" s="76" t="n">
        <v>-0.04379598830763028</v>
      </c>
    </row>
    <row r="38" ht="16" customHeight="1">
      <c r="A38" s="97" t="inlineStr"/>
      <c r="B38" s="20" t="inlineStr">
        <is>
          <t>YoY Rev Growth</t>
        </is>
      </c>
      <c r="C38" s="48" t="n"/>
      <c r="D38" s="48" t="n"/>
      <c r="E38" s="48" t="n"/>
      <c r="F38" s="48" t="n"/>
      <c r="G38" s="72" t="n">
        <v>-0.3874100577989227</v>
      </c>
      <c r="H38" s="72" t="n">
        <v>-0.2688698642939923</v>
      </c>
      <c r="I38" s="72" t="n">
        <v>-0.1770902455209025</v>
      </c>
      <c r="J38" s="72" t="n">
        <v>-0.2219397170391634</v>
      </c>
    </row>
    <row r="39" ht="8" customHeight="1"/>
    <row r="40" ht="18" customHeight="1">
      <c r="A40" s="95" t="inlineStr">
        <is>
          <t>LAW  —  CS Disco, Inc.</t>
        </is>
      </c>
      <c r="C40" s="38" t="inlineStr">
        <is>
          <t>Nano Cap</t>
        </is>
      </c>
      <c r="D40" s="75" t="inlineStr">
        <is>
          <t>Mkt Cap: $261M</t>
        </is>
      </c>
      <c r="E40" s="96" t="n"/>
      <c r="F40" s="96" t="n"/>
      <c r="G40" s="96" t="n"/>
      <c r="H40" s="96" t="n"/>
      <c r="I40" s="96" t="n"/>
      <c r="J40" s="96" t="n"/>
      <c r="K40" s="96" t="n"/>
    </row>
    <row r="41" ht="16" customHeight="1">
      <c r="A41" s="97"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7" t="inlineStr"/>
      <c r="B42" s="67" t="inlineStr">
        <is>
          <t>Revenue ($M)</t>
        </is>
      </c>
      <c r="C42" s="98" t="n">
        <v>35.571</v>
      </c>
      <c r="D42" s="98" t="n">
        <v>36.005</v>
      </c>
      <c r="E42" s="98" t="n">
        <v>36.266</v>
      </c>
      <c r="F42" s="98" t="n">
        <v>36.999</v>
      </c>
      <c r="G42" s="98" t="n">
        <v>36.653</v>
      </c>
      <c r="H42" s="98" t="n">
        <v>38.106</v>
      </c>
      <c r="I42" s="98" t="n">
        <v>40.919</v>
      </c>
      <c r="J42" s="98" t="n">
        <v>41.171</v>
      </c>
    </row>
    <row r="43" ht="16" customHeight="1">
      <c r="A43" s="97" t="inlineStr"/>
      <c r="B43" s="95" t="inlineStr">
        <is>
          <t>Gross Margin %</t>
        </is>
      </c>
      <c r="C43" s="72" t="n">
        <v>0.7509999999999999</v>
      </c>
      <c r="D43" s="72" t="n">
        <v>0.742</v>
      </c>
      <c r="E43" s="72" t="n">
        <v>0.731</v>
      </c>
      <c r="F43" s="72" t="n">
        <v>0.742</v>
      </c>
      <c r="G43" s="72" t="n">
        <v>0.741</v>
      </c>
      <c r="H43" s="72" t="n">
        <v>0.746</v>
      </c>
      <c r="I43" s="72" t="n">
        <v>0.755</v>
      </c>
      <c r="J43" s="72" t="n">
        <v>0.7509999999999999</v>
      </c>
    </row>
    <row r="44" ht="16" customHeight="1">
      <c r="A44" s="97" t="inlineStr"/>
      <c r="B44" s="25" t="inlineStr">
        <is>
          <t>QoQ Rev Growth</t>
        </is>
      </c>
      <c r="C44" s="50" t="n"/>
      <c r="D44" s="76" t="n">
        <v>0.01220095021225155</v>
      </c>
      <c r="E44" s="76" t="n">
        <v>0.00724899319538953</v>
      </c>
      <c r="F44" s="76" t="n">
        <v>0.02021176859868748</v>
      </c>
      <c r="G44" s="76" t="n">
        <v>-0.009351604097408038</v>
      </c>
      <c r="H44" s="76" t="n">
        <v>0.03964204839985813</v>
      </c>
      <c r="I44" s="76" t="n">
        <v>0.07382039573820395</v>
      </c>
      <c r="J44" s="76" t="n">
        <v>0.006158508272440675</v>
      </c>
    </row>
    <row r="45" ht="16" customHeight="1">
      <c r="A45" s="97" t="inlineStr"/>
      <c r="B45" s="20" t="inlineStr">
        <is>
          <t>YoY Rev Growth</t>
        </is>
      </c>
      <c r="C45" s="48" t="n"/>
      <c r="D45" s="48" t="n"/>
      <c r="E45" s="48" t="n"/>
      <c r="F45" s="48" t="n"/>
      <c r="G45" s="72" t="n">
        <v>0.03041803716510641</v>
      </c>
      <c r="H45" s="72" t="n">
        <v>0.05835300652687127</v>
      </c>
      <c r="I45" s="72" t="n">
        <v>0.12830199084542</v>
      </c>
      <c r="J45" s="72" t="n">
        <v>0.1127598043190357</v>
      </c>
    </row>
    <row r="46" ht="8" customHeight="1"/>
    <row r="47" ht="18" customHeight="1">
      <c r="A47" s="95" t="inlineStr">
        <is>
          <t>LTRX  —  Lantronix, Inc.</t>
        </is>
      </c>
      <c r="C47" s="38" t="inlineStr">
        <is>
          <t>Nano Cap</t>
        </is>
      </c>
      <c r="D47" s="75" t="inlineStr">
        <is>
          <t>Mkt Cap: $237M</t>
        </is>
      </c>
      <c r="E47" s="96" t="n"/>
      <c r="F47" s="96" t="n"/>
      <c r="G47" s="96" t="n"/>
      <c r="H47" s="96" t="n"/>
      <c r="I47" s="96" t="n"/>
      <c r="J47" s="96" t="n"/>
      <c r="K47" s="96" t="n"/>
    </row>
    <row r="48" ht="16" customHeight="1">
      <c r="A48" s="97" t="inlineStr"/>
      <c r="B48" s="18" t="inlineStr">
        <is>
          <t>Quarter</t>
        </is>
      </c>
      <c r="C48" s="18" t="inlineStr">
        <is>
          <t>2024-03-31</t>
        </is>
      </c>
      <c r="D48" s="18" t="inlineStr">
        <is>
          <t>2024-06-30</t>
        </is>
      </c>
      <c r="E48" s="18" t="inlineStr">
        <is>
          <t>2024-09-30</t>
        </is>
      </c>
      <c r="F48" s="18" t="inlineStr">
        <is>
          <t>2024-12-31</t>
        </is>
      </c>
      <c r="G48" s="18" t="inlineStr">
        <is>
          <t>2025-03-31</t>
        </is>
      </c>
      <c r="H48" s="18" t="inlineStr">
        <is>
          <t>2025-06-30</t>
        </is>
      </c>
      <c r="I48" s="18" t="inlineStr">
        <is>
          <t>2025-09-30</t>
        </is>
      </c>
      <c r="J48" s="18" t="inlineStr">
        <is>
          <t>2025-12-31</t>
        </is>
      </c>
    </row>
    <row r="49" ht="16" customHeight="1">
      <c r="A49" s="97" t="inlineStr"/>
      <c r="B49" s="67" t="inlineStr">
        <is>
          <t>Revenue ($M)</t>
        </is>
      </c>
      <c r="C49" s="98" t="n">
        <v>41.183</v>
      </c>
      <c r="D49" s="98" t="n">
        <v>49.075</v>
      </c>
      <c r="E49" s="98" t="n">
        <v>34.423</v>
      </c>
      <c r="F49" s="98" t="n">
        <v>31.161</v>
      </c>
      <c r="G49" s="98" t="n">
        <v>28.5</v>
      </c>
      <c r="H49" s="98" t="n">
        <v>28.839</v>
      </c>
      <c r="I49" s="98" t="n">
        <v>29.794</v>
      </c>
      <c r="J49" s="98" t="n">
        <v>29.774</v>
      </c>
    </row>
    <row r="50" ht="16" customHeight="1">
      <c r="A50" s="97" t="inlineStr"/>
      <c r="B50" s="95" t="inlineStr">
        <is>
          <t>Gross Margin %</t>
        </is>
      </c>
      <c r="C50" s="72" t="n">
        <v>0.401</v>
      </c>
      <c r="D50" s="72" t="n">
        <v>0.381</v>
      </c>
      <c r="E50" s="72" t="n">
        <v>0.421</v>
      </c>
      <c r="F50" s="72" t="n">
        <v>0.426</v>
      </c>
      <c r="G50" s="72" t="n">
        <v>0.435</v>
      </c>
      <c r="H50" s="72" t="n">
        <v>0.4</v>
      </c>
      <c r="I50" s="72" t="n">
        <v>0.448</v>
      </c>
      <c r="J50" s="72" t="n">
        <v>0.409</v>
      </c>
    </row>
    <row r="51" ht="16" customHeight="1">
      <c r="A51" s="97" t="inlineStr"/>
      <c r="B51" s="25" t="inlineStr">
        <is>
          <t>QoQ Rev Growth</t>
        </is>
      </c>
      <c r="C51" s="50" t="n"/>
      <c r="D51" s="76" t="n">
        <v>0.1916324697083748</v>
      </c>
      <c r="E51" s="76" t="n">
        <v>-0.2985634233316353</v>
      </c>
      <c r="F51" s="76" t="n">
        <v>-0.09476222293234175</v>
      </c>
      <c r="G51" s="76" t="n">
        <v>-0.08539520554539327</v>
      </c>
      <c r="H51" s="76" t="n">
        <v>0.01189473684210526</v>
      </c>
      <c r="I51" s="76" t="n">
        <v>0.03311487915669753</v>
      </c>
      <c r="J51" s="76" t="n">
        <v>-0.0006712760958582265</v>
      </c>
    </row>
    <row r="52" ht="16" customHeight="1">
      <c r="A52" s="97" t="inlineStr"/>
      <c r="B52" s="20" t="inlineStr">
        <is>
          <t>YoY Rev Growth</t>
        </is>
      </c>
      <c r="C52" s="48" t="n"/>
      <c r="D52" s="48" t="n"/>
      <c r="E52" s="48" t="n"/>
      <c r="F52" s="48" t="n"/>
      <c r="G52" s="72" t="n">
        <v>-0.3079668795376733</v>
      </c>
      <c r="H52" s="72" t="n">
        <v>-0.412348446255731</v>
      </c>
      <c r="I52" s="72" t="n">
        <v>-0.1344740435174157</v>
      </c>
      <c r="J52" s="72" t="n">
        <v>-0.04451076666345753</v>
      </c>
    </row>
    <row r="53" ht="8" customHeight="1"/>
    <row r="54" ht="18" customHeight="1">
      <c r="A54" s="95" t="inlineStr">
        <is>
          <t>ROC  —  Rank One Computing Corp.</t>
        </is>
      </c>
      <c r="C54" s="38" t="inlineStr">
        <is>
          <t>Nano Cap</t>
        </is>
      </c>
      <c r="D54" s="75" t="inlineStr">
        <is>
          <t>Mkt Cap: $80M</t>
        </is>
      </c>
      <c r="E54" s="96" t="n"/>
      <c r="F54" s="96" t="n"/>
      <c r="G54" s="96" t="n"/>
      <c r="H54" s="96" t="n"/>
      <c r="I54" s="96" t="n"/>
      <c r="J54" s="96" t="n"/>
      <c r="K54" s="96" t="n"/>
    </row>
    <row r="55" ht="16" customHeight="1">
      <c r="A55" s="97" t="inlineStr"/>
      <c r="B55" s="18" t="inlineStr">
        <is>
          <t>Quarter</t>
        </is>
      </c>
      <c r="C55" s="18" t="inlineStr">
        <is>
          <t>2024-12-31</t>
        </is>
      </c>
      <c r="D55" s="18" t="inlineStr">
        <is>
          <t>2025-09-30</t>
        </is>
      </c>
      <c r="E55" s="18" t="inlineStr">
        <is>
          <t>2025-12-31</t>
        </is>
      </c>
      <c r="F55" s="18" t="inlineStr">
        <is>
          <t>2026-03-31</t>
        </is>
      </c>
      <c r="G55" s="18" t="inlineStr">
        <is>
          <t>2026-06-30</t>
        </is>
      </c>
    </row>
    <row r="56" ht="16" customHeight="1">
      <c r="A56" s="97" t="inlineStr"/>
      <c r="B56" s="67" t="inlineStr">
        <is>
          <t>Revenue ($M)</t>
        </is>
      </c>
      <c r="C56" s="98" t="n">
        <v>2.642924</v>
      </c>
      <c r="D56" s="98" t="n">
        <v>5.34999</v>
      </c>
      <c r="E56" s="98" t="n">
        <v>3.487245</v>
      </c>
      <c r="F56" s="98" t="n">
        <v>2.548642</v>
      </c>
      <c r="G56" s="98" t="n">
        <v>5.092982</v>
      </c>
    </row>
    <row r="57" ht="16" customHeight="1">
      <c r="A57" s="97" t="inlineStr"/>
      <c r="B57" s="95" t="inlineStr">
        <is>
          <t>Gross Margin %</t>
        </is>
      </c>
      <c r="C57" s="72" t="n">
        <v>0.882</v>
      </c>
      <c r="D57" s="72" t="n">
        <v>0.7859999999999999</v>
      </c>
      <c r="E57" s="72" t="n">
        <v>0.6779999999999999</v>
      </c>
      <c r="F57" s="72" t="n">
        <v>0.787</v>
      </c>
      <c r="G57" s="72" t="n">
        <v>0.897</v>
      </c>
    </row>
    <row r="58" ht="16" customHeight="1">
      <c r="A58" s="97" t="inlineStr"/>
      <c r="B58" s="25" t="inlineStr">
        <is>
          <t>QoQ Rev Growth</t>
        </is>
      </c>
      <c r="C58" s="50" t="n"/>
      <c r="D58" s="76" t="n">
        <v>1.024269331997439</v>
      </c>
      <c r="E58" s="76" t="n">
        <v>-0.3481772863126847</v>
      </c>
      <c r="F58" s="76" t="n">
        <v>-0.269153156718269</v>
      </c>
      <c r="G58" s="76" t="n">
        <v>0.998312042256229</v>
      </c>
    </row>
    <row r="59" ht="16" customHeight="1">
      <c r="A59" s="97" t="inlineStr"/>
      <c r="B59" s="20" t="inlineStr">
        <is>
          <t>YoY Rev Growth</t>
        </is>
      </c>
      <c r="C59" s="48" t="n"/>
      <c r="D59" s="48" t="n"/>
      <c r="E59" s="48" t="n"/>
      <c r="F59" s="48" t="n"/>
      <c r="G59" s="72" t="n">
        <v>0.9270255217327475</v>
      </c>
    </row>
    <row r="60" ht="8" customHeight="1"/>
    <row r="61" ht="18" customHeight="1">
      <c r="A61" s="95" t="inlineStr">
        <is>
          <t>BKTI  —  BK Technologies Corporation</t>
        </is>
      </c>
      <c r="C61" s="38" t="inlineStr">
        <is>
          <t>Nano Cap</t>
        </is>
      </c>
      <c r="D61" s="75" t="inlineStr">
        <is>
          <t>Mkt Cap: $274M</t>
        </is>
      </c>
      <c r="E61" s="96" t="n"/>
      <c r="F61" s="96" t="n"/>
      <c r="G61" s="96" t="n"/>
      <c r="H61" s="96" t="n"/>
      <c r="I61" s="96" t="n"/>
      <c r="J61" s="96" t="n"/>
      <c r="K61" s="96" t="n"/>
    </row>
    <row r="62" ht="16" customHeight="1">
      <c r="A62" s="97"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7" t="inlineStr"/>
      <c r="B63" s="67" t="inlineStr">
        <is>
          <t>Revenue ($M)</t>
        </is>
      </c>
      <c r="C63" s="98" t="n">
        <v>18.231</v>
      </c>
      <c r="D63" s="98" t="n">
        <v>20.254</v>
      </c>
      <c r="E63" s="98" t="n">
        <v>20.179</v>
      </c>
      <c r="F63" s="98" t="n">
        <v>17.928</v>
      </c>
      <c r="G63" s="98" t="n">
        <v>19.054</v>
      </c>
      <c r="H63" s="98" t="n">
        <v>21.165</v>
      </c>
      <c r="I63" s="98" t="n">
        <v>24.411</v>
      </c>
      <c r="J63" s="98" t="n">
        <v>21.509</v>
      </c>
    </row>
    <row r="64" ht="16" customHeight="1">
      <c r="A64" s="97" t="inlineStr"/>
      <c r="B64" s="95" t="inlineStr">
        <is>
          <t>Gross Margin %</t>
        </is>
      </c>
      <c r="C64" s="72" t="n">
        <v>0.345</v>
      </c>
      <c r="D64" s="72" t="n">
        <v>0.373</v>
      </c>
      <c r="E64" s="72" t="n">
        <v>0.388</v>
      </c>
      <c r="F64" s="72" t="n">
        <v>0.412</v>
      </c>
      <c r="G64" s="72" t="n">
        <v>0.47</v>
      </c>
      <c r="H64" s="72" t="n">
        <v>0.474</v>
      </c>
      <c r="I64" s="72" t="n">
        <v>0.499</v>
      </c>
      <c r="J64" s="72" t="n">
        <v>0.505</v>
      </c>
    </row>
    <row r="65" ht="16" customHeight="1">
      <c r="A65" s="97" t="inlineStr"/>
      <c r="B65" s="25" t="inlineStr">
        <is>
          <t>QoQ Rev Growth</t>
        </is>
      </c>
      <c r="C65" s="50" t="n"/>
      <c r="D65" s="76" t="n">
        <v>0.1109648401075092</v>
      </c>
      <c r="E65" s="76" t="n">
        <v>-0.003702972252394589</v>
      </c>
      <c r="F65" s="76" t="n">
        <v>-0.1115516130630854</v>
      </c>
      <c r="G65" s="76" t="n">
        <v>0.06280678268630076</v>
      </c>
      <c r="H65" s="76" t="n">
        <v>0.110790385220951</v>
      </c>
      <c r="I65" s="76" t="n">
        <v>0.1533664068036853</v>
      </c>
      <c r="J65" s="76" t="n">
        <v>-0.1188808324116177</v>
      </c>
    </row>
    <row r="66" ht="16" customHeight="1">
      <c r="A66" s="97" t="inlineStr"/>
      <c r="B66" s="20" t="inlineStr">
        <is>
          <t>YoY Rev Growth</t>
        </is>
      </c>
      <c r="C66" s="48" t="n"/>
      <c r="D66" s="48" t="n"/>
      <c r="E66" s="48" t="n"/>
      <c r="F66" s="48" t="n"/>
      <c r="G66" s="72" t="n">
        <v>0.04514288848664363</v>
      </c>
      <c r="H66" s="72" t="n">
        <v>0.04497876962575294</v>
      </c>
      <c r="I66" s="72" t="n">
        <v>0.2097229793349522</v>
      </c>
      <c r="J66" s="72" t="n">
        <v>0.1997434181169121</v>
      </c>
    </row>
    <row r="67" ht="8" customHeight="1"/>
    <row r="68" ht="18" customHeight="1">
      <c r="A68" s="95" t="inlineStr">
        <is>
          <t>LNSR  —  LENSAR Inc</t>
        </is>
      </c>
      <c r="C68" s="38" t="inlineStr">
        <is>
          <t>Nano Cap</t>
        </is>
      </c>
      <c r="D68" s="75" t="inlineStr">
        <is>
          <t>Mkt Cap: $106M</t>
        </is>
      </c>
      <c r="E68" s="96" t="n"/>
      <c r="F68" s="96" t="n"/>
      <c r="G68" s="96" t="n"/>
      <c r="H68" s="96" t="n"/>
      <c r="I68" s="96" t="n"/>
      <c r="J68" s="96" t="n"/>
      <c r="K68" s="96" t="n"/>
    </row>
    <row r="69" ht="16" customHeight="1">
      <c r="A69" s="97" t="inlineStr"/>
      <c r="B69" s="18" t="inlineStr">
        <is>
          <t>Quarter</t>
        </is>
      </c>
      <c r="C69" s="18" t="inlineStr">
        <is>
          <t>2024-03-31</t>
        </is>
      </c>
      <c r="D69" s="18" t="inlineStr">
        <is>
          <t>2024-06-30</t>
        </is>
      </c>
      <c r="E69" s="18" t="inlineStr">
        <is>
          <t>2024-09-30</t>
        </is>
      </c>
      <c r="F69" s="18" t="inlineStr">
        <is>
          <t>2024-12-31</t>
        </is>
      </c>
      <c r="G69" s="18" t="inlineStr">
        <is>
          <t>2025-03-31</t>
        </is>
      </c>
      <c r="H69" s="18" t="inlineStr">
        <is>
          <t>2025-06-30</t>
        </is>
      </c>
      <c r="I69" s="18" t="inlineStr">
        <is>
          <t>2025-09-30</t>
        </is>
      </c>
      <c r="J69" s="18" t="inlineStr">
        <is>
          <t>2025-12-31</t>
        </is>
      </c>
    </row>
    <row r="70" ht="16" customHeight="1">
      <c r="A70" s="97" t="inlineStr"/>
      <c r="B70" s="67" t="inlineStr">
        <is>
          <t>Revenue ($M)</t>
        </is>
      </c>
      <c r="C70" s="98" t="n">
        <v>10.588</v>
      </c>
      <c r="D70" s="98" t="n">
        <v>12.636</v>
      </c>
      <c r="E70" s="98" t="n">
        <v>13.539</v>
      </c>
      <c r="F70" s="98" t="n">
        <v>16.731</v>
      </c>
      <c r="G70" s="98" t="n">
        <v>14.159</v>
      </c>
      <c r="H70" s="98" t="n">
        <v>13.935</v>
      </c>
      <c r="I70" s="98" t="n">
        <v>14.316</v>
      </c>
      <c r="J70" s="98" t="n">
        <v>16.025</v>
      </c>
    </row>
    <row r="71" ht="16" customHeight="1">
      <c r="A71" s="97" t="inlineStr"/>
      <c r="B71" s="95" t="inlineStr">
        <is>
          <t>Gross Margin %</t>
        </is>
      </c>
      <c r="C71" s="72" t="n">
        <v>0.509</v>
      </c>
      <c r="D71" s="72" t="n">
        <v>0.521</v>
      </c>
      <c r="E71" s="72" t="n">
        <v>0.463</v>
      </c>
      <c r="F71" s="72" t="n">
        <v>0.425</v>
      </c>
      <c r="G71" s="72" t="n">
        <v>0.503</v>
      </c>
      <c r="H71" s="72" t="n">
        <v>0.504</v>
      </c>
      <c r="I71" s="72" t="n">
        <v>0.406</v>
      </c>
      <c r="J71" s="72" t="n">
        <v>0.433</v>
      </c>
    </row>
    <row r="72" ht="16" customHeight="1">
      <c r="A72" s="97" t="inlineStr"/>
      <c r="B72" s="25" t="inlineStr">
        <is>
          <t>QoQ Rev Growth</t>
        </is>
      </c>
      <c r="C72" s="50" t="n"/>
      <c r="D72" s="76" t="n">
        <v>0.1934265205893464</v>
      </c>
      <c r="E72" s="76" t="n">
        <v>0.0714624881291548</v>
      </c>
      <c r="F72" s="76" t="n">
        <v>0.235763350321294</v>
      </c>
      <c r="G72" s="76" t="n">
        <v>-0.1537266152650768</v>
      </c>
      <c r="H72" s="76" t="n">
        <v>-0.01582032629422982</v>
      </c>
      <c r="I72" s="76" t="n">
        <v>0.02734122712594187</v>
      </c>
      <c r="J72" s="76" t="n">
        <v>0.1193769209276334</v>
      </c>
    </row>
    <row r="73" ht="16" customHeight="1">
      <c r="A73" s="97" t="inlineStr"/>
      <c r="B73" s="20" t="inlineStr">
        <is>
          <t>YoY Rev Growth</t>
        </is>
      </c>
      <c r="C73" s="48" t="n"/>
      <c r="D73" s="48" t="n"/>
      <c r="E73" s="48" t="n"/>
      <c r="F73" s="48" t="n"/>
      <c r="G73" s="72" t="n">
        <v>0.3372686059690215</v>
      </c>
      <c r="H73" s="72" t="n">
        <v>0.1028015194681861</v>
      </c>
      <c r="I73" s="72" t="n">
        <v>0.0573897629071571</v>
      </c>
      <c r="J73" s="72" t="n">
        <v>-0.04219711912019605</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5" t="inlineStr">
        <is>
          <t>SWBI  —  Smith &amp; Wesson Brands, Inc.</t>
        </is>
      </c>
      <c r="C76" s="38" t="inlineStr">
        <is>
          <t>Small Cap</t>
        </is>
      </c>
      <c r="D76" s="75" t="inlineStr">
        <is>
          <t>Mkt Cap: $588M</t>
        </is>
      </c>
      <c r="E76" s="96" t="n"/>
      <c r="F76" s="96" t="n"/>
      <c r="G76" s="96" t="n"/>
      <c r="H76" s="96" t="n"/>
      <c r="I76" s="96" t="n"/>
      <c r="J76" s="96" t="n"/>
      <c r="K76" s="96" t="n"/>
    </row>
    <row r="77" ht="16" customHeight="1">
      <c r="A77" s="97" t="inlineStr"/>
      <c r="B77" s="18" t="inlineStr">
        <is>
          <t>Quarter</t>
        </is>
      </c>
      <c r="C77" s="18" t="inlineStr">
        <is>
          <t>2024-04-30</t>
        </is>
      </c>
      <c r="D77" s="18" t="inlineStr">
        <is>
          <t>2024-07-31</t>
        </is>
      </c>
      <c r="E77" s="18" t="inlineStr">
        <is>
          <t>2024-10-31</t>
        </is>
      </c>
      <c r="F77" s="18" t="inlineStr">
        <is>
          <t>2025-01-31</t>
        </is>
      </c>
      <c r="G77" s="18" t="inlineStr">
        <is>
          <t>2025-04-30</t>
        </is>
      </c>
      <c r="H77" s="18" t="inlineStr">
        <is>
          <t>2025-07-31</t>
        </is>
      </c>
      <c r="I77" s="18" t="inlineStr">
        <is>
          <t>2025-10-31</t>
        </is>
      </c>
      <c r="J77" s="18" t="inlineStr">
        <is>
          <t>2026-01-31</t>
        </is>
      </c>
    </row>
    <row r="78" ht="16" customHeight="1">
      <c r="A78" s="97" t="inlineStr"/>
      <c r="B78" s="67" t="inlineStr">
        <is>
          <t>Revenue ($M)</t>
        </is>
      </c>
      <c r="C78" s="98" t="n">
        <v>159.147</v>
      </c>
      <c r="D78" s="98" t="n">
        <v>88.334</v>
      </c>
      <c r="E78" s="98" t="n">
        <v>129.679</v>
      </c>
      <c r="F78" s="98" t="n">
        <v>115.885</v>
      </c>
      <c r="G78" s="98" t="n">
        <v>140.762</v>
      </c>
      <c r="H78" s="98" t="n">
        <v>85.077</v>
      </c>
      <c r="I78" s="98" t="n">
        <v>124.67</v>
      </c>
      <c r="J78" s="98" t="n">
        <v>135.71</v>
      </c>
    </row>
    <row r="79" ht="16" customHeight="1">
      <c r="A79" s="97" t="inlineStr"/>
      <c r="B79" s="95" t="inlineStr">
        <is>
          <t>Gross Margin %</t>
        </is>
      </c>
      <c r="C79" s="72" t="n">
        <v>0.356</v>
      </c>
      <c r="D79" s="72" t="n">
        <v>0.274</v>
      </c>
      <c r="E79" s="72" t="n">
        <v>0.266</v>
      </c>
      <c r="F79" s="72" t="n">
        <v>0.241</v>
      </c>
      <c r="G79" s="72" t="n">
        <v>0.288</v>
      </c>
      <c r="H79" s="72" t="n">
        <v>0.259</v>
      </c>
      <c r="I79" s="72" t="n">
        <v>0.243</v>
      </c>
      <c r="J79" s="72" t="n">
        <v>0.262</v>
      </c>
    </row>
    <row r="80" ht="16" customHeight="1">
      <c r="A80" s="97" t="inlineStr"/>
      <c r="B80" s="25" t="inlineStr">
        <is>
          <t>QoQ Rev Growth</t>
        </is>
      </c>
      <c r="C80" s="50" t="n"/>
      <c r="D80" s="76" t="n">
        <v>-0.4449534078556303</v>
      </c>
      <c r="E80" s="76" t="n">
        <v>0.4680530712975751</v>
      </c>
      <c r="F80" s="76" t="n">
        <v>-0.1063703452370854</v>
      </c>
      <c r="G80" s="76" t="n">
        <v>0.2146697156663934</v>
      </c>
      <c r="H80" s="76" t="n">
        <v>-0.3955968230062091</v>
      </c>
      <c r="I80" s="76" t="n">
        <v>0.465378421900161</v>
      </c>
      <c r="J80" s="76" t="n">
        <v>0.08855378198443892</v>
      </c>
    </row>
    <row r="81" ht="16" customHeight="1">
      <c r="A81" s="97" t="inlineStr"/>
      <c r="B81" s="20" t="inlineStr">
        <is>
          <t>YoY Rev Growth</t>
        </is>
      </c>
      <c r="C81" s="48" t="n"/>
      <c r="D81" s="48" t="n"/>
      <c r="E81" s="48" t="n"/>
      <c r="F81" s="48" t="n"/>
      <c r="G81" s="72" t="n">
        <v>-0.1155221273413888</v>
      </c>
      <c r="H81" s="72" t="n">
        <v>-0.03687141983834084</v>
      </c>
      <c r="I81" s="72" t="n">
        <v>-0.03862614609921421</v>
      </c>
      <c r="J81" s="72" t="n">
        <v>0.1710747724036761</v>
      </c>
    </row>
    <row r="82" ht="8" customHeight="1"/>
    <row r="83" ht="18" customHeight="1">
      <c r="A83" s="95" t="inlineStr">
        <is>
          <t>GHM  —  Graham Corporation</t>
        </is>
      </c>
      <c r="C83" s="38" t="inlineStr">
        <is>
          <t>Small Cap</t>
        </is>
      </c>
      <c r="D83" s="75" t="inlineStr">
        <is>
          <t>Mkt Cap: $1047M</t>
        </is>
      </c>
      <c r="E83" s="96" t="n"/>
      <c r="F83" s="96" t="n"/>
      <c r="G83" s="96" t="n"/>
      <c r="H83" s="96" t="n"/>
      <c r="I83" s="96" t="n"/>
      <c r="J83" s="96" t="n"/>
      <c r="K83" s="96" t="n"/>
    </row>
    <row r="84" ht="16" customHeight="1">
      <c r="A84" s="97" t="inlineStr"/>
      <c r="B84" s="18" t="inlineStr">
        <is>
          <t>Quarter</t>
        </is>
      </c>
      <c r="C84" s="18" t="inlineStr">
        <is>
          <t>2024-03-31</t>
        </is>
      </c>
      <c r="D84" s="18" t="inlineStr">
        <is>
          <t>2024-06-30</t>
        </is>
      </c>
      <c r="E84" s="18" t="inlineStr">
        <is>
          <t>2024-09-30</t>
        </is>
      </c>
      <c r="F84" s="18" t="inlineStr">
        <is>
          <t>2024-12-31</t>
        </is>
      </c>
      <c r="G84" s="18" t="inlineStr">
        <is>
          <t>2025-03-31</t>
        </is>
      </c>
      <c r="H84" s="18" t="inlineStr">
        <is>
          <t>2025-06-30</t>
        </is>
      </c>
      <c r="I84" s="18" t="inlineStr">
        <is>
          <t>2025-09-30</t>
        </is>
      </c>
      <c r="J84" s="18" t="inlineStr">
        <is>
          <t>2025-12-31</t>
        </is>
      </c>
    </row>
    <row r="85" ht="16" customHeight="1">
      <c r="A85" s="97" t="inlineStr"/>
      <c r="B85" s="67" t="inlineStr">
        <is>
          <t>Revenue ($M)</t>
        </is>
      </c>
      <c r="C85" s="98" t="n">
        <v>49.07</v>
      </c>
      <c r="D85" s="98" t="n">
        <v>49.951</v>
      </c>
      <c r="E85" s="98" t="n">
        <v>53.563</v>
      </c>
      <c r="F85" s="98" t="n">
        <v>47.037</v>
      </c>
      <c r="G85" s="98" t="n">
        <v>59.345</v>
      </c>
      <c r="H85" s="98" t="n">
        <v>55.487</v>
      </c>
      <c r="I85" s="98" t="n">
        <v>66.027</v>
      </c>
      <c r="J85" s="98" t="n">
        <v>56.701</v>
      </c>
    </row>
    <row r="86" ht="16" customHeight="1">
      <c r="A86" s="97" t="inlineStr"/>
      <c r="B86" s="95" t="inlineStr">
        <is>
          <t>Gross Margin %</t>
        </is>
      </c>
      <c r="C86" s="72" t="n">
        <v>0.259</v>
      </c>
      <c r="D86" s="72" t="n">
        <v>0.248</v>
      </c>
      <c r="E86" s="72" t="n">
        <v>0.239</v>
      </c>
      <c r="F86" s="72" t="n">
        <v>0.248</v>
      </c>
      <c r="G86" s="72" t="n">
        <v>0.27</v>
      </c>
      <c r="H86" s="72" t="n">
        <v>0.265</v>
      </c>
      <c r="I86" s="72" t="n">
        <v>0.217</v>
      </c>
      <c r="J86" s="72" t="n">
        <v>0.23</v>
      </c>
    </row>
    <row r="87" ht="16" customHeight="1">
      <c r="A87" s="97" t="inlineStr"/>
      <c r="B87" s="25" t="inlineStr">
        <is>
          <t>QoQ Rev Growth</t>
        </is>
      </c>
      <c r="C87" s="50" t="n"/>
      <c r="D87" s="76" t="n">
        <v>0.01795394334624006</v>
      </c>
      <c r="E87" s="76" t="n">
        <v>0.07231086464735441</v>
      </c>
      <c r="F87" s="76" t="n">
        <v>-0.1218378358195023</v>
      </c>
      <c r="G87" s="76" t="n">
        <v>0.2616663477687778</v>
      </c>
      <c r="H87" s="76" t="n">
        <v>-0.06500968910607464</v>
      </c>
      <c r="I87" s="76" t="n">
        <v>0.189954403734208</v>
      </c>
      <c r="J87" s="76" t="n">
        <v>-0.1412452481560574</v>
      </c>
    </row>
    <row r="88" ht="16" customHeight="1">
      <c r="A88" s="97" t="inlineStr"/>
      <c r="B88" s="20" t="inlineStr">
        <is>
          <t>YoY Rev Growth</t>
        </is>
      </c>
      <c r="C88" s="48" t="n"/>
      <c r="D88" s="48" t="n"/>
      <c r="E88" s="48" t="n"/>
      <c r="F88" s="48" t="n"/>
      <c r="G88" s="72" t="n">
        <v>0.2093947422050133</v>
      </c>
      <c r="H88" s="72" t="n">
        <v>0.110828612039799</v>
      </c>
      <c r="I88" s="72" t="n">
        <v>0.2326979444765976</v>
      </c>
      <c r="J88" s="72" t="n">
        <v>0.2054552798860471</v>
      </c>
    </row>
    <row r="89" ht="8" customHeight="1"/>
    <row r="90" ht="18" customHeight="1">
      <c r="A90" s="95" t="inlineStr">
        <is>
          <t>TRC  —  Tejon Ranch Co.</t>
        </is>
      </c>
      <c r="C90" s="38" t="inlineStr">
        <is>
          <t>Small Cap</t>
        </is>
      </c>
      <c r="D90" s="75" t="inlineStr">
        <is>
          <t>Mkt Cap: $446M</t>
        </is>
      </c>
      <c r="E90" s="96" t="n"/>
      <c r="F90" s="96" t="n"/>
      <c r="G90" s="96" t="n"/>
      <c r="H90" s="96" t="n"/>
      <c r="I90" s="96" t="n"/>
      <c r="J90" s="96" t="n"/>
      <c r="K90" s="96" t="n"/>
    </row>
    <row r="91" ht="16" customHeight="1">
      <c r="A91" s="97"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7" t="inlineStr"/>
      <c r="B92" s="67" t="inlineStr">
        <is>
          <t>Revenue ($M)</t>
        </is>
      </c>
      <c r="C92" s="98" t="n">
        <v>7.406</v>
      </c>
      <c r="D92" s="98" t="n">
        <v>5.689</v>
      </c>
      <c r="E92" s="98" t="n">
        <v>10.856</v>
      </c>
      <c r="F92" s="98" t="n">
        <v>17.935</v>
      </c>
      <c r="G92" s="98" t="n">
        <v>8.209</v>
      </c>
      <c r="H92" s="98" t="n">
        <v>8.307</v>
      </c>
      <c r="I92" s="98" t="n">
        <v>11.969</v>
      </c>
      <c r="J92" s="98" t="n">
        <v>21.106</v>
      </c>
    </row>
    <row r="93" ht="16" customHeight="1">
      <c r="A93" s="97" t="inlineStr"/>
      <c r="B93" s="95" t="inlineStr">
        <is>
          <t>Gross Margin %</t>
        </is>
      </c>
      <c r="C93" s="72" t="n">
        <v>-0.201</v>
      </c>
      <c r="D93" s="72" t="n">
        <v>-0.034</v>
      </c>
      <c r="E93" s="72" t="n">
        <v>-0.078</v>
      </c>
      <c r="F93" s="72" t="n">
        <v>0.247</v>
      </c>
      <c r="G93" s="72" t="n">
        <v>0.009000000000000001</v>
      </c>
      <c r="H93" s="72" t="n">
        <v>0.102</v>
      </c>
      <c r="I93" s="72" t="n">
        <v>0.07099999999999999</v>
      </c>
      <c r="J93" s="72" t="n">
        <v>0.206</v>
      </c>
    </row>
    <row r="94" ht="16" customHeight="1">
      <c r="A94" s="97" t="inlineStr"/>
      <c r="B94" s="25" t="inlineStr">
        <is>
          <t>QoQ Rev Growth</t>
        </is>
      </c>
      <c r="C94" s="50" t="n"/>
      <c r="D94" s="76" t="n">
        <v>-0.2318390494193897</v>
      </c>
      <c r="E94" s="76" t="n">
        <v>0.9082439796097732</v>
      </c>
      <c r="F94" s="76" t="n">
        <v>0.6520817980840088</v>
      </c>
      <c r="G94" s="76" t="n">
        <v>-0.5422916085865626</v>
      </c>
      <c r="H94" s="76" t="n">
        <v>0.01193811670118163</v>
      </c>
      <c r="I94" s="76" t="n">
        <v>0.4408330323823282</v>
      </c>
      <c r="J94" s="76" t="n">
        <v>0.7633887542818949</v>
      </c>
    </row>
    <row r="95" ht="16" customHeight="1">
      <c r="A95" s="97" t="inlineStr"/>
      <c r="B95" s="20" t="inlineStr">
        <is>
          <t>YoY Rev Growth</t>
        </is>
      </c>
      <c r="C95" s="48" t="n"/>
      <c r="D95" s="48" t="n"/>
      <c r="E95" s="48" t="n"/>
      <c r="F95" s="48" t="n"/>
      <c r="G95" s="72" t="n">
        <v>0.1084256008641642</v>
      </c>
      <c r="H95" s="72" t="n">
        <v>0.4601863244858499</v>
      </c>
      <c r="I95" s="72" t="n">
        <v>0.102523949889462</v>
      </c>
      <c r="J95" s="72" t="n">
        <v>0.1768051296347923</v>
      </c>
    </row>
    <row r="96" ht="8" customHeight="1"/>
    <row r="97" ht="18" customHeight="1">
      <c r="A97" s="95" t="inlineStr">
        <is>
          <t>CEVA  —  CEVA, Inc.</t>
        </is>
      </c>
      <c r="C97" s="38" t="inlineStr">
        <is>
          <t>Small Cap</t>
        </is>
      </c>
      <c r="D97" s="75" t="inlineStr">
        <is>
          <t>Mkt Cap: $784M</t>
        </is>
      </c>
      <c r="E97" s="96" t="n"/>
      <c r="F97" s="96" t="n"/>
      <c r="G97" s="96" t="n"/>
      <c r="H97" s="96" t="n"/>
      <c r="I97" s="96" t="n"/>
      <c r="J97" s="96" t="n"/>
      <c r="K97" s="96" t="n"/>
    </row>
    <row r="98" ht="16" customHeight="1">
      <c r="A98" s="97" t="inlineStr"/>
      <c r="B98" s="18" t="inlineStr">
        <is>
          <t>Quarter</t>
        </is>
      </c>
      <c r="C98" s="18" t="inlineStr">
        <is>
          <t>2024-03-31</t>
        </is>
      </c>
      <c r="D98" s="18" t="inlineStr">
        <is>
          <t>2024-06-30</t>
        </is>
      </c>
      <c r="E98" s="18" t="inlineStr">
        <is>
          <t>2024-09-30</t>
        </is>
      </c>
      <c r="F98" s="18" t="inlineStr">
        <is>
          <t>2024-12-31</t>
        </is>
      </c>
      <c r="G98" s="18" t="inlineStr">
        <is>
          <t>2025-03-31</t>
        </is>
      </c>
      <c r="H98" s="18" t="inlineStr">
        <is>
          <t>2025-06-30</t>
        </is>
      </c>
      <c r="I98" s="18" t="inlineStr">
        <is>
          <t>2025-09-30</t>
        </is>
      </c>
      <c r="J98" s="18" t="inlineStr">
        <is>
          <t>2025-12-31</t>
        </is>
      </c>
    </row>
    <row r="99" ht="16" customHeight="1">
      <c r="A99" s="97" t="inlineStr"/>
      <c r="B99" s="67" t="inlineStr">
        <is>
          <t>Revenue ($M)</t>
        </is>
      </c>
      <c r="C99" s="98" t="n">
        <v>22.072</v>
      </c>
      <c r="D99" s="98" t="n">
        <v>28.437</v>
      </c>
      <c r="E99" s="98" t="n">
        <v>27.207</v>
      </c>
      <c r="F99" s="98" t="n">
        <v>29.223</v>
      </c>
      <c r="G99" s="98" t="n">
        <v>24.245</v>
      </c>
      <c r="H99" s="98" t="n">
        <v>25.678</v>
      </c>
      <c r="I99" s="98" t="n">
        <v>28.384</v>
      </c>
      <c r="J99" s="98" t="n">
        <v>31.291</v>
      </c>
    </row>
    <row r="100" ht="16" customHeight="1">
      <c r="A100" s="97" t="inlineStr"/>
      <c r="B100" s="95" t="inlineStr">
        <is>
          <t>Gross Margin %</t>
        </is>
      </c>
      <c r="C100" s="72" t="n">
        <v>0.887</v>
      </c>
      <c r="D100" s="72" t="n">
        <v>0.897</v>
      </c>
      <c r="E100" s="72" t="n">
        <v>0.8540000000000001</v>
      </c>
      <c r="F100" s="72" t="n">
        <v>0.885</v>
      </c>
      <c r="G100" s="72" t="n">
        <v>0.856</v>
      </c>
      <c r="H100" s="72" t="n">
        <v>0.862</v>
      </c>
      <c r="I100" s="72" t="n">
        <v>0.88</v>
      </c>
      <c r="J100" s="72" t="n">
        <v>0.8809999999999999</v>
      </c>
    </row>
    <row r="101" ht="16" customHeight="1">
      <c r="A101" s="97" t="inlineStr"/>
      <c r="B101" s="25" t="inlineStr">
        <is>
          <t>QoQ Rev Growth</t>
        </is>
      </c>
      <c r="C101" s="50" t="n"/>
      <c r="D101" s="76" t="n">
        <v>0.2883744110184849</v>
      </c>
      <c r="E101" s="76" t="n">
        <v>-0.04325350775398248</v>
      </c>
      <c r="F101" s="76" t="n">
        <v>0.07409857757194839</v>
      </c>
      <c r="G101" s="76" t="n">
        <v>-0.1703452759812477</v>
      </c>
      <c r="H101" s="76" t="n">
        <v>0.0591049700969272</v>
      </c>
      <c r="I101" s="76" t="n">
        <v>0.1053820390996184</v>
      </c>
      <c r="J101" s="76" t="n">
        <v>0.1024168545659526</v>
      </c>
    </row>
    <row r="102" ht="16" customHeight="1">
      <c r="A102" s="97" t="inlineStr"/>
      <c r="B102" s="20" t="inlineStr">
        <is>
          <t>YoY Rev Growth</t>
        </is>
      </c>
      <c r="C102" s="48" t="n"/>
      <c r="D102" s="48" t="n"/>
      <c r="E102" s="48" t="n"/>
      <c r="F102" s="48" t="n"/>
      <c r="G102" s="72" t="n">
        <v>0.09845052555273649</v>
      </c>
      <c r="H102" s="72" t="n">
        <v>-0.09702148609206315</v>
      </c>
      <c r="I102" s="72" t="n">
        <v>0.04326092549711472</v>
      </c>
      <c r="J102" s="72" t="n">
        <v>0.07076617732607877</v>
      </c>
    </row>
    <row r="103" ht="8" customHeight="1"/>
    <row r="104" ht="18" customHeight="1">
      <c r="A104" s="95" t="inlineStr">
        <is>
          <t>CMCO  —  Columbus McKinnon Corporation</t>
        </is>
      </c>
      <c r="C104" s="38" t="inlineStr">
        <is>
          <t>Small Cap</t>
        </is>
      </c>
      <c r="D104" s="75" t="inlineStr">
        <is>
          <t>Mkt Cap: $540M</t>
        </is>
      </c>
      <c r="E104" s="96" t="n"/>
      <c r="F104" s="96" t="n"/>
      <c r="G104" s="96" t="n"/>
      <c r="H104" s="96" t="n"/>
      <c r="I104" s="96" t="n"/>
      <c r="J104" s="96" t="n"/>
      <c r="K104" s="96" t="n"/>
    </row>
    <row r="105" ht="16" customHeight="1">
      <c r="A105" s="97" t="inlineStr"/>
      <c r="B105" s="18" t="inlineStr">
        <is>
          <t>Quarter</t>
        </is>
      </c>
      <c r="C105" s="18" t="inlineStr">
        <is>
          <t>2024-03-31</t>
        </is>
      </c>
      <c r="D105" s="18" t="inlineStr">
        <is>
          <t>2024-06-30</t>
        </is>
      </c>
      <c r="E105" s="18" t="inlineStr">
        <is>
          <t>2024-09-30</t>
        </is>
      </c>
      <c r="F105" s="18" t="inlineStr">
        <is>
          <t>2024-12-31</t>
        </is>
      </c>
      <c r="G105" s="18" t="inlineStr">
        <is>
          <t>2025-03-31</t>
        </is>
      </c>
      <c r="H105" s="18" t="inlineStr">
        <is>
          <t>2025-06-30</t>
        </is>
      </c>
      <c r="I105" s="18" t="inlineStr">
        <is>
          <t>2025-09-30</t>
        </is>
      </c>
      <c r="J105" s="18" t="inlineStr">
        <is>
          <t>2025-12-31</t>
        </is>
      </c>
    </row>
    <row r="106" ht="16" customHeight="1">
      <c r="A106" s="97" t="inlineStr"/>
      <c r="B106" s="67" t="inlineStr">
        <is>
          <t>Revenue ($M)</t>
        </is>
      </c>
      <c r="C106" s="98" t="n">
        <v>265.504</v>
      </c>
      <c r="D106" s="98" t="n">
        <v>239.726</v>
      </c>
      <c r="E106" s="98" t="n">
        <v>242.274</v>
      </c>
      <c r="F106" s="98" t="n">
        <v>234.138</v>
      </c>
      <c r="G106" s="98" t="n">
        <v>246.889</v>
      </c>
      <c r="H106" s="98" t="n">
        <v>235.92</v>
      </c>
      <c r="I106" s="98" t="n">
        <v>261.047</v>
      </c>
      <c r="J106" s="98" t="n">
        <v>258.655</v>
      </c>
    </row>
    <row r="107" ht="16" customHeight="1">
      <c r="A107" s="97" t="inlineStr"/>
      <c r="B107" s="95" t="inlineStr">
        <is>
          <t>Gross Margin %</t>
        </is>
      </c>
      <c r="C107" s="72" t="n">
        <v>0.355</v>
      </c>
      <c r="D107" s="72" t="n">
        <v>0.371</v>
      </c>
      <c r="E107" s="72" t="n">
        <v>0.309</v>
      </c>
      <c r="F107" s="72" t="n">
        <v>0.351</v>
      </c>
      <c r="G107" s="72" t="n">
        <v>0.323</v>
      </c>
      <c r="H107" s="72" t="n">
        <v>0.327</v>
      </c>
      <c r="I107" s="72" t="n">
        <v>0.345</v>
      </c>
      <c r="J107" s="72" t="n">
        <v>0.345</v>
      </c>
    </row>
    <row r="108" ht="16" customHeight="1">
      <c r="A108" s="97" t="inlineStr"/>
      <c r="B108" s="25" t="inlineStr">
        <is>
          <t>QoQ Rev Growth</t>
        </is>
      </c>
      <c r="C108" s="50" t="n"/>
      <c r="D108" s="76" t="n">
        <v>-0.09709081595757503</v>
      </c>
      <c r="E108" s="76" t="n">
        <v>0.01062880121472014</v>
      </c>
      <c r="F108" s="76" t="n">
        <v>-0.03358181232819039</v>
      </c>
      <c r="G108" s="76" t="n">
        <v>0.05445933594717645</v>
      </c>
      <c r="H108" s="76" t="n">
        <v>-0.04442887289429662</v>
      </c>
      <c r="I108" s="76" t="n">
        <v>0.1065064428619871</v>
      </c>
      <c r="J108" s="76" t="n">
        <v>-0.009163100897539524</v>
      </c>
    </row>
    <row r="109" ht="16" customHeight="1">
      <c r="A109" s="97" t="inlineStr"/>
      <c r="B109" s="20" t="inlineStr">
        <is>
          <t>YoY Rev Growth</t>
        </is>
      </c>
      <c r="C109" s="48" t="n"/>
      <c r="D109" s="48" t="n"/>
      <c r="E109" s="48" t="n"/>
      <c r="F109" s="48" t="n"/>
      <c r="G109" s="72" t="n">
        <v>-0.07011193804989756</v>
      </c>
      <c r="H109" s="72" t="n">
        <v>-0.0158764589573096</v>
      </c>
      <c r="I109" s="72" t="n">
        <v>0.07748664734969497</v>
      </c>
      <c r="J109" s="72" t="n">
        <v>0.1047117511894695</v>
      </c>
    </row>
    <row r="110" ht="8" customHeight="1"/>
    <row r="111" ht="18" customHeight="1">
      <c r="A111" s="95" t="inlineStr">
        <is>
          <t>VPG  —  Vishay Precision Group, Inc.</t>
        </is>
      </c>
      <c r="C111" s="38" t="inlineStr">
        <is>
          <t>Small Cap</t>
        </is>
      </c>
      <c r="D111" s="75" t="inlineStr">
        <is>
          <t>Mkt Cap: $868M</t>
        </is>
      </c>
      <c r="E111" s="96" t="n"/>
      <c r="F111" s="96" t="n"/>
      <c r="G111" s="96" t="n"/>
      <c r="H111" s="96" t="n"/>
      <c r="I111" s="96" t="n"/>
      <c r="J111" s="96" t="n"/>
      <c r="K111" s="96" t="n"/>
    </row>
    <row r="112" ht="16" customHeight="1">
      <c r="A112" s="97" t="inlineStr"/>
      <c r="B112" s="18" t="inlineStr">
        <is>
          <t>Quarter</t>
        </is>
      </c>
      <c r="C112" s="18" t="inlineStr">
        <is>
          <t>2024-03-30</t>
        </is>
      </c>
      <c r="D112" s="18" t="inlineStr">
        <is>
          <t>2024-06-29</t>
        </is>
      </c>
      <c r="E112" s="18" t="inlineStr">
        <is>
          <t>2024-09-28</t>
        </is>
      </c>
      <c r="F112" s="18" t="inlineStr">
        <is>
          <t>2024-12-31</t>
        </is>
      </c>
      <c r="G112" s="18" t="inlineStr">
        <is>
          <t>2025-03-29</t>
        </is>
      </c>
      <c r="H112" s="18" t="inlineStr">
        <is>
          <t>2025-06-28</t>
        </is>
      </c>
      <c r="I112" s="18" t="inlineStr">
        <is>
          <t>2025-09-27</t>
        </is>
      </c>
      <c r="J112" s="18" t="inlineStr">
        <is>
          <t>2025-12-31</t>
        </is>
      </c>
    </row>
    <row r="113" ht="16" customHeight="1">
      <c r="A113" s="97" t="inlineStr"/>
      <c r="B113" s="67" t="inlineStr">
        <is>
          <t>Revenue ($M)</t>
        </is>
      </c>
      <c r="C113" s="98" t="n">
        <v>80.783</v>
      </c>
      <c r="D113" s="98" t="n">
        <v>77.35899999999999</v>
      </c>
      <c r="E113" s="98" t="n">
        <v>75.727</v>
      </c>
      <c r="F113" s="98" t="n">
        <v>72.65300000000001</v>
      </c>
      <c r="G113" s="98" t="n">
        <v>71.741</v>
      </c>
      <c r="H113" s="98" t="n">
        <v>75.161</v>
      </c>
      <c r="I113" s="98" t="n">
        <v>79.72799999999999</v>
      </c>
      <c r="J113" s="98" t="n">
        <v>80.572</v>
      </c>
    </row>
    <row r="114" ht="16" customHeight="1">
      <c r="A114" s="97" t="inlineStr"/>
      <c r="B114" s="95" t="inlineStr">
        <is>
          <t>Gross Margin %</t>
        </is>
      </c>
      <c r="C114" s="72" t="n">
        <v>0.434</v>
      </c>
      <c r="D114" s="72" t="n">
        <v>0.419</v>
      </c>
      <c r="E114" s="72" t="n">
        <v>0.4</v>
      </c>
      <c r="F114" s="72" t="n">
        <v>0.382</v>
      </c>
      <c r="G114" s="72" t="n">
        <v>0.377</v>
      </c>
      <c r="H114" s="72" t="n">
        <v>0.407</v>
      </c>
      <c r="I114" s="72" t="n">
        <v>0.403</v>
      </c>
      <c r="J114" s="72" t="n">
        <v>0.368</v>
      </c>
    </row>
    <row r="115" ht="16" customHeight="1">
      <c r="A115" s="97" t="inlineStr"/>
      <c r="B115" s="25" t="inlineStr">
        <is>
          <t>QoQ Rev Growth</t>
        </is>
      </c>
      <c r="C115" s="50" t="n"/>
      <c r="D115" s="76" t="n">
        <v>-0.04238515529257393</v>
      </c>
      <c r="E115" s="76" t="n">
        <v>-0.02109644643803565</v>
      </c>
      <c r="F115" s="76" t="n">
        <v>-0.0405931834088238</v>
      </c>
      <c r="G115" s="76" t="n">
        <v>-0.01255281956698278</v>
      </c>
      <c r="H115" s="76" t="n">
        <v>0.04767148492493832</v>
      </c>
      <c r="I115" s="76" t="n">
        <v>0.0607628956506699</v>
      </c>
      <c r="J115" s="76" t="n">
        <v>0.01058599237407184</v>
      </c>
    </row>
    <row r="116" ht="16" customHeight="1">
      <c r="A116" s="97" t="inlineStr"/>
      <c r="B116" s="20" t="inlineStr">
        <is>
          <t>YoY Rev Growth</t>
        </is>
      </c>
      <c r="C116" s="48" t="n"/>
      <c r="D116" s="48" t="n"/>
      <c r="E116" s="48" t="n"/>
      <c r="F116" s="48" t="n"/>
      <c r="G116" s="72" t="n">
        <v>-0.1119294901154946</v>
      </c>
      <c r="H116" s="72" t="n">
        <v>-0.02841298362181518</v>
      </c>
      <c r="I116" s="72" t="n">
        <v>0.05283452401389201</v>
      </c>
      <c r="J116" s="72" t="n">
        <v>0.1089975637619919</v>
      </c>
    </row>
    <row r="117" ht="8" customHeight="1"/>
    <row r="118" ht="18" customHeight="1">
      <c r="A118" s="95" t="inlineStr">
        <is>
          <t>MNTK  —  Montauk Renewables, Inc.</t>
        </is>
      </c>
      <c r="C118" s="38" t="inlineStr">
        <is>
          <t>Small Cap</t>
        </is>
      </c>
      <c r="D118" s="75" t="inlineStr">
        <is>
          <t>Mkt Cap: $337M</t>
        </is>
      </c>
      <c r="E118" s="96" t="n"/>
      <c r="F118" s="96" t="n"/>
      <c r="G118" s="96" t="n"/>
      <c r="H118" s="96" t="n"/>
      <c r="I118" s="96" t="n"/>
      <c r="J118" s="96" t="n"/>
      <c r="K118" s="96" t="n"/>
    </row>
    <row r="119" ht="16" customHeight="1">
      <c r="A119" s="97" t="inlineStr"/>
      <c r="B119" s="18" t="inlineStr">
        <is>
          <t>Quarter</t>
        </is>
      </c>
      <c r="C119" s="18" t="inlineStr">
        <is>
          <t>2024-03-31</t>
        </is>
      </c>
      <c r="D119" s="18" t="inlineStr">
        <is>
          <t>2024-06-30</t>
        </is>
      </c>
      <c r="E119" s="18" t="inlineStr">
        <is>
          <t>2024-09-30</t>
        </is>
      </c>
      <c r="F119" s="18" t="inlineStr">
        <is>
          <t>2024-12-31</t>
        </is>
      </c>
      <c r="G119" s="18" t="inlineStr">
        <is>
          <t>2025-03-31</t>
        </is>
      </c>
      <c r="H119" s="18" t="inlineStr">
        <is>
          <t>2025-06-30</t>
        </is>
      </c>
      <c r="I119" s="18" t="inlineStr">
        <is>
          <t>2025-09-30</t>
        </is>
      </c>
      <c r="J119" s="18" t="inlineStr">
        <is>
          <t>2025-12-31</t>
        </is>
      </c>
    </row>
    <row r="120" ht="16" customHeight="1">
      <c r="A120" s="97" t="inlineStr"/>
      <c r="B120" s="67" t="inlineStr">
        <is>
          <t>Revenue ($M)</t>
        </is>
      </c>
      <c r="C120" s="98" t="n">
        <v>38.787</v>
      </c>
      <c r="D120" s="98" t="n">
        <v>43.338</v>
      </c>
      <c r="E120" s="98" t="n">
        <v>65.917</v>
      </c>
      <c r="F120" s="98" t="n">
        <v>27.694</v>
      </c>
      <c r="G120" s="98" t="n">
        <v>42.603</v>
      </c>
      <c r="H120" s="98" t="n">
        <v>45.127</v>
      </c>
      <c r="I120" s="98" t="n">
        <v>45.258</v>
      </c>
      <c r="J120" s="98" t="n">
        <v>43.394</v>
      </c>
    </row>
    <row r="121" ht="16" customHeight="1">
      <c r="A121" s="97" t="inlineStr"/>
      <c r="B121" s="95" t="inlineStr">
        <is>
          <t>Gross Margin %</t>
        </is>
      </c>
      <c r="C121" s="72" t="n">
        <v>0.459</v>
      </c>
      <c r="D121" s="72" t="n">
        <v>0.36</v>
      </c>
      <c r="E121" s="72" t="n">
        <v>0.597</v>
      </c>
      <c r="F121" s="72" t="n">
        <v>0.174</v>
      </c>
      <c r="G121" s="72" t="n">
        <v>0.41</v>
      </c>
      <c r="H121" s="72" t="n">
        <v>0.312</v>
      </c>
      <c r="I121" s="72" t="n">
        <v>0.428</v>
      </c>
      <c r="J121" s="72" t="n">
        <v>0.343</v>
      </c>
    </row>
    <row r="122" ht="16" customHeight="1">
      <c r="A122" s="97" t="inlineStr"/>
      <c r="B122" s="25" t="inlineStr">
        <is>
          <t>QoQ Rev Growth</t>
        </is>
      </c>
      <c r="C122" s="50" t="n"/>
      <c r="D122" s="76" t="n">
        <v>0.1173331270786604</v>
      </c>
      <c r="E122" s="76" t="n">
        <v>0.5209977387050625</v>
      </c>
      <c r="F122" s="76" t="n">
        <v>-0.5798655885431679</v>
      </c>
      <c r="G122" s="76" t="n">
        <v>0.5383476565321008</v>
      </c>
      <c r="H122" s="76" t="n">
        <v>0.0592446541323381</v>
      </c>
      <c r="I122" s="76" t="n">
        <v>0.002902918430208079</v>
      </c>
      <c r="J122" s="76" t="n">
        <v>-0.04118608864731097</v>
      </c>
    </row>
    <row r="123" ht="16" customHeight="1">
      <c r="A123" s="97" t="inlineStr"/>
      <c r="B123" s="20" t="inlineStr">
        <is>
          <t>YoY Rev Growth</t>
        </is>
      </c>
      <c r="C123" s="48" t="n"/>
      <c r="D123" s="48" t="n"/>
      <c r="E123" s="48" t="n"/>
      <c r="F123" s="48" t="n"/>
      <c r="G123" s="72" t="n">
        <v>0.09838347900069611</v>
      </c>
      <c r="H123" s="72" t="n">
        <v>0.04128016982786469</v>
      </c>
      <c r="I123" s="72" t="n">
        <v>-0.3134092874372317</v>
      </c>
      <c r="J123" s="72" t="n">
        <v>0.5669097999566693</v>
      </c>
    </row>
    <row r="124" ht="8" customHeight="1"/>
    <row r="125" ht="18" customHeight="1">
      <c r="A125" s="95" t="inlineStr">
        <is>
          <t>EVLV  —  Evolv Technologies Holdings, Inc.</t>
        </is>
      </c>
      <c r="C125" s="38" t="inlineStr">
        <is>
          <t>Small Cap</t>
        </is>
      </c>
      <c r="D125" s="75" t="inlineStr">
        <is>
          <t>Mkt Cap: $913M</t>
        </is>
      </c>
      <c r="E125" s="96" t="n"/>
      <c r="F125" s="96" t="n"/>
      <c r="G125" s="96" t="n"/>
      <c r="H125" s="96" t="n"/>
      <c r="I125" s="96" t="n"/>
      <c r="J125" s="96" t="n"/>
      <c r="K125" s="96" t="n"/>
    </row>
    <row r="126" ht="16" customHeight="1">
      <c r="A126" s="97"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7" t="inlineStr"/>
      <c r="B127" s="67" t="inlineStr">
        <is>
          <t>Revenue ($M)</t>
        </is>
      </c>
      <c r="C127" s="98" t="n">
        <v>22.181</v>
      </c>
      <c r="D127" s="98" t="n">
        <v>25.54</v>
      </c>
      <c r="E127" s="98" t="n">
        <v>27.36</v>
      </c>
      <c r="F127" s="98" t="n">
        <v>29.1</v>
      </c>
      <c r="G127" s="98" t="n">
        <v>32.007</v>
      </c>
      <c r="H127" s="98" t="n">
        <v>32.544</v>
      </c>
      <c r="I127" s="98" t="n">
        <v>42.85</v>
      </c>
      <c r="J127" s="98" t="n">
        <v>38.504</v>
      </c>
    </row>
    <row r="128" ht="16" customHeight="1">
      <c r="A128" s="97" t="inlineStr"/>
      <c r="B128" s="95" t="inlineStr">
        <is>
          <t>Gross Margin %</t>
        </is>
      </c>
      <c r="C128" s="72" t="n">
        <v>0.5479999999999999</v>
      </c>
      <c r="D128" s="72" t="n">
        <v>0.5670000000000001</v>
      </c>
      <c r="E128" s="72" t="n">
        <v>0.578</v>
      </c>
      <c r="F128" s="72" t="n">
        <v>0.575</v>
      </c>
      <c r="G128" s="72" t="n">
        <v>0.598</v>
      </c>
      <c r="H128" s="72" t="n">
        <v>0.498</v>
      </c>
      <c r="I128" s="72" t="n">
        <v>0.4970000000000001</v>
      </c>
      <c r="J128" s="72" t="n">
        <v>0.484</v>
      </c>
    </row>
    <row r="129" ht="16" customHeight="1">
      <c r="A129" s="97" t="inlineStr"/>
      <c r="B129" s="25" t="inlineStr">
        <is>
          <t>QoQ Rev Growth</t>
        </is>
      </c>
      <c r="C129" s="50" t="n"/>
      <c r="D129" s="76" t="n">
        <v>0.1514359136197647</v>
      </c>
      <c r="E129" s="76" t="n">
        <v>0.07126076742364917</v>
      </c>
      <c r="F129" s="76" t="n">
        <v>0.06359649122807018</v>
      </c>
      <c r="G129" s="76" t="n">
        <v>0.09989690721649484</v>
      </c>
      <c r="H129" s="76" t="n">
        <v>0.01677757990439591</v>
      </c>
      <c r="I129" s="76" t="n">
        <v>0.3166789577187807</v>
      </c>
      <c r="J129" s="76" t="n">
        <v>-0.1014235705950992</v>
      </c>
    </row>
    <row r="130" ht="16" customHeight="1">
      <c r="A130" s="97" t="inlineStr"/>
      <c r="B130" s="20" t="inlineStr">
        <is>
          <t>YoY Rev Growth</t>
        </is>
      </c>
      <c r="C130" s="48" t="n"/>
      <c r="D130" s="48" t="n"/>
      <c r="E130" s="48" t="n"/>
      <c r="F130" s="48" t="n"/>
      <c r="G130" s="72" t="n">
        <v>0.4429917496956855</v>
      </c>
      <c r="H130" s="72" t="n">
        <v>0.2742364917776038</v>
      </c>
      <c r="I130" s="72" t="n">
        <v>0.5661549707602339</v>
      </c>
      <c r="J130" s="72" t="n">
        <v>0.3231615120274914</v>
      </c>
    </row>
    <row r="131" ht="8" customHeight="1"/>
    <row r="132" ht="18" customHeight="1">
      <c r="A132" s="95" t="inlineStr">
        <is>
          <t>ADTN  —  ADTRAN Holdings Inc.</t>
        </is>
      </c>
      <c r="C132" s="38" t="inlineStr">
        <is>
          <t>Small Cap</t>
        </is>
      </c>
      <c r="D132" s="75" t="inlineStr">
        <is>
          <t>Mkt Cap: $608M</t>
        </is>
      </c>
      <c r="E132" s="96" t="n"/>
      <c r="F132" s="96" t="n"/>
      <c r="G132" s="96" t="n"/>
      <c r="H132" s="96" t="n"/>
      <c r="I132" s="96" t="n"/>
      <c r="J132" s="96" t="n"/>
      <c r="K132" s="96" t="n"/>
    </row>
    <row r="133" ht="16" customHeight="1">
      <c r="A133" s="97"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7" t="inlineStr"/>
      <c r="B134" s="67" t="inlineStr">
        <is>
          <t>Revenue ($M)</t>
        </is>
      </c>
      <c r="C134" s="98" t="n">
        <v>226.173</v>
      </c>
      <c r="D134" s="98" t="n">
        <v>225.991</v>
      </c>
      <c r="E134" s="98" t="n">
        <v>227.704</v>
      </c>
      <c r="F134" s="98" t="n">
        <v>242.852</v>
      </c>
      <c r="G134" s="98" t="n">
        <v>247.744</v>
      </c>
      <c r="H134" s="98" t="n">
        <v>265.068</v>
      </c>
      <c r="I134" s="98" t="n">
        <v>279.435</v>
      </c>
      <c r="J134" s="98" t="n">
        <v>291.56</v>
      </c>
    </row>
    <row r="135" ht="16" customHeight="1">
      <c r="A135" s="97" t="inlineStr"/>
      <c r="B135" s="95" t="inlineStr">
        <is>
          <t>Gross Margin %</t>
        </is>
      </c>
      <c r="C135" s="72" t="n">
        <v>0.311</v>
      </c>
      <c r="D135" s="72" t="n">
        <v>0.361</v>
      </c>
      <c r="E135" s="72" t="n">
        <v>0.374</v>
      </c>
      <c r="F135" s="72" t="n">
        <v>0.376</v>
      </c>
      <c r="G135" s="72" t="n">
        <v>0.384</v>
      </c>
      <c r="H135" s="72" t="n">
        <v>0.373</v>
      </c>
      <c r="I135" s="72" t="n">
        <v>0.383</v>
      </c>
      <c r="J135" s="72" t="n">
        <v>0.39</v>
      </c>
    </row>
    <row r="136" ht="16" customHeight="1">
      <c r="A136" s="97" t="inlineStr"/>
      <c r="B136" s="25" t="inlineStr">
        <is>
          <t>QoQ Rev Growth</t>
        </is>
      </c>
      <c r="C136" s="50" t="n"/>
      <c r="D136" s="76" t="n">
        <v>-0.000804693752127796</v>
      </c>
      <c r="E136" s="76" t="n">
        <v>0.007579947874030382</v>
      </c>
      <c r="F136" s="76" t="n">
        <v>0.06652496223166919</v>
      </c>
      <c r="G136" s="76" t="n">
        <v>0.02014395598965625</v>
      </c>
      <c r="H136" s="76" t="n">
        <v>0.06992702144148799</v>
      </c>
      <c r="I136" s="76" t="n">
        <v>0.05420118611073385</v>
      </c>
      <c r="J136" s="76" t="n">
        <v>0.04339112852720668</v>
      </c>
    </row>
    <row r="137" ht="16" customHeight="1">
      <c r="A137" s="97" t="inlineStr"/>
      <c r="B137" s="20" t="inlineStr">
        <is>
          <t>YoY Rev Growth</t>
        </is>
      </c>
      <c r="C137" s="48" t="n"/>
      <c r="D137" s="48" t="n"/>
      <c r="E137" s="48" t="n"/>
      <c r="F137" s="48" t="n"/>
      <c r="G137" s="72" t="n">
        <v>0.09537389520411367</v>
      </c>
      <c r="H137" s="72" t="n">
        <v>0.1729139656004</v>
      </c>
      <c r="I137" s="72" t="n">
        <v>0.2271852931876471</v>
      </c>
      <c r="J137" s="72" t="n">
        <v>0.2005666002338873</v>
      </c>
    </row>
    <row r="138" ht="8" customHeight="1"/>
    <row r="139" ht="18" customHeight="1">
      <c r="A139" s="95" t="inlineStr">
        <is>
          <t>SHLS  —  Shoals Technologies Group, Inc.</t>
        </is>
      </c>
      <c r="C139" s="38" t="inlineStr">
        <is>
          <t>Small Cap</t>
        </is>
      </c>
      <c r="D139" s="75" t="inlineStr">
        <is>
          <t>Mkt Cap: $1263M</t>
        </is>
      </c>
      <c r="E139" s="96" t="n"/>
      <c r="F139" s="96" t="n"/>
      <c r="G139" s="96" t="n"/>
      <c r="H139" s="96" t="n"/>
      <c r="I139" s="96" t="n"/>
      <c r="J139" s="96" t="n"/>
      <c r="K139" s="96" t="n"/>
    </row>
    <row r="140" ht="16" customHeight="1">
      <c r="A140" s="97"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7" t="inlineStr"/>
      <c r="B141" s="67" t="inlineStr">
        <is>
          <t>Revenue ($M)</t>
        </is>
      </c>
      <c r="C141" s="98" t="n">
        <v>90.807</v>
      </c>
      <c r="D141" s="98" t="n">
        <v>99.249</v>
      </c>
      <c r="E141" s="98" t="n">
        <v>102.165</v>
      </c>
      <c r="F141" s="98" t="n">
        <v>106.987</v>
      </c>
      <c r="G141" s="98" t="n">
        <v>80.361</v>
      </c>
      <c r="H141" s="98" t="n">
        <v>110.841</v>
      </c>
      <c r="I141" s="98" t="n">
        <v>135.804</v>
      </c>
      <c r="J141" s="98" t="n">
        <v>148.325</v>
      </c>
    </row>
    <row r="142" ht="16" customHeight="1">
      <c r="A142" s="97" t="inlineStr"/>
      <c r="B142" s="95" t="inlineStr">
        <is>
          <t>Gross Margin %</t>
        </is>
      </c>
      <c r="C142" s="72" t="n">
        <v>0.402</v>
      </c>
      <c r="D142" s="72" t="n">
        <v>0.403</v>
      </c>
      <c r="E142" s="72" t="n">
        <v>0.248</v>
      </c>
      <c r="F142" s="72" t="n">
        <v>0.376</v>
      </c>
      <c r="G142" s="72" t="n">
        <v>0.35</v>
      </c>
      <c r="H142" s="72" t="n">
        <v>0.3720000000000001</v>
      </c>
      <c r="I142" s="72" t="n">
        <v>0.37</v>
      </c>
      <c r="J142" s="72" t="n">
        <v>0.316</v>
      </c>
    </row>
    <row r="143" ht="16" customHeight="1">
      <c r="A143" s="97" t="inlineStr"/>
      <c r="B143" s="25" t="inlineStr">
        <is>
          <t>QoQ Rev Growth</t>
        </is>
      </c>
      <c r="C143" s="50" t="n"/>
      <c r="D143" s="76" t="n">
        <v>0.09296640126862467</v>
      </c>
      <c r="E143" s="76" t="n">
        <v>0.02938064867152314</v>
      </c>
      <c r="F143" s="76" t="n">
        <v>0.04719815983947536</v>
      </c>
      <c r="G143" s="76" t="n">
        <v>-0.2488713582023984</v>
      </c>
      <c r="H143" s="76" t="n">
        <v>0.3792884608205473</v>
      </c>
      <c r="I143" s="76" t="n">
        <v>0.2252144964408477</v>
      </c>
      <c r="J143" s="76" t="n">
        <v>0.09219905157432771</v>
      </c>
    </row>
    <row r="144" ht="16" customHeight="1">
      <c r="A144" s="97" t="inlineStr"/>
      <c r="B144" s="20" t="inlineStr">
        <is>
          <t>YoY Rev Growth</t>
        </is>
      </c>
      <c r="C144" s="48" t="n"/>
      <c r="D144" s="48" t="n"/>
      <c r="E144" s="48" t="n"/>
      <c r="F144" s="48" t="n"/>
      <c r="G144" s="72" t="n">
        <v>-0.1150351845122072</v>
      </c>
      <c r="H144" s="72" t="n">
        <v>0.1167971465707463</v>
      </c>
      <c r="I144" s="72" t="n">
        <v>0.3292614887681691</v>
      </c>
      <c r="J144" s="72" t="n">
        <v>0.3863833923747745</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5" t="inlineStr">
        <is>
          <t>CE  —  Celanese Corporation</t>
        </is>
      </c>
      <c r="C147" s="38" t="inlineStr">
        <is>
          <t>Breakout</t>
        </is>
      </c>
      <c r="D147" s="75" t="inlineStr">
        <is>
          <t>Mkt Cap: $4874M</t>
        </is>
      </c>
      <c r="E147" s="96" t="n"/>
      <c r="F147" s="96" t="n"/>
      <c r="G147" s="96" t="n"/>
      <c r="H147" s="96" t="n"/>
      <c r="I147" s="96" t="n"/>
      <c r="J147" s="96" t="n"/>
      <c r="K147" s="96" t="n"/>
    </row>
    <row r="148" ht="16" customHeight="1">
      <c r="A148" s="97" t="inlineStr"/>
      <c r="B148" s="18" t="inlineStr">
        <is>
          <t>Quarter</t>
        </is>
      </c>
      <c r="C148" s="18" t="inlineStr">
        <is>
          <t>2024-03-31</t>
        </is>
      </c>
      <c r="D148" s="18" t="inlineStr">
        <is>
          <t>2024-06-30</t>
        </is>
      </c>
      <c r="E148" s="18" t="inlineStr">
        <is>
          <t>2024-09-30</t>
        </is>
      </c>
      <c r="F148" s="18" t="inlineStr">
        <is>
          <t>2024-12-31</t>
        </is>
      </c>
      <c r="G148" s="18" t="inlineStr">
        <is>
          <t>2025-03-31</t>
        </is>
      </c>
      <c r="H148" s="18" t="inlineStr">
        <is>
          <t>2025-06-30</t>
        </is>
      </c>
      <c r="I148" s="18" t="inlineStr">
        <is>
          <t>2025-09-30</t>
        </is>
      </c>
      <c r="J148" s="18" t="inlineStr">
        <is>
          <t>2025-12-31</t>
        </is>
      </c>
    </row>
    <row r="149" ht="16" customHeight="1">
      <c r="A149" s="97" t="inlineStr"/>
      <c r="B149" s="67" t="inlineStr">
        <is>
          <t>Revenue ($M)</t>
        </is>
      </c>
      <c r="C149" s="98" t="n">
        <v>2611</v>
      </c>
      <c r="D149" s="98" t="n">
        <v>2651</v>
      </c>
      <c r="E149" s="98" t="n">
        <v>2648</v>
      </c>
      <c r="F149" s="98" t="n">
        <v>2370</v>
      </c>
      <c r="G149" s="98" t="n">
        <v>2389</v>
      </c>
      <c r="H149" s="98" t="n">
        <v>2532</v>
      </c>
      <c r="I149" s="98" t="n">
        <v>2419</v>
      </c>
      <c r="J149" s="98" t="n">
        <v>2204</v>
      </c>
    </row>
    <row r="150" ht="16" customHeight="1">
      <c r="A150" s="97" t="inlineStr"/>
      <c r="B150" s="95" t="inlineStr">
        <is>
          <t>Gross Margin %</t>
        </is>
      </c>
      <c r="C150" s="72" t="n">
        <v>0.212</v>
      </c>
      <c r="D150" s="72" t="n">
        <v>0.242</v>
      </c>
      <c r="E150" s="72" t="n">
        <v>0.235</v>
      </c>
      <c r="F150" s="72" t="n">
        <v>0.227</v>
      </c>
      <c r="G150" s="72" t="n">
        <v>0.199</v>
      </c>
      <c r="H150" s="72" t="n">
        <v>0.211</v>
      </c>
      <c r="I150" s="72" t="n">
        <v>0.215</v>
      </c>
      <c r="J150" s="72" t="n">
        <v>0.174</v>
      </c>
    </row>
    <row r="151" ht="16" customHeight="1">
      <c r="A151" s="97" t="inlineStr"/>
      <c r="B151" s="25" t="inlineStr">
        <is>
          <t>QoQ Rev Growth</t>
        </is>
      </c>
      <c r="C151" s="50" t="n"/>
      <c r="D151" s="76" t="n">
        <v>0.01531980084258905</v>
      </c>
      <c r="E151" s="76" t="n">
        <v>-0.001131648434552999</v>
      </c>
      <c r="F151" s="76" t="n">
        <v>-0.1049848942598187</v>
      </c>
      <c r="G151" s="76" t="n">
        <v>0.008016877637130802</v>
      </c>
      <c r="H151" s="76" t="n">
        <v>0.05985768103809125</v>
      </c>
      <c r="I151" s="76" t="n">
        <v>-0.04462875197472354</v>
      </c>
      <c r="J151" s="76" t="n">
        <v>-0.0888797023563456</v>
      </c>
    </row>
    <row r="152" ht="16" customHeight="1">
      <c r="A152" s="97" t="inlineStr"/>
      <c r="B152" s="20" t="inlineStr">
        <is>
          <t>YoY Rev Growth</t>
        </is>
      </c>
      <c r="C152" s="48" t="n"/>
      <c r="D152" s="48" t="n"/>
      <c r="E152" s="48" t="n"/>
      <c r="F152" s="48" t="n"/>
      <c r="G152" s="72" t="n">
        <v>-0.0850248946763692</v>
      </c>
      <c r="H152" s="72" t="n">
        <v>-0.04488872123726895</v>
      </c>
      <c r="I152" s="72" t="n">
        <v>-0.08648036253776435</v>
      </c>
      <c r="J152" s="72" t="n">
        <v>-0.070042194092827</v>
      </c>
    </row>
    <row r="153" ht="8" customHeight="1"/>
    <row r="154" ht="18" customHeight="1">
      <c r="A154" s="95" t="inlineStr">
        <is>
          <t>CALX  —  Calix, Inc.</t>
        </is>
      </c>
      <c r="C154" s="38" t="inlineStr">
        <is>
          <t>Breakout</t>
        </is>
      </c>
      <c r="D154" s="75" t="inlineStr">
        <is>
          <t>Mkt Cap: $2220M</t>
        </is>
      </c>
      <c r="E154" s="96" t="n"/>
      <c r="F154" s="96" t="n"/>
      <c r="G154" s="96" t="n"/>
      <c r="H154" s="96" t="n"/>
      <c r="I154" s="96" t="n"/>
      <c r="J154" s="96" t="n"/>
      <c r="K154" s="96" t="n"/>
    </row>
    <row r="155" ht="16" customHeight="1">
      <c r="A155" s="97" t="inlineStr"/>
      <c r="B155" s="18" t="inlineStr">
        <is>
          <t>Quarter</t>
        </is>
      </c>
      <c r="C155" s="18" t="inlineStr">
        <is>
          <t>2024-03-30</t>
        </is>
      </c>
      <c r="D155" s="18" t="inlineStr">
        <is>
          <t>2024-06-29</t>
        </is>
      </c>
      <c r="E155" s="18" t="inlineStr">
        <is>
          <t>2024-09-28</t>
        </is>
      </c>
      <c r="F155" s="18" t="inlineStr">
        <is>
          <t>2024-12-31</t>
        </is>
      </c>
      <c r="G155" s="18" t="inlineStr">
        <is>
          <t>2025-03-29</t>
        </is>
      </c>
      <c r="H155" s="18" t="inlineStr">
        <is>
          <t>2025-06-28</t>
        </is>
      </c>
      <c r="I155" s="18" t="inlineStr">
        <is>
          <t>2025-09-27</t>
        </is>
      </c>
      <c r="J155" s="18" t="inlineStr">
        <is>
          <t>2025-12-31</t>
        </is>
      </c>
    </row>
    <row r="156" ht="16" customHeight="1">
      <c r="A156" s="97" t="inlineStr"/>
      <c r="B156" s="67" t="inlineStr">
        <is>
          <t>Revenue ($M)</t>
        </is>
      </c>
      <c r="C156" s="98" t="n">
        <v>226.31</v>
      </c>
      <c r="D156" s="98" t="n">
        <v>198.139</v>
      </c>
      <c r="E156" s="98" t="n">
        <v>200.945</v>
      </c>
      <c r="F156" s="98" t="n">
        <v>206.124</v>
      </c>
      <c r="G156" s="98" t="n">
        <v>220.242</v>
      </c>
      <c r="H156" s="98" t="n">
        <v>241.882</v>
      </c>
      <c r="I156" s="98" t="n">
        <v>265.437</v>
      </c>
      <c r="J156" s="98" t="n">
        <v>272.449</v>
      </c>
    </row>
    <row r="157" ht="16" customHeight="1">
      <c r="A157" s="97" t="inlineStr"/>
      <c r="B157" s="95" t="inlineStr">
        <is>
          <t>Gross Margin %</t>
        </is>
      </c>
      <c r="C157" s="72" t="n">
        <v>0.542</v>
      </c>
      <c r="D157" s="72" t="n">
        <v>0.5429999999999999</v>
      </c>
      <c r="E157" s="72" t="n">
        <v>0.5479999999999999</v>
      </c>
      <c r="F157" s="72" t="n">
        <v>0.55</v>
      </c>
      <c r="G157" s="72" t="n">
        <v>0.5570000000000001</v>
      </c>
      <c r="H157" s="72" t="n">
        <v>0.5629999999999999</v>
      </c>
      <c r="I157" s="72" t="n">
        <v>0.573</v>
      </c>
      <c r="J157" s="72" t="n">
        <v>0.5770000000000001</v>
      </c>
    </row>
    <row r="158" ht="16" customHeight="1">
      <c r="A158" s="97" t="inlineStr"/>
      <c r="B158" s="25" t="inlineStr">
        <is>
          <t>QoQ Rev Growth</t>
        </is>
      </c>
      <c r="C158" s="50" t="n"/>
      <c r="D158" s="76" t="n">
        <v>-0.1244796959922231</v>
      </c>
      <c r="E158" s="76" t="n">
        <v>0.01416177531934652</v>
      </c>
      <c r="F158" s="76" t="n">
        <v>0.02577322152827888</v>
      </c>
      <c r="G158" s="76" t="n">
        <v>0.06849275193572801</v>
      </c>
      <c r="H158" s="76" t="n">
        <v>0.09825555525285821</v>
      </c>
      <c r="I158" s="76" t="n">
        <v>0.09738219462382484</v>
      </c>
      <c r="J158" s="76" t="n">
        <v>0.02641681453602927</v>
      </c>
    </row>
    <row r="159" ht="16" customHeight="1">
      <c r="A159" s="97" t="inlineStr"/>
      <c r="B159" s="20" t="inlineStr">
        <is>
          <t>YoY Rev Growth</t>
        </is>
      </c>
      <c r="C159" s="48" t="n"/>
      <c r="D159" s="48" t="n"/>
      <c r="E159" s="48" t="n"/>
      <c r="F159" s="48" t="n"/>
      <c r="G159" s="72" t="n">
        <v>-0.02681277893155406</v>
      </c>
      <c r="H159" s="72" t="n">
        <v>0.2207692579451799</v>
      </c>
      <c r="I159" s="72" t="n">
        <v>0.3209435417651596</v>
      </c>
      <c r="J159" s="72" t="n">
        <v>0.3217723312181017</v>
      </c>
    </row>
    <row r="160" ht="8" customHeight="1"/>
    <row r="161" ht="18" customHeight="1">
      <c r="A161" s="95" t="inlineStr">
        <is>
          <t>ADEA  —  Adeia Inc.</t>
        </is>
      </c>
      <c r="C161" s="38" t="inlineStr">
        <is>
          <t>Breakout</t>
        </is>
      </c>
      <c r="D161" s="75" t="inlineStr">
        <is>
          <t>Mkt Cap: $2999M</t>
        </is>
      </c>
      <c r="E161" s="96" t="n"/>
      <c r="F161" s="96" t="n"/>
      <c r="G161" s="96" t="n"/>
      <c r="H161" s="96" t="n"/>
      <c r="I161" s="96" t="n"/>
      <c r="J161" s="96" t="n"/>
      <c r="K161" s="96" t="n"/>
    </row>
    <row r="162" ht="16" customHeight="1">
      <c r="A162" s="97" t="inlineStr"/>
      <c r="B162" s="18" t="inlineStr">
        <is>
          <t>Quarter</t>
        </is>
      </c>
      <c r="C162" s="18" t="inlineStr">
        <is>
          <t>2024-03-31</t>
        </is>
      </c>
      <c r="D162" s="18" t="inlineStr">
        <is>
          <t>2024-06-30</t>
        </is>
      </c>
      <c r="E162" s="18" t="inlineStr">
        <is>
          <t>2024-09-30</t>
        </is>
      </c>
      <c r="F162" s="18" t="inlineStr">
        <is>
          <t>2024-12-31</t>
        </is>
      </c>
      <c r="G162" s="18" t="inlineStr">
        <is>
          <t>2025-03-31</t>
        </is>
      </c>
      <c r="H162" s="18" t="inlineStr">
        <is>
          <t>2025-06-30</t>
        </is>
      </c>
      <c r="I162" s="18" t="inlineStr">
        <is>
          <t>2025-09-30</t>
        </is>
      </c>
      <c r="J162" s="18" t="inlineStr">
        <is>
          <t>2025-12-31</t>
        </is>
      </c>
    </row>
    <row r="163" ht="16" customHeight="1">
      <c r="A163" s="97" t="inlineStr"/>
      <c r="B163" s="67" t="inlineStr">
        <is>
          <t>Revenue ($M)</t>
        </is>
      </c>
      <c r="C163" s="98" t="n">
        <v>83.405</v>
      </c>
      <c r="D163" s="98" t="n">
        <v>87.34999999999999</v>
      </c>
      <c r="E163" s="98" t="n">
        <v>86.101</v>
      </c>
      <c r="F163" s="98" t="n">
        <v>119.168</v>
      </c>
      <c r="G163" s="98" t="n">
        <v>87.67</v>
      </c>
      <c r="H163" s="98" t="n">
        <v>85.735</v>
      </c>
      <c r="I163" s="98" t="n">
        <v>87.339</v>
      </c>
      <c r="J163" s="98" t="n">
        <v>182.642</v>
      </c>
    </row>
    <row r="164" ht="16" customHeight="1">
      <c r="A164" s="97" t="inlineStr"/>
      <c r="B164" s="95" t="inlineStr">
        <is>
          <t>Gross Margin %</t>
        </is>
      </c>
      <c r="C164" s="72" t="n">
        <v>0.716</v>
      </c>
      <c r="D164" s="72" t="n">
        <v>0.765</v>
      </c>
      <c r="E164" s="72" t="n">
        <v>0.836</v>
      </c>
      <c r="F164" s="72" t="n">
        <v>0.879</v>
      </c>
      <c r="G164" s="72" t="n">
        <v>0.8340000000000001</v>
      </c>
      <c r="H164" s="72" t="n">
        <v>0.8290000000000001</v>
      </c>
      <c r="I164" s="72" t="n">
        <v>0.8320000000000001</v>
      </c>
      <c r="J164" s="72" t="n">
        <v>0.922</v>
      </c>
    </row>
    <row r="165" ht="16" customHeight="1">
      <c r="A165" s="97" t="inlineStr"/>
      <c r="B165" s="25" t="inlineStr">
        <is>
          <t>QoQ Rev Growth</t>
        </is>
      </c>
      <c r="C165" s="50" t="n"/>
      <c r="D165" s="76" t="n">
        <v>0.04729932258257898</v>
      </c>
      <c r="E165" s="76" t="n">
        <v>-0.01429879793932456</v>
      </c>
      <c r="F165" s="76" t="n">
        <v>0.3840489657495267</v>
      </c>
      <c r="G165" s="76" t="n">
        <v>-0.2643159237379162</v>
      </c>
      <c r="H165" s="76" t="n">
        <v>-0.02207140412912056</v>
      </c>
      <c r="I165" s="76" t="n">
        <v>0.01870881203709104</v>
      </c>
      <c r="J165" s="76" t="n">
        <v>1.091184923115676</v>
      </c>
    </row>
    <row r="166" ht="16" customHeight="1">
      <c r="A166" s="97" t="inlineStr"/>
      <c r="B166" s="20" t="inlineStr">
        <is>
          <t>YoY Rev Growth</t>
        </is>
      </c>
      <c r="C166" s="48" t="n"/>
      <c r="D166" s="48" t="n"/>
      <c r="E166" s="48" t="n"/>
      <c r="F166" s="48" t="n"/>
      <c r="G166" s="72" t="n">
        <v>0.05113602302020263</v>
      </c>
      <c r="H166" s="72" t="n">
        <v>-0.01848883800801374</v>
      </c>
      <c r="I166" s="72" t="n">
        <v>0.0143784625033391</v>
      </c>
      <c r="J166" s="72" t="n">
        <v>0.5326429914070892</v>
      </c>
    </row>
    <row r="167" ht="8" customHeight="1"/>
    <row r="168" ht="18" customHeight="1">
      <c r="A168" s="95" t="inlineStr">
        <is>
          <t>DCI  —  Donaldson Company, Inc.</t>
        </is>
      </c>
      <c r="C168" s="38" t="inlineStr">
        <is>
          <t>Breakout</t>
        </is>
      </c>
      <c r="D168" s="75" t="inlineStr">
        <is>
          <t>Mkt Cap: $10619M</t>
        </is>
      </c>
      <c r="E168" s="96" t="n"/>
      <c r="F168" s="96" t="n"/>
      <c r="G168" s="96" t="n"/>
      <c r="H168" s="96" t="n"/>
      <c r="I168" s="96" t="n"/>
      <c r="J168" s="96" t="n"/>
      <c r="K168" s="96" t="n"/>
    </row>
    <row r="169" ht="16" customHeight="1">
      <c r="A169" s="97" t="inlineStr"/>
      <c r="B169" s="18" t="inlineStr">
        <is>
          <t>Quarter</t>
        </is>
      </c>
      <c r="C169" s="18" t="inlineStr">
        <is>
          <t>2024-04-30</t>
        </is>
      </c>
      <c r="D169" s="18" t="inlineStr">
        <is>
          <t>2024-07-31</t>
        </is>
      </c>
      <c r="E169" s="18" t="inlineStr">
        <is>
          <t>2024-10-31</t>
        </is>
      </c>
      <c r="F169" s="18" t="inlineStr">
        <is>
          <t>2025-01-31</t>
        </is>
      </c>
      <c r="G169" s="18" t="inlineStr">
        <is>
          <t>2025-04-30</t>
        </is>
      </c>
      <c r="H169" s="18" t="inlineStr">
        <is>
          <t>2025-07-31</t>
        </is>
      </c>
      <c r="I169" s="18" t="inlineStr">
        <is>
          <t>2025-10-31</t>
        </is>
      </c>
      <c r="J169" s="18" t="inlineStr">
        <is>
          <t>2026-01-31</t>
        </is>
      </c>
    </row>
    <row r="170" ht="16" customHeight="1">
      <c r="A170" s="97" t="inlineStr"/>
      <c r="B170" s="67" t="inlineStr">
        <is>
          <t>Revenue ($M)</t>
        </is>
      </c>
      <c r="C170" s="98" t="n">
        <v>927.9</v>
      </c>
      <c r="D170" s="98" t="n">
        <v>935.4</v>
      </c>
      <c r="E170" s="98" t="n">
        <v>900.1</v>
      </c>
      <c r="F170" s="98" t="n">
        <v>870</v>
      </c>
      <c r="G170" s="98" t="n">
        <v>940.1</v>
      </c>
      <c r="H170" s="98" t="n">
        <v>980.7</v>
      </c>
      <c r="I170" s="98" t="n">
        <v>935.4</v>
      </c>
      <c r="J170" s="98" t="n">
        <v>896.3</v>
      </c>
    </row>
    <row r="171" ht="16" customHeight="1">
      <c r="A171" s="97" t="inlineStr"/>
      <c r="B171" s="95" t="inlineStr">
        <is>
          <t>Gross Margin %</t>
        </is>
      </c>
      <c r="C171" s="72" t="n">
        <v>0.352</v>
      </c>
      <c r="D171" s="72" t="n">
        <v>0.358</v>
      </c>
      <c r="E171" s="72" t="n">
        <v>0.355</v>
      </c>
      <c r="F171" s="72" t="n">
        <v>0.352</v>
      </c>
      <c r="G171" s="72" t="n">
        <v>0.342</v>
      </c>
      <c r="H171" s="72" t="n">
        <v>0.345</v>
      </c>
      <c r="I171" s="72" t="n">
        <v>0.352</v>
      </c>
      <c r="J171" s="72" t="n">
        <v>0.334</v>
      </c>
    </row>
    <row r="172" ht="16" customHeight="1">
      <c r="A172" s="97" t="inlineStr"/>
      <c r="B172" s="25" t="inlineStr">
        <is>
          <t>QoQ Rev Growth</t>
        </is>
      </c>
      <c r="C172" s="50" t="n"/>
      <c r="D172" s="76" t="n">
        <v>0.008082767539605561</v>
      </c>
      <c r="E172" s="76" t="n">
        <v>-0.03773786615351721</v>
      </c>
      <c r="F172" s="76" t="n">
        <v>-0.03344072880791023</v>
      </c>
      <c r="G172" s="76" t="n">
        <v>0.08057471264367816</v>
      </c>
      <c r="H172" s="76" t="n">
        <v>0.04318689501116903</v>
      </c>
      <c r="I172" s="76" t="n">
        <v>-0.04619149587029673</v>
      </c>
      <c r="J172" s="76" t="n">
        <v>-0.04180029933718196</v>
      </c>
    </row>
    <row r="173" ht="16" customHeight="1">
      <c r="A173" s="97" t="inlineStr"/>
      <c r="B173" s="20" t="inlineStr">
        <is>
          <t>YoY Rev Growth</t>
        </is>
      </c>
      <c r="C173" s="48" t="n"/>
      <c r="D173" s="48" t="n"/>
      <c r="E173" s="48" t="n"/>
      <c r="F173" s="48" t="n"/>
      <c r="G173" s="72" t="n">
        <v>0.01314796853109171</v>
      </c>
      <c r="H173" s="72" t="n">
        <v>0.04842847979474022</v>
      </c>
      <c r="I173" s="72" t="n">
        <v>0.03921786468170203</v>
      </c>
      <c r="J173" s="72" t="n">
        <v>0.03022988505747127</v>
      </c>
    </row>
    <row r="174" ht="8" customHeight="1"/>
    <row r="175" ht="18" customHeight="1">
      <c r="A175" s="95" t="inlineStr">
        <is>
          <t>BCO  —  The Brink's Company</t>
        </is>
      </c>
      <c r="C175" s="38" t="inlineStr">
        <is>
          <t>Breakout</t>
        </is>
      </c>
      <c r="D175" s="75" t="inlineStr">
        <is>
          <t>Mkt Cap: $4373M</t>
        </is>
      </c>
      <c r="E175" s="96" t="n"/>
      <c r="F175" s="96" t="n"/>
      <c r="G175" s="96" t="n"/>
      <c r="H175" s="96" t="n"/>
      <c r="I175" s="96" t="n"/>
      <c r="J175" s="96" t="n"/>
      <c r="K175" s="96" t="n"/>
    </row>
    <row r="176" ht="16" customHeight="1">
      <c r="A176" s="97" t="inlineStr"/>
      <c r="B176" s="18" t="inlineStr">
        <is>
          <t>Quarter</t>
        </is>
      </c>
      <c r="C176" s="18" t="inlineStr">
        <is>
          <t>2024-03-31</t>
        </is>
      </c>
      <c r="D176" s="18" t="inlineStr">
        <is>
          <t>2024-06-30</t>
        </is>
      </c>
      <c r="E176" s="18" t="inlineStr">
        <is>
          <t>2024-09-30</t>
        </is>
      </c>
      <c r="F176" s="18" t="inlineStr">
        <is>
          <t>2024-12-31</t>
        </is>
      </c>
      <c r="G176" s="18" t="inlineStr">
        <is>
          <t>2025-03-31</t>
        </is>
      </c>
      <c r="H176" s="18" t="inlineStr">
        <is>
          <t>2025-06-30</t>
        </is>
      </c>
      <c r="I176" s="18" t="inlineStr">
        <is>
          <t>2025-09-30</t>
        </is>
      </c>
      <c r="J176" s="18" t="inlineStr">
        <is>
          <t>2025-12-31</t>
        </is>
      </c>
    </row>
    <row r="177" ht="16" customHeight="1">
      <c r="A177" s="97" t="inlineStr"/>
      <c r="B177" s="67" t="inlineStr">
        <is>
          <t>Revenue ($M)</t>
        </is>
      </c>
      <c r="C177" s="98" t="n">
        <v>1236.1</v>
      </c>
      <c r="D177" s="98" t="n">
        <v>1253.1</v>
      </c>
      <c r="E177" s="98" t="n">
        <v>1258.5</v>
      </c>
      <c r="F177" s="98" t="n">
        <v>1264.2</v>
      </c>
      <c r="G177" s="98" t="n">
        <v>1246.7</v>
      </c>
      <c r="H177" s="98" t="n">
        <v>1300.5</v>
      </c>
      <c r="I177" s="98" t="n">
        <v>1335</v>
      </c>
      <c r="J177" s="98" t="n">
        <v>1379</v>
      </c>
    </row>
    <row r="178" ht="16" customHeight="1">
      <c r="A178" s="97" t="inlineStr"/>
      <c r="B178" s="95" t="inlineStr">
        <is>
          <t>Gross Margin %</t>
        </is>
      </c>
      <c r="C178" s="72" t="n">
        <v>0.25</v>
      </c>
      <c r="D178" s="72" t="n">
        <v>0.252</v>
      </c>
      <c r="E178" s="72" t="n">
        <v>0.25</v>
      </c>
      <c r="F178" s="72" t="n">
        <v>0.261</v>
      </c>
      <c r="G178" s="72" t="n">
        <v>0.246</v>
      </c>
      <c r="H178" s="72" t="n">
        <v>0.249</v>
      </c>
      <c r="I178" s="72" t="n">
        <v>0.258</v>
      </c>
      <c r="J178" s="72" t="n">
        <v>0.277</v>
      </c>
    </row>
    <row r="179" ht="16" customHeight="1">
      <c r="A179" s="97" t="inlineStr"/>
      <c r="B179" s="25" t="inlineStr">
        <is>
          <t>QoQ Rev Growth</t>
        </is>
      </c>
      <c r="C179" s="50" t="n"/>
      <c r="D179" s="76" t="n">
        <v>0.01375293261063021</v>
      </c>
      <c r="E179" s="76" t="n">
        <v>0.004309312903998085</v>
      </c>
      <c r="F179" s="76" t="n">
        <v>0.004529201430274136</v>
      </c>
      <c r="G179" s="76" t="n">
        <v>-0.01384274640088594</v>
      </c>
      <c r="H179" s="76" t="n">
        <v>0.0431539263656052</v>
      </c>
      <c r="I179" s="76" t="n">
        <v>0.0265282583621684</v>
      </c>
      <c r="J179" s="76" t="n">
        <v>0.03295880149812734</v>
      </c>
    </row>
    <row r="180" ht="16" customHeight="1">
      <c r="A180" s="97" t="inlineStr"/>
      <c r="B180" s="20" t="inlineStr">
        <is>
          <t>YoY Rev Growth</t>
        </is>
      </c>
      <c r="C180" s="48" t="n"/>
      <c r="D180" s="48" t="n"/>
      <c r="E180" s="48" t="n"/>
      <c r="F180" s="48" t="n"/>
      <c r="G180" s="72" t="n">
        <v>0.008575357980745895</v>
      </c>
      <c r="H180" s="72" t="n">
        <v>0.03782619104620541</v>
      </c>
      <c r="I180" s="72" t="n">
        <v>0.06078665077473182</v>
      </c>
      <c r="J180" s="72" t="n">
        <v>0.09080841638981174</v>
      </c>
    </row>
    <row r="181" ht="8" customHeight="1"/>
    <row r="182" ht="18" customHeight="1">
      <c r="A182" s="95" t="inlineStr">
        <is>
          <t>NOVTU  —  Novanta Inc. Tangible Equity Units</t>
        </is>
      </c>
      <c r="C182" s="38" t="inlineStr">
        <is>
          <t>Breakout</t>
        </is>
      </c>
      <c r="D182" s="75" t="inlineStr">
        <is>
          <t>Mkt Cap: $2259M</t>
        </is>
      </c>
      <c r="E182" s="96" t="n"/>
      <c r="F182" s="96" t="n"/>
      <c r="G182" s="96" t="n"/>
      <c r="H182" s="96" t="n"/>
      <c r="I182" s="96" t="n"/>
      <c r="J182" s="96" t="n"/>
      <c r="K182" s="96" t="n"/>
    </row>
    <row r="183" ht="16" customHeight="1">
      <c r="A183" s="97" t="inlineStr"/>
      <c r="B183" s="18" t="inlineStr">
        <is>
          <t>Quarter</t>
        </is>
      </c>
      <c r="C183" s="18" t="inlineStr">
        <is>
          <t>2025-03-31</t>
        </is>
      </c>
      <c r="D183" s="18" t="inlineStr">
        <is>
          <t>2025-06-30</t>
        </is>
      </c>
      <c r="E183" s="18" t="inlineStr">
        <is>
          <t>2025-09-26</t>
        </is>
      </c>
      <c r="F183" s="18" t="inlineStr">
        <is>
          <t>2025-12-31</t>
        </is>
      </c>
      <c r="G183" s="18" t="inlineStr">
        <is>
          <t>2026-03-31</t>
        </is>
      </c>
      <c r="H183" s="18" t="inlineStr">
        <is>
          <t>2026-06-30</t>
        </is>
      </c>
    </row>
    <row r="184" ht="16" customHeight="1">
      <c r="A184" s="97" t="inlineStr"/>
      <c r="B184" s="67" t="inlineStr">
        <is>
          <t>Revenue ($M)</t>
        </is>
      </c>
      <c r="C184" s="98" t="n">
        <v>233.366</v>
      </c>
      <c r="D184" s="98" t="n">
        <v>241.049</v>
      </c>
      <c r="E184" s="98" t="n">
        <v>247.836</v>
      </c>
      <c r="F184" s="98" t="n">
        <v>258.349</v>
      </c>
      <c r="G184" s="98" t="n">
        <v>257.707</v>
      </c>
      <c r="H184" s="98" t="n">
        <v>265.807</v>
      </c>
    </row>
    <row r="185" ht="16" customHeight="1">
      <c r="A185" s="97" t="inlineStr"/>
      <c r="B185" s="95" t="inlineStr">
        <is>
          <t>Gross Margin %</t>
        </is>
      </c>
      <c r="C185" s="72" t="n">
        <v>0.447</v>
      </c>
      <c r="D185" s="72" t="n">
        <v>0.4429999999999999</v>
      </c>
      <c r="E185" s="72" t="n">
        <v>0.448</v>
      </c>
      <c r="F185" s="72" t="n">
        <v>0.407</v>
      </c>
      <c r="G185" s="72" t="n">
        <v>0.418</v>
      </c>
      <c r="H185" s="72" t="n">
        <v>0.431</v>
      </c>
    </row>
    <row r="186" ht="16" customHeight="1">
      <c r="A186" s="97" t="inlineStr"/>
      <c r="B186" s="25" t="inlineStr">
        <is>
          <t>QoQ Rev Growth</t>
        </is>
      </c>
      <c r="C186" s="50" t="n"/>
      <c r="D186" s="76" t="n">
        <v>0.03292253370242452</v>
      </c>
      <c r="E186" s="76" t="n">
        <v>0.02815610104169692</v>
      </c>
      <c r="F186" s="76" t="n">
        <v>0.04241918042576542</v>
      </c>
      <c r="G186" s="76" t="n">
        <v>-0.002485010586454757</v>
      </c>
      <c r="H186" s="76" t="n">
        <v>0.03143104378227988</v>
      </c>
    </row>
    <row r="187" ht="16" customHeight="1">
      <c r="A187" s="97" t="inlineStr"/>
      <c r="B187" s="20" t="inlineStr">
        <is>
          <t>YoY Rev Growth</t>
        </is>
      </c>
      <c r="C187" s="48" t="n"/>
      <c r="D187" s="48" t="n"/>
      <c r="E187" s="48" t="n"/>
      <c r="F187" s="48" t="n"/>
      <c r="G187" s="72" t="n">
        <v>0.1043039688729292</v>
      </c>
      <c r="H187" s="72" t="n">
        <v>0.1027094076308137</v>
      </c>
    </row>
    <row r="188" ht="8" customHeight="1"/>
    <row r="189" ht="18" customHeight="1">
      <c r="A189" s="95" t="inlineStr">
        <is>
          <t>CACI  —  CACI International Inc</t>
        </is>
      </c>
      <c r="C189" s="38" t="inlineStr">
        <is>
          <t>Breakout</t>
        </is>
      </c>
      <c r="D189" s="75" t="inlineStr">
        <is>
          <t>Mkt Cap: $13630M</t>
        </is>
      </c>
      <c r="E189" s="96" t="n"/>
      <c r="F189" s="96" t="n"/>
      <c r="G189" s="96" t="n"/>
      <c r="H189" s="96" t="n"/>
      <c r="I189" s="96" t="n"/>
      <c r="J189" s="96" t="n"/>
      <c r="K189" s="96" t="n"/>
    </row>
    <row r="190" ht="16" customHeight="1">
      <c r="A190" s="97"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7" t="inlineStr"/>
      <c r="B191" s="67" t="inlineStr">
        <is>
          <t>Revenue ($M)</t>
        </is>
      </c>
      <c r="C191" s="98" t="n">
        <v>1937.456</v>
      </c>
      <c r="D191" s="98" t="n">
        <v>2038.295</v>
      </c>
      <c r="E191" s="98" t="n">
        <v>2056.889</v>
      </c>
      <c r="F191" s="98" t="n">
        <v>2099.809</v>
      </c>
      <c r="G191" s="98" t="n">
        <v>2166.982</v>
      </c>
      <c r="H191" s="98" t="n">
        <v>2304.144</v>
      </c>
      <c r="I191" s="98" t="n">
        <v>2287.623</v>
      </c>
      <c r="J191" s="98" t="n">
        <v>2220.097</v>
      </c>
    </row>
    <row r="192" ht="16" customHeight="1">
      <c r="A192" s="97" t="inlineStr"/>
      <c r="B192" s="95" t="inlineStr">
        <is>
          <t>Gross Margin %</t>
        </is>
      </c>
      <c r="C192" s="72" t="n">
        <v>0.094</v>
      </c>
      <c r="D192" s="72" t="n">
        <v>0.09699999999999999</v>
      </c>
      <c r="E192" s="72" t="n">
        <v>0.08699999999999999</v>
      </c>
      <c r="F192" s="72" t="n">
        <v>0.08599999999999999</v>
      </c>
      <c r="G192" s="72" t="n">
        <v>0.091</v>
      </c>
      <c r="H192" s="72" t="n">
        <v>0.09</v>
      </c>
      <c r="I192" s="72" t="n">
        <v>0.09300000000000001</v>
      </c>
      <c r="J192" s="72" t="n">
        <v>0.09300000000000001</v>
      </c>
    </row>
    <row r="193" ht="16" customHeight="1">
      <c r="A193" s="97" t="inlineStr"/>
      <c r="B193" s="25" t="inlineStr">
        <is>
          <t>QoQ Rev Growth</t>
        </is>
      </c>
      <c r="C193" s="50" t="n"/>
      <c r="D193" s="76" t="n">
        <v>0.05204711745711903</v>
      </c>
      <c r="E193" s="76" t="n">
        <v>0.00912233018282437</v>
      </c>
      <c r="F193" s="76" t="n">
        <v>0.02086646386849266</v>
      </c>
      <c r="G193" s="76" t="n">
        <v>0.03199005242857803</v>
      </c>
      <c r="H193" s="76" t="n">
        <v>0.06329632641157149</v>
      </c>
      <c r="I193" s="76" t="n">
        <v>-0.007170124783867675</v>
      </c>
      <c r="J193" s="76" t="n">
        <v>-0.02951797564546256</v>
      </c>
    </row>
    <row r="194" ht="16" customHeight="1">
      <c r="A194" s="97" t="inlineStr"/>
      <c r="B194" s="20" t="inlineStr">
        <is>
          <t>YoY Rev Growth</t>
        </is>
      </c>
      <c r="C194" s="48" t="n"/>
      <c r="D194" s="48" t="n"/>
      <c r="E194" s="48" t="n"/>
      <c r="F194" s="48" t="n"/>
      <c r="G194" s="72" t="n">
        <v>0.1184677226218299</v>
      </c>
      <c r="H194" s="72" t="n">
        <v>0.1304271462177948</v>
      </c>
      <c r="I194" s="72" t="n">
        <v>0.1121762039662811</v>
      </c>
      <c r="J194" s="72" t="n">
        <v>0.05728521022626343</v>
      </c>
    </row>
    <row r="195" ht="8" customHeight="1"/>
    <row r="196" ht="18" customHeight="1">
      <c r="A196" s="95" t="inlineStr">
        <is>
          <t>RAL  —  Ralliant Corp</t>
        </is>
      </c>
      <c r="C196" s="38" t="inlineStr">
        <is>
          <t>Breakout</t>
        </is>
      </c>
      <c r="D196" s="75" t="inlineStr">
        <is>
          <t>Mkt Cap: $7111M</t>
        </is>
      </c>
      <c r="E196" s="96" t="n"/>
      <c r="F196" s="96" t="n"/>
      <c r="G196" s="96" t="n"/>
      <c r="H196" s="96" t="n"/>
      <c r="I196" s="96" t="n"/>
      <c r="J196" s="96" t="n"/>
      <c r="K196" s="96" t="n"/>
    </row>
    <row r="197" ht="16" customHeight="1">
      <c r="A197" s="97"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2025-06-27</t>
        </is>
      </c>
      <c r="I197" s="18" t="inlineStr">
        <is>
          <t>2025-09-26</t>
        </is>
      </c>
      <c r="J197" s="18" t="inlineStr">
        <is>
          <t>2025-12-31</t>
        </is>
      </c>
    </row>
    <row r="198" ht="16" customHeight="1">
      <c r="A198" s="97" t="inlineStr"/>
      <c r="B198" s="67" t="inlineStr">
        <is>
          <t>Revenue ($M)</t>
        </is>
      </c>
      <c r="C198" s="98" t="n">
        <v>541.2</v>
      </c>
      <c r="D198" s="98" t="n">
        <v>533.7</v>
      </c>
      <c r="E198" s="98" t="n">
        <v>531.7</v>
      </c>
      <c r="F198" s="98" t="n">
        <v>548.1</v>
      </c>
      <c r="G198" s="98" t="n">
        <v>481.8</v>
      </c>
      <c r="H198" s="98" t="n">
        <v>503.3</v>
      </c>
      <c r="I198" s="98" t="n">
        <v>529.1</v>
      </c>
      <c r="J198" s="98" t="n">
        <v>554.6</v>
      </c>
    </row>
    <row r="199" ht="16" customHeight="1">
      <c r="A199" s="97" t="inlineStr"/>
      <c r="B199" s="95" t="inlineStr">
        <is>
          <t>Gross Margin %</t>
        </is>
      </c>
      <c r="C199" s="72" t="n">
        <v>0.51</v>
      </c>
      <c r="D199" s="72" t="n">
        <v>0.515</v>
      </c>
      <c r="E199" s="72" t="n">
        <v>0.526</v>
      </c>
      <c r="F199" s="72" t="n">
        <v>0.514</v>
      </c>
      <c r="G199" s="72" t="n">
        <v>0.463</v>
      </c>
      <c r="H199" s="72" t="n">
        <v>0.45</v>
      </c>
      <c r="I199" s="72" t="n">
        <v>0.465</v>
      </c>
      <c r="J199" s="72" t="n">
        <v>0.465</v>
      </c>
    </row>
    <row r="200" ht="16" customHeight="1">
      <c r="A200" s="97" t="inlineStr"/>
      <c r="B200" s="25" t="inlineStr">
        <is>
          <t>QoQ Rev Growth</t>
        </is>
      </c>
      <c r="C200" s="50" t="n"/>
      <c r="D200" s="76" t="n">
        <v>-0.01385809312638581</v>
      </c>
      <c r="E200" s="76" t="n">
        <v>-0.003747423646243208</v>
      </c>
      <c r="F200" s="76" t="n">
        <v>0.03084446116230957</v>
      </c>
      <c r="G200" s="76" t="n">
        <v>-0.1209633278598796</v>
      </c>
      <c r="H200" s="76" t="n">
        <v>0.04462432544624326</v>
      </c>
      <c r="I200" s="76" t="n">
        <v>0.05126167295847407</v>
      </c>
      <c r="J200" s="76" t="n">
        <v>0.0481950481950482</v>
      </c>
    </row>
    <row r="201" ht="16" customHeight="1">
      <c r="A201" s="97" t="inlineStr"/>
      <c r="B201" s="20" t="inlineStr">
        <is>
          <t>YoY Rev Growth</t>
        </is>
      </c>
      <c r="C201" s="48" t="n"/>
      <c r="D201" s="48" t="n"/>
      <c r="E201" s="48" t="n"/>
      <c r="F201" s="48" t="n"/>
      <c r="G201" s="72" t="n">
        <v>-0.1097560975609756</v>
      </c>
      <c r="H201" s="72" t="n">
        <v>-0.05696083942289676</v>
      </c>
      <c r="I201" s="72" t="n">
        <v>-0.004889975550122249</v>
      </c>
      <c r="J201" s="72" t="n">
        <v>0.01185914979018427</v>
      </c>
    </row>
    <row r="202" ht="8" customHeight="1"/>
    <row r="203" ht="18" customHeight="1">
      <c r="A203" s="95" t="inlineStr">
        <is>
          <t>BDC  —  Belden Inc.</t>
        </is>
      </c>
      <c r="C203" s="38" t="inlineStr">
        <is>
          <t>Breakout</t>
        </is>
      </c>
      <c r="D203" s="75" t="inlineStr">
        <is>
          <t>Mkt Cap: $4788M</t>
        </is>
      </c>
      <c r="E203" s="96" t="n"/>
      <c r="F203" s="96" t="n"/>
      <c r="G203" s="96" t="n"/>
      <c r="H203" s="96" t="n"/>
      <c r="I203" s="96" t="n"/>
      <c r="J203" s="96" t="n"/>
      <c r="K203" s="96" t="n"/>
    </row>
    <row r="204" ht="16" customHeight="1">
      <c r="A204" s="97" t="inlineStr"/>
      <c r="B204" s="18" t="inlineStr">
        <is>
          <t>Quarter</t>
        </is>
      </c>
      <c r="C204" s="18" t="inlineStr">
        <is>
          <t>2024-03-31</t>
        </is>
      </c>
      <c r="D204" s="18" t="inlineStr">
        <is>
          <t>2024-06-30</t>
        </is>
      </c>
      <c r="E204" s="18" t="inlineStr">
        <is>
          <t>2024-09-29</t>
        </is>
      </c>
      <c r="F204" s="18" t="inlineStr">
        <is>
          <t>2024-12-31</t>
        </is>
      </c>
      <c r="G204" s="18" t="inlineStr">
        <is>
          <t>2025-03-30</t>
        </is>
      </c>
      <c r="H204" s="18" t="inlineStr">
        <is>
          <t>2025-06-29</t>
        </is>
      </c>
      <c r="I204" s="18" t="inlineStr">
        <is>
          <t>2025-09-28</t>
        </is>
      </c>
      <c r="J204" s="18" t="inlineStr">
        <is>
          <t>2025-12-31</t>
        </is>
      </c>
    </row>
    <row r="205" ht="16" customHeight="1">
      <c r="A205" s="97" t="inlineStr"/>
      <c r="B205" s="67" t="inlineStr">
        <is>
          <t>Revenue ($M)</t>
        </is>
      </c>
      <c r="C205" s="98" t="n">
        <v>535.675</v>
      </c>
      <c r="D205" s="98" t="n">
        <v>604.336</v>
      </c>
      <c r="E205" s="98" t="n">
        <v>654.926</v>
      </c>
      <c r="F205" s="98" t="n">
        <v>666.042</v>
      </c>
      <c r="G205" s="98" t="n">
        <v>624.861</v>
      </c>
      <c r="H205" s="98" t="n">
        <v>671.992</v>
      </c>
      <c r="I205" s="98" t="n">
        <v>698.221</v>
      </c>
      <c r="J205" s="98" t="n">
        <v>720.12</v>
      </c>
    </row>
    <row r="206" ht="16" customHeight="1">
      <c r="A206" s="97" t="inlineStr"/>
      <c r="B206" s="95" t="inlineStr">
        <is>
          <t>Gross Margin %</t>
        </is>
      </c>
      <c r="C206" s="72" t="n">
        <v>0.376</v>
      </c>
      <c r="D206" s="72" t="n">
        <v>0.375</v>
      </c>
      <c r="E206" s="72" t="n">
        <v>0.373</v>
      </c>
      <c r="F206" s="72" t="n">
        <v>0.375</v>
      </c>
      <c r="G206" s="72" t="n">
        <v>0.393</v>
      </c>
      <c r="H206" s="72" t="n">
        <v>0.365</v>
      </c>
      <c r="I206" s="72" t="n">
        <v>0.357</v>
      </c>
      <c r="J206" s="72" t="n">
        <v>0.349</v>
      </c>
    </row>
    <row r="207" ht="16" customHeight="1">
      <c r="A207" s="97" t="inlineStr"/>
      <c r="B207" s="25" t="inlineStr">
        <is>
          <t>QoQ Rev Growth</t>
        </is>
      </c>
      <c r="C207" s="50" t="n"/>
      <c r="D207" s="76" t="n">
        <v>0.1281765996173053</v>
      </c>
      <c r="E207" s="76" t="n">
        <v>0.08371171004209579</v>
      </c>
      <c r="F207" s="76" t="n">
        <v>0.01697290991654019</v>
      </c>
      <c r="G207" s="76" t="n">
        <v>-0.0618294341798265</v>
      </c>
      <c r="H207" s="76" t="n">
        <v>0.07542637482576126</v>
      </c>
      <c r="I207" s="76" t="n">
        <v>0.0390317146632698</v>
      </c>
      <c r="J207" s="76" t="n">
        <v>0.03136399506746431</v>
      </c>
    </row>
    <row r="208" ht="16" customHeight="1">
      <c r="A208" s="97" t="inlineStr"/>
      <c r="B208" s="20" t="inlineStr">
        <is>
          <t>YoY Rev Growth</t>
        </is>
      </c>
      <c r="C208" s="48" t="n"/>
      <c r="D208" s="48" t="n"/>
      <c r="E208" s="48" t="n"/>
      <c r="F208" s="48" t="n"/>
      <c r="G208" s="72" t="n">
        <v>0.1664927428011387</v>
      </c>
      <c r="H208" s="72" t="n">
        <v>0.111950967673612</v>
      </c>
      <c r="I208" s="72" t="n">
        <v>0.06610670518501327</v>
      </c>
      <c r="J208" s="72" t="n">
        <v>0.08119307791400543</v>
      </c>
    </row>
    <row r="209" ht="8" customHeight="1"/>
    <row r="210" ht="18" customHeight="1">
      <c r="A210" s="95" t="inlineStr">
        <is>
          <t>KD  —  Kyndryl Holdings, Inc.</t>
        </is>
      </c>
      <c r="C210" s="38" t="inlineStr">
        <is>
          <t>Breakout</t>
        </is>
      </c>
      <c r="D210" s="75" t="inlineStr">
        <is>
          <t>Mkt Cap: $2791M</t>
        </is>
      </c>
      <c r="E210" s="96" t="n"/>
      <c r="F210" s="96" t="n"/>
      <c r="G210" s="96" t="n"/>
      <c r="H210" s="96" t="n"/>
      <c r="I210" s="96" t="n"/>
      <c r="J210" s="96" t="n"/>
      <c r="K210" s="96" t="n"/>
    </row>
    <row r="211" ht="16" customHeight="1">
      <c r="A211" s="97"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7" t="inlineStr"/>
      <c r="B212" s="67" t="inlineStr">
        <is>
          <t>Revenue ($M)</t>
        </is>
      </c>
      <c r="C212" s="98" t="n">
        <v>3850</v>
      </c>
      <c r="D212" s="98" t="n">
        <v>3739</v>
      </c>
      <c r="E212" s="98" t="n">
        <v>3774</v>
      </c>
      <c r="F212" s="98" t="n">
        <v>3744</v>
      </c>
      <c r="G212" s="98" t="n">
        <v>3800</v>
      </c>
      <c r="H212" s="98" t="n">
        <v>3743</v>
      </c>
      <c r="I212" s="98" t="n">
        <v>3721</v>
      </c>
      <c r="J212" s="98" t="n">
        <v>3859</v>
      </c>
    </row>
    <row r="213" ht="16" customHeight="1">
      <c r="A213" s="97" t="inlineStr"/>
      <c r="B213" s="95" t="inlineStr">
        <is>
          <t>Gross Margin %</t>
        </is>
      </c>
      <c r="C213" s="72" t="n">
        <v>0.189</v>
      </c>
      <c r="D213" s="72" t="n">
        <v>0.215</v>
      </c>
      <c r="E213" s="72" t="n">
        <v>0.199</v>
      </c>
      <c r="F213" s="72" t="n">
        <v>0.204</v>
      </c>
      <c r="G213" s="72" t="n">
        <v>0.227</v>
      </c>
      <c r="H213" s="72" t="n">
        <v>0.213</v>
      </c>
      <c r="I213" s="72" t="n">
        <v>0.215</v>
      </c>
      <c r="J213" s="72" t="n">
        <v>0.218</v>
      </c>
    </row>
    <row r="214" ht="16" customHeight="1">
      <c r="A214" s="97" t="inlineStr"/>
      <c r="B214" s="25" t="inlineStr">
        <is>
          <t>QoQ Rev Growth</t>
        </is>
      </c>
      <c r="C214" s="50" t="n"/>
      <c r="D214" s="76" t="n">
        <v>-0.02883116883116883</v>
      </c>
      <c r="E214" s="76" t="n">
        <v>0.009360791655522867</v>
      </c>
      <c r="F214" s="76" t="n">
        <v>-0.007949125596184419</v>
      </c>
      <c r="G214" s="76" t="n">
        <v>0.01495726495726496</v>
      </c>
      <c r="H214" s="76" t="n">
        <v>-0.015</v>
      </c>
      <c r="I214" s="76" t="n">
        <v>-0.005877638258081752</v>
      </c>
      <c r="J214" s="76" t="n">
        <v>0.03708680462241333</v>
      </c>
    </row>
    <row r="215" ht="16" customHeight="1">
      <c r="A215" s="97" t="inlineStr"/>
      <c r="B215" s="20" t="inlineStr">
        <is>
          <t>YoY Rev Growth</t>
        </is>
      </c>
      <c r="C215" s="48" t="n"/>
      <c r="D215" s="48" t="n"/>
      <c r="E215" s="48" t="n"/>
      <c r="F215" s="48" t="n"/>
      <c r="G215" s="72" t="n">
        <v>-0.01298701298701299</v>
      </c>
      <c r="H215" s="72" t="n">
        <v>0.001069804760631185</v>
      </c>
      <c r="I215" s="72" t="n">
        <v>-0.01404345521992581</v>
      </c>
      <c r="J215" s="72" t="n">
        <v>0.03071581196581196</v>
      </c>
    </row>
    <row r="216" ht="8" customHeight="1"/>
    <row r="217" ht="22" customHeight="1">
      <c r="A217" s="16" t="inlineStr">
        <is>
          <t xml:space="preserve">  Vital Link</t>
        </is>
      </c>
      <c r="B217" s="17" t="n"/>
      <c r="C217" s="17" t="n"/>
      <c r="D217" s="17" t="n"/>
      <c r="E217" s="17" t="n"/>
      <c r="F217" s="17" t="n"/>
      <c r="G217" s="17" t="n"/>
      <c r="H217" s="17" t="n"/>
      <c r="I217" s="17" t="n"/>
      <c r="J217" s="17" t="n"/>
      <c r="K217" s="17" t="n"/>
    </row>
  </sheetData>
  <mergeCells count="36">
    <mergeCell ref="A182:B182"/>
    <mergeCell ref="A132:B132"/>
    <mergeCell ref="A61:B61"/>
    <mergeCell ref="A1:K1"/>
    <mergeCell ref="A168:B168"/>
    <mergeCell ref="A146:K146"/>
    <mergeCell ref="A54:B54"/>
    <mergeCell ref="A196:B196"/>
    <mergeCell ref="A90:B90"/>
    <mergeCell ref="A118:B118"/>
    <mergeCell ref="A189:B189"/>
    <mergeCell ref="A217:K217"/>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G57">
    <cfRule type="colorScale" priority="15">
      <colorScale>
        <cfvo type="min"/>
        <cfvo type="max"/>
        <color rgb="00FFFFFF"/>
        <color rgb="002A9D8F"/>
      </colorScale>
    </cfRule>
  </conditionalFormatting>
  <conditionalFormatting sqref="D58:G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H185">
    <cfRule type="colorScale" priority="51">
      <colorScale>
        <cfvo type="min"/>
        <cfvo type="max"/>
        <color rgb="00FFFFFF"/>
        <color rgb="002A9D8F"/>
      </colorScale>
    </cfRule>
  </conditionalFormatting>
  <conditionalFormatting sqref="D186:H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9" t="inlineStr">
        <is>
          <t>LITE  —  Lumentum Holdings</t>
        </is>
      </c>
      <c r="B6" s="81" t="n"/>
      <c r="C6" s="81" t="n"/>
      <c r="D6" s="81" t="n"/>
      <c r="E6" s="100" t="n"/>
      <c r="G6" s="99" t="inlineStr">
        <is>
          <t>COHR  —  Coherent Corp (formerly II-VI)</t>
        </is>
      </c>
      <c r="H6" s="81" t="n"/>
      <c r="I6" s="81" t="n"/>
      <c r="J6" s="81" t="n"/>
      <c r="K6" s="100" t="n"/>
      <c r="M6" s="99" t="inlineStr">
        <is>
          <t>AAOI  —  Applied Optoelectronics</t>
        </is>
      </c>
      <c r="N6" s="81" t="n"/>
      <c r="O6" s="81" t="n"/>
      <c r="P6" s="81" t="n"/>
      <c r="Q6" s="100" t="n"/>
    </row>
    <row r="7">
      <c r="A7" s="101" t="inlineStr">
        <is>
          <t>Run Period: 2017   ▲ 850%</t>
        </is>
      </c>
      <c r="B7" s="96" t="n"/>
      <c r="C7" s="96" t="n"/>
      <c r="D7" s="96" t="n"/>
      <c r="E7" s="102" t="n"/>
      <c r="G7" s="101" t="inlineStr">
        <is>
          <t>Run Period: 2016   ▲ 600%</t>
        </is>
      </c>
      <c r="H7" s="96" t="n"/>
      <c r="I7" s="96" t="n"/>
      <c r="J7" s="96" t="n"/>
      <c r="K7" s="102" t="n"/>
      <c r="M7" s="101" t="inlineStr">
        <is>
          <t>Run Period: 2017   ▲ 1,200%</t>
        </is>
      </c>
      <c r="N7" s="96" t="n"/>
      <c r="O7" s="96" t="n"/>
      <c r="P7" s="96" t="n"/>
      <c r="Q7" s="102" t="n"/>
    </row>
    <row r="8">
      <c r="A8" s="103" t="inlineStr">
        <is>
          <t>Market Cap</t>
        </is>
      </c>
      <c r="B8" s="95" t="inlineStr">
        <is>
          <t>$1200M</t>
        </is>
      </c>
      <c r="C8" s="96" t="n"/>
      <c r="D8" s="96" t="n"/>
      <c r="E8" s="102" t="n"/>
      <c r="G8" s="103" t="inlineStr">
        <is>
          <t>Market Cap</t>
        </is>
      </c>
      <c r="H8" s="95" t="inlineStr">
        <is>
          <t>$900M</t>
        </is>
      </c>
      <c r="I8" s="96" t="n"/>
      <c r="J8" s="96" t="n"/>
      <c r="K8" s="102" t="n"/>
      <c r="M8" s="103" t="inlineStr">
        <is>
          <t>Market Cap</t>
        </is>
      </c>
      <c r="N8" s="95" t="inlineStr">
        <is>
          <t>$300M</t>
        </is>
      </c>
      <c r="O8" s="96" t="n"/>
      <c r="P8" s="96" t="n"/>
      <c r="Q8" s="102" t="n"/>
    </row>
    <row r="9">
      <c r="A9" s="103" t="inlineStr">
        <is>
          <t>Revenue Growth</t>
        </is>
      </c>
      <c r="B9" s="95" t="inlineStr">
        <is>
          <t>38%</t>
        </is>
      </c>
      <c r="C9" s="96" t="n"/>
      <c r="D9" s="96" t="n"/>
      <c r="E9" s="102" t="n"/>
      <c r="G9" s="103" t="inlineStr">
        <is>
          <t>Revenue Growth</t>
        </is>
      </c>
      <c r="H9" s="95" t="inlineStr">
        <is>
          <t>22%</t>
        </is>
      </c>
      <c r="I9" s="96" t="n"/>
      <c r="J9" s="96" t="n"/>
      <c r="K9" s="102" t="n"/>
      <c r="M9" s="103" t="inlineStr">
        <is>
          <t>Revenue Growth</t>
        </is>
      </c>
      <c r="N9" s="95" t="inlineStr">
        <is>
          <t>95%</t>
        </is>
      </c>
      <c r="O9" s="96" t="n"/>
      <c r="P9" s="96" t="n"/>
      <c r="Q9" s="102" t="n"/>
    </row>
    <row r="10">
      <c r="A10" s="103" t="inlineStr">
        <is>
          <t>Gross Margin</t>
        </is>
      </c>
      <c r="B10" s="95" t="inlineStr">
        <is>
          <t>44%</t>
        </is>
      </c>
      <c r="C10" s="96" t="n"/>
      <c r="D10" s="96" t="n"/>
      <c r="E10" s="102" t="n"/>
      <c r="G10" s="103" t="inlineStr">
        <is>
          <t>Gross Margin</t>
        </is>
      </c>
      <c r="H10" s="95" t="inlineStr">
        <is>
          <t>50%</t>
        </is>
      </c>
      <c r="I10" s="96" t="n"/>
      <c r="J10" s="96" t="n"/>
      <c r="K10" s="102" t="n"/>
      <c r="M10" s="103" t="inlineStr">
        <is>
          <t>Gross Margin</t>
        </is>
      </c>
      <c r="N10" s="95" t="inlineStr">
        <is>
          <t>38%</t>
        </is>
      </c>
      <c r="O10" s="96" t="n"/>
      <c r="P10" s="96" t="n"/>
      <c r="Q10" s="102" t="n"/>
    </row>
    <row r="11">
      <c r="A11" s="103" t="inlineStr">
        <is>
          <t>Insider Ownership</t>
        </is>
      </c>
      <c r="B11" s="95" t="inlineStr">
        <is>
          <t>8%</t>
        </is>
      </c>
      <c r="C11" s="96" t="n"/>
      <c r="D11" s="96" t="n"/>
      <c r="E11" s="102" t="n"/>
      <c r="G11" s="103" t="inlineStr">
        <is>
          <t>Insider Ownership</t>
        </is>
      </c>
      <c r="H11" s="95" t="inlineStr">
        <is>
          <t>12%</t>
        </is>
      </c>
      <c r="I11" s="96" t="n"/>
      <c r="J11" s="96" t="n"/>
      <c r="K11" s="102" t="n"/>
      <c r="M11" s="103" t="inlineStr">
        <is>
          <t>Insider Ownership</t>
        </is>
      </c>
      <c r="N11" s="95" t="inlineStr">
        <is>
          <t>20%</t>
        </is>
      </c>
      <c r="O11" s="96" t="n"/>
      <c r="P11" s="96" t="n"/>
      <c r="Q11" s="102" t="n"/>
    </row>
    <row r="12">
      <c r="A12" s="103" t="inlineStr">
        <is>
          <t>Dilution 3yr</t>
        </is>
      </c>
      <c r="B12" s="95" t="inlineStr">
        <is>
          <t>4%</t>
        </is>
      </c>
      <c r="C12" s="96" t="n"/>
      <c r="D12" s="96" t="n"/>
      <c r="E12" s="102" t="n"/>
      <c r="G12" s="103" t="inlineStr">
        <is>
          <t>Dilution 3yr</t>
        </is>
      </c>
      <c r="H12" s="95" t="inlineStr">
        <is>
          <t>6%</t>
        </is>
      </c>
      <c r="I12" s="96" t="n"/>
      <c r="J12" s="96" t="n"/>
      <c r="K12" s="102" t="n"/>
      <c r="M12" s="103" t="inlineStr">
        <is>
          <t>Dilution 3yr</t>
        </is>
      </c>
      <c r="N12" s="95" t="inlineStr">
        <is>
          <t>3%</t>
        </is>
      </c>
      <c r="O12" s="96" t="n"/>
      <c r="P12" s="96" t="n"/>
      <c r="Q12" s="102" t="n"/>
    </row>
    <row r="13">
      <c r="A13" s="104" t="inlineStr">
        <is>
          <t>Data center optical interconnects</t>
        </is>
      </c>
      <c r="B13" s="96" t="n"/>
      <c r="C13" s="96" t="n"/>
      <c r="D13" s="96" t="n"/>
      <c r="E13" s="102" t="n"/>
      <c r="G13" s="104" t="inlineStr">
        <is>
          <t>Optical networking + vertical integration</t>
        </is>
      </c>
      <c r="H13" s="96" t="n"/>
      <c r="I13" s="96" t="n"/>
      <c r="J13" s="96" t="n"/>
      <c r="K13" s="102" t="n"/>
      <c r="M13" s="104" t="inlineStr">
        <is>
          <t>Hyperscaler data center buildout</t>
        </is>
      </c>
      <c r="N13" s="96" t="n"/>
      <c r="O13" s="96" t="n"/>
      <c r="P13" s="96" t="n"/>
      <c r="Q13" s="102" t="n"/>
    </row>
    <row r="19">
      <c r="A19" s="99" t="inlineStr">
        <is>
          <t>KTOS  —  Kratos Defense &amp; Security</t>
        </is>
      </c>
      <c r="B19" s="81" t="n"/>
      <c r="C19" s="81" t="n"/>
      <c r="D19" s="81" t="n"/>
      <c r="E19" s="100" t="n"/>
      <c r="G19" s="99" t="inlineStr">
        <is>
          <t>RKLB  —  Rocket Lab USA</t>
        </is>
      </c>
      <c r="H19" s="81" t="n"/>
      <c r="I19" s="81" t="n"/>
      <c r="J19" s="81" t="n"/>
      <c r="K19" s="100" t="n"/>
      <c r="M19" s="99" t="inlineStr">
        <is>
          <t>GLW  —  Corning Incorporated</t>
        </is>
      </c>
      <c r="N19" s="81" t="n"/>
      <c r="O19" s="81" t="n"/>
      <c r="P19" s="81" t="n"/>
      <c r="Q19" s="100" t="n"/>
    </row>
    <row r="20">
      <c r="A20" s="101" t="inlineStr">
        <is>
          <t>Run Period: 2019   ▲ 500%</t>
        </is>
      </c>
      <c r="B20" s="96" t="n"/>
      <c r="C20" s="96" t="n"/>
      <c r="D20" s="96" t="n"/>
      <c r="E20" s="102" t="n"/>
      <c r="G20" s="101" t="inlineStr">
        <is>
          <t>Run Period: 2023   ▲ 400%</t>
        </is>
      </c>
      <c r="H20" s="96" t="n"/>
      <c r="I20" s="96" t="n"/>
      <c r="J20" s="96" t="n"/>
      <c r="K20" s="102" t="n"/>
      <c r="M20" s="101" t="inlineStr">
        <is>
          <t>Run Period: 2023   ▲ 740%</t>
        </is>
      </c>
      <c r="N20" s="96" t="n"/>
      <c r="O20" s="96" t="n"/>
      <c r="P20" s="96" t="n"/>
      <c r="Q20" s="102" t="n"/>
    </row>
    <row r="21">
      <c r="A21" s="103" t="inlineStr">
        <is>
          <t>Market Cap</t>
        </is>
      </c>
      <c r="B21" s="95" t="inlineStr">
        <is>
          <t>$700M</t>
        </is>
      </c>
      <c r="C21" s="96" t="n"/>
      <c r="D21" s="96" t="n"/>
      <c r="E21" s="102" t="n"/>
      <c r="G21" s="103" t="inlineStr">
        <is>
          <t>Market Cap</t>
        </is>
      </c>
      <c r="H21" s="95" t="inlineStr">
        <is>
          <t>$1200M</t>
        </is>
      </c>
      <c r="I21" s="96" t="n"/>
      <c r="J21" s="96" t="n"/>
      <c r="K21" s="102" t="n"/>
      <c r="M21" s="103" t="inlineStr">
        <is>
          <t>Market Cap</t>
        </is>
      </c>
      <c r="N21" s="95" t="inlineStr">
        <is>
          <t>$26000M</t>
        </is>
      </c>
      <c r="O21" s="96" t="n"/>
      <c r="P21" s="96" t="n"/>
      <c r="Q21" s="102" t="n"/>
    </row>
    <row r="22">
      <c r="A22" s="103" t="inlineStr">
        <is>
          <t>Revenue Growth</t>
        </is>
      </c>
      <c r="B22" s="95" t="inlineStr">
        <is>
          <t>18%</t>
        </is>
      </c>
      <c r="C22" s="96" t="n"/>
      <c r="D22" s="96" t="n"/>
      <c r="E22" s="102" t="n"/>
      <c r="G22" s="103" t="inlineStr">
        <is>
          <t>Revenue Growth</t>
        </is>
      </c>
      <c r="H22" s="95" t="inlineStr">
        <is>
          <t>55%</t>
        </is>
      </c>
      <c r="I22" s="96" t="n"/>
      <c r="J22" s="96" t="n"/>
      <c r="K22" s="102" t="n"/>
      <c r="M22" s="103" t="inlineStr">
        <is>
          <t>Revenue Growth</t>
        </is>
      </c>
      <c r="N22" s="95" t="inlineStr">
        <is>
          <t>-11.3%</t>
        </is>
      </c>
      <c r="O22" s="96" t="n"/>
      <c r="P22" s="96" t="n"/>
      <c r="Q22" s="102" t="n"/>
    </row>
    <row r="23">
      <c r="A23" s="103" t="inlineStr">
        <is>
          <t>Gross Margin</t>
        </is>
      </c>
      <c r="B23" s="95" t="inlineStr">
        <is>
          <t>25%</t>
        </is>
      </c>
      <c r="C23" s="96" t="n"/>
      <c r="D23" s="96" t="n"/>
      <c r="E23" s="102" t="n"/>
      <c r="G23" s="103" t="inlineStr">
        <is>
          <t>Gross Margin</t>
        </is>
      </c>
      <c r="H23" s="95" t="inlineStr">
        <is>
          <t>28%</t>
        </is>
      </c>
      <c r="I23" s="96" t="n"/>
      <c r="J23" s="96" t="n"/>
      <c r="K23" s="102" t="n"/>
      <c r="M23" s="103" t="inlineStr">
        <is>
          <t>Gross Margin</t>
        </is>
      </c>
      <c r="N23" s="95" t="inlineStr">
        <is>
          <t>33.5%</t>
        </is>
      </c>
      <c r="O23" s="96" t="n"/>
      <c r="P23" s="96" t="n"/>
      <c r="Q23" s="102" t="n"/>
    </row>
    <row r="24">
      <c r="A24" s="103" t="inlineStr">
        <is>
          <t>Insider Ownership</t>
        </is>
      </c>
      <c r="B24" s="95" t="inlineStr">
        <is>
          <t>5%</t>
        </is>
      </c>
      <c r="C24" s="96" t="n"/>
      <c r="D24" s="96" t="n"/>
      <c r="E24" s="102" t="n"/>
      <c r="G24" s="103" t="inlineStr">
        <is>
          <t>Insider Ownership</t>
        </is>
      </c>
      <c r="H24" s="95" t="inlineStr">
        <is>
          <t>30%</t>
        </is>
      </c>
      <c r="I24" s="96" t="n"/>
      <c r="J24" s="96" t="n"/>
      <c r="K24" s="102" t="n"/>
      <c r="M24" s="103" t="inlineStr">
        <is>
          <t>Insider Ownership</t>
        </is>
      </c>
      <c r="N24" s="95" t="inlineStr">
        <is>
          <t>1%</t>
        </is>
      </c>
      <c r="O24" s="96" t="n"/>
      <c r="P24" s="96" t="n"/>
      <c r="Q24" s="102" t="n"/>
    </row>
    <row r="25">
      <c r="A25" s="103" t="inlineStr">
        <is>
          <t>Dilution 3yr</t>
        </is>
      </c>
      <c r="B25" s="95" t="inlineStr">
        <is>
          <t>8%</t>
        </is>
      </c>
      <c r="C25" s="96" t="n"/>
      <c r="D25" s="96" t="n"/>
      <c r="E25" s="102" t="n"/>
      <c r="G25" s="103" t="inlineStr">
        <is>
          <t>Dilution 3yr</t>
        </is>
      </c>
      <c r="H25" s="95" t="inlineStr">
        <is>
          <t>15%</t>
        </is>
      </c>
      <c r="I25" s="96" t="n"/>
      <c r="J25" s="96" t="n"/>
      <c r="K25" s="102" t="n"/>
      <c r="M25" s="103" t="inlineStr">
        <is>
          <t>Dilution 3yr</t>
        </is>
      </c>
      <c r="N25" s="95" t="inlineStr">
        <is>
          <t>-4%</t>
        </is>
      </c>
      <c r="O25" s="96" t="n"/>
      <c r="P25" s="96" t="n"/>
      <c r="Q25" s="102" t="n"/>
    </row>
    <row r="26">
      <c r="A26" s="104" t="inlineStr">
        <is>
          <t>Drone warfare + affordable attritable aircraft</t>
        </is>
      </c>
      <c r="B26" s="96" t="n"/>
      <c r="C26" s="96" t="n"/>
      <c r="D26" s="96" t="n"/>
      <c r="E26" s="102" t="n"/>
      <c r="G26" s="104" t="inlineStr">
        <is>
          <t>Small sat launch + space systems vertical integration</t>
        </is>
      </c>
      <c r="H26" s="96" t="n"/>
      <c r="I26" s="96" t="n"/>
      <c r="J26" s="96" t="n"/>
      <c r="K26" s="102" t="n"/>
      <c r="M26" s="104" t="inlineStr">
        <is>
          <t>Optical fiber as the vital link in AI data-center buildout</t>
        </is>
      </c>
      <c r="N26" s="96" t="n"/>
      <c r="O26" s="96" t="n"/>
      <c r="P26" s="96" t="n"/>
      <c r="Q26" s="102"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5" t="inlineStr">
        <is>
          <t>Revenue Growth %</t>
        </is>
      </c>
      <c r="B62" s="36" t="n">
        <v>-11.3</v>
      </c>
      <c r="C62" s="36" t="n">
        <v>30</v>
      </c>
      <c r="D62" s="36" t="n">
        <v>95</v>
      </c>
      <c r="E62" s="20" t="inlineStr">
        <is>
          <t>5% (floor)</t>
        </is>
      </c>
      <c r="F62" s="105" t="inlineStr">
        <is>
          <t>✓ Aligned</t>
        </is>
      </c>
    </row>
    <row r="63" ht="16" customHeight="1">
      <c r="A63" s="67" t="inlineStr">
        <is>
          <t>Gross Margin %</t>
        </is>
      </c>
      <c r="B63" s="42" t="n">
        <v>25</v>
      </c>
      <c r="C63" s="42" t="n">
        <v>35.75</v>
      </c>
      <c r="D63" s="42" t="n">
        <v>50</v>
      </c>
      <c r="E63" s="25" t="inlineStr">
        <is>
          <t>20% (floor)</t>
        </is>
      </c>
      <c r="F63" s="105" t="inlineStr">
        <is>
          <t>✓ Aligned</t>
        </is>
      </c>
    </row>
    <row r="64" ht="16" customHeight="1">
      <c r="A64" s="95" t="inlineStr">
        <is>
          <t>Insider Ownership %</t>
        </is>
      </c>
      <c r="B64" s="36" t="n">
        <v>1</v>
      </c>
      <c r="C64" s="36" t="n">
        <v>10</v>
      </c>
      <c r="D64" s="36" t="n">
        <v>30</v>
      </c>
      <c r="E64" s="20" t="inlineStr">
        <is>
          <t>N/A</t>
        </is>
      </c>
      <c r="F64" s="106" t="inlineStr">
        <is>
          <t>⚠ Loose</t>
        </is>
      </c>
    </row>
    <row r="65" ht="16" customHeight="1">
      <c r="A65" s="67" t="inlineStr">
        <is>
          <t>Dilution 3yr %</t>
        </is>
      </c>
      <c r="B65" s="42" t="n">
        <v>-4</v>
      </c>
      <c r="C65" s="42" t="n">
        <v>5</v>
      </c>
      <c r="D65" s="42" t="n">
        <v>15</v>
      </c>
      <c r="E65" s="25" t="inlineStr">
        <is>
          <t>30% (ceiling)</t>
        </is>
      </c>
      <c r="F65" s="105"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7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7" t="inlineStr"/>
      <c r="C5" s="51" t="inlineStr">
        <is>
          <t>US-listed equities across four market cap tiers:</t>
        </is>
      </c>
    </row>
    <row r="6" ht="16" customHeight="1">
      <c r="B6" s="107" t="inlineStr"/>
      <c r="C6" s="51" t="inlineStr">
        <is>
          <t xml:space="preserve">  Nano Cap: $50M–$300M (highest risk, highest upside)</t>
        </is>
      </c>
    </row>
    <row r="7" ht="16" customHeight="1">
      <c r="B7" s="107" t="inlineStr"/>
      <c r="C7" s="51" t="inlineStr">
        <is>
          <t xml:space="preserve">  Small Cap: $300M–$2B (the sweet spot — proven enough to have real revenue)</t>
        </is>
      </c>
    </row>
    <row r="8" ht="16" customHeight="1">
      <c r="B8" s="107" t="inlineStr"/>
      <c r="C8" s="51" t="inlineStr">
        <is>
          <t xml:space="preserve">  Breakout: $2B–$15B (validated, growth re-accelerating)</t>
        </is>
      </c>
    </row>
    <row r="9" ht="16" customHeight="1">
      <c r="B9" s="107" t="inlineStr"/>
      <c r="C9" s="51" t="inlineStr">
        <is>
          <t xml:space="preserve">  Vital Link: $15B–$40B (entrenched supplier at a cyclical trough —</t>
        </is>
      </c>
    </row>
    <row r="10" ht="16" customHeight="1">
      <c r="B10" s="107" t="inlineStr"/>
      <c r="C10" s="51" t="inlineStr">
        <is>
          <t xml:space="preserve">    accepts ONLY margin-holding troughs, so it is often empty)</t>
        </is>
      </c>
    </row>
    <row r="11" ht="8" customHeight="1"/>
    <row r="12" ht="16" customHeight="1">
      <c r="B12" s="107" t="inlineStr"/>
      <c r="C12" s="51" t="inlineStr">
        <is>
          <t>Focus themes: Aerospace/Defense, Semiconductors, AI Infrastructure,</t>
        </is>
      </c>
    </row>
    <row r="13" ht="16" customHeight="1">
      <c r="B13" s="107" t="inlineStr"/>
      <c r="C13" s="51" t="inlineStr">
        <is>
          <t>Photonics, Quantum Computing, Space, New Energy, Gene Editing</t>
        </is>
      </c>
    </row>
    <row r="14" ht="8" customHeight="1"/>
    <row r="15" ht="22" customHeight="1">
      <c r="B15" s="16" t="inlineStr">
        <is>
          <t>Hard Filters</t>
        </is>
      </c>
      <c r="C15" s="17" t="n"/>
    </row>
    <row r="16" ht="16" customHeight="1">
      <c r="B16" s="107" t="inlineStr"/>
      <c r="C16" s="51" t="inlineStr">
        <is>
          <t>Must be US-domiciled and actively trading on a major exchange</t>
        </is>
      </c>
    </row>
    <row r="17" ht="16" customHeight="1">
      <c r="B17" s="107" t="inlineStr"/>
      <c r="C17" s="51" t="inlineStr">
        <is>
          <t>Excludes: Biotech/Pharma (unless gene editing keywords in description)</t>
        </is>
      </c>
    </row>
    <row r="18" ht="16" customHeight="1">
      <c r="B18" s="107" t="inlineStr"/>
      <c r="C18" s="51" t="inlineStr">
        <is>
          <t>Excludes: Oil &amp; Gas, Warrants, Units, Preferred shares</t>
        </is>
      </c>
    </row>
    <row r="19" ht="16" customHeight="1">
      <c r="B19" s="107" t="inlineStr"/>
      <c r="C19" s="51" t="inlineStr">
        <is>
          <t>Must match industry whitelist OR description keywords in target themes</t>
        </is>
      </c>
    </row>
    <row r="20" ht="16" customHeight="1">
      <c r="B20" s="107" t="inlineStr"/>
      <c r="C20" s="51" t="inlineStr">
        <is>
          <t>No OTC/pink sheet securities</t>
        </is>
      </c>
    </row>
    <row r="21" ht="8" customHeight="1"/>
    <row r="22" ht="22" customHeight="1">
      <c r="B22" s="16" t="inlineStr">
        <is>
          <t>Quality Floor</t>
        </is>
      </c>
      <c r="C22" s="17" t="n"/>
    </row>
    <row r="23" ht="16" customHeight="1">
      <c r="B23" s="107" t="inlineStr"/>
      <c r="C23" s="51" t="inlineStr">
        <is>
          <t>Revenue growth must exceed 5% YoY</t>
        </is>
      </c>
    </row>
    <row r="24" ht="16" customHeight="1">
      <c r="B24" s="107" t="inlineStr"/>
      <c r="C24" s="51" t="inlineStr">
        <is>
          <t>Gross margin must exceed 20%</t>
        </is>
      </c>
    </row>
    <row r="25" ht="16" customHeight="1">
      <c r="B25" s="107" t="inlineStr"/>
      <c r="C25" s="51" t="inlineStr">
        <is>
          <t>3-year share dilution must be below 30%</t>
        </is>
      </c>
    </row>
    <row r="26" ht="16" customHeight="1">
      <c r="B26" s="107" t="inlineStr"/>
      <c r="C26" s="51" t="inlineStr">
        <is>
          <t>Stocks failing any of these thresholds are excluded entirely</t>
        </is>
      </c>
    </row>
    <row r="27" ht="8" customHeight="1"/>
    <row r="28" ht="22" customHeight="1">
      <c r="B28" s="16" t="inlineStr">
        <is>
          <t>Composite Score (60%)</t>
        </is>
      </c>
      <c r="C28" s="17" t="n"/>
    </row>
    <row r="29" ht="16" customHeight="1">
      <c r="B29" s="107" t="inlineStr"/>
      <c r="C29" s="51" t="inlineStr">
        <is>
          <t>Revenue Growth YoY: 30% weight — Higher is better, &gt;50% = max score</t>
        </is>
      </c>
    </row>
    <row r="30" ht="16" customHeight="1">
      <c r="B30" s="107" t="inlineStr"/>
      <c r="C30" s="51" t="inlineStr">
        <is>
          <t xml:space="preserve">  A decline scores zero UNLESS gross margin held through it, in which case it</t>
        </is>
      </c>
    </row>
    <row r="31" ht="16" customHeight="1">
      <c r="B31" s="107" t="inlineStr"/>
      <c r="C31" s="51" t="inlineStr">
        <is>
          <t xml:space="preserve">  earns partial credit (max 50, i.e. a 25% grower) scaled by margin conceded</t>
        </is>
      </c>
    </row>
    <row r="32" ht="16" customHeight="1">
      <c r="B32" s="107" t="inlineStr"/>
      <c r="C32" s="51" t="inlineStr">
        <is>
          <t xml:space="preserve">  per point of revenue decline. Corning conceded 0.6pp on an 11.3% fall.</t>
        </is>
      </c>
    </row>
    <row r="33" ht="16" customHeight="1">
      <c r="B33" s="107" t="inlineStr"/>
      <c r="C33" s="51" t="inlineStr">
        <is>
          <t>Gross Margin: 20% weight — &gt;40% = max, proxy for pricing power and moat</t>
        </is>
      </c>
    </row>
    <row r="34" ht="16" customHeight="1">
      <c r="B34" s="107" t="inlineStr"/>
      <c r="C34" s="51" t="inlineStr">
        <is>
          <t>Dilution 3yr: 20% weight — Lower is better, &lt;5% = full points, &gt;30% = zero</t>
        </is>
      </c>
    </row>
    <row r="35" ht="16" customHeight="1">
      <c r="B35" s="107" t="inlineStr"/>
      <c r="C35" s="51" t="inlineStr">
        <is>
          <t>Insider Ownership: 15% weight — &gt;10% = full points, founders with skin in the game</t>
        </is>
      </c>
    </row>
    <row r="36" ht="16" customHeight="1">
      <c r="B36" s="107" t="inlineStr"/>
      <c r="C36" s="51" t="inlineStr">
        <is>
          <t>Revenue Acceleration: 15% weight — Is the growth rate itself increasing?</t>
        </is>
      </c>
    </row>
    <row r="37" ht="8" customHeight="1"/>
    <row r="38" ht="22" customHeight="1">
      <c r="B38" s="16" t="inlineStr">
        <is>
          <t>Fingerprint Score (50%)</t>
        </is>
      </c>
      <c r="C38" s="17" t="n"/>
    </row>
    <row r="39" ht="16" customHeight="1">
      <c r="B39" s="107" t="inlineStr"/>
      <c r="C39" s="51" t="inlineStr">
        <is>
          <t>Measures similarity to 6 reference stocks at their pre-run inflection point</t>
        </is>
      </c>
    </row>
    <row r="40" ht="16" customHeight="1">
      <c r="B40" s="107" t="inlineStr"/>
      <c r="C40" s="51" t="inlineStr">
        <is>
          <t>Reference stocks: LITE, COHR, AAOI, KTOS, RKLB, GLW</t>
        </is>
      </c>
    </row>
    <row r="41" ht="16" customHeight="1">
      <c r="B41" s="107" t="inlineStr"/>
      <c r="C41" s="51" t="inlineStr">
        <is>
          <t>Compares: revenue growth, gross margin, insider %, dilution, market cap</t>
        </is>
      </c>
    </row>
    <row r="42" ht="16" customHeight="1">
      <c r="B42" s="107" t="inlineStr"/>
      <c r="C42" s="51" t="inlineStr">
        <is>
          <t>Scores against the NEAREST reference, not an average of all of them</t>
        </is>
      </c>
    </row>
    <row r="43" ht="16" customHeight="1">
      <c r="B43" s="107" t="inlineStr"/>
      <c r="C43" s="51" t="inlineStr">
        <is>
          <t>The set spans archetypes: AAOI was $300M growing 95%; GLW was $26B with revenue down 11% at its trough</t>
        </is>
      </c>
    </row>
    <row r="44" ht="16" customHeight="1">
      <c r="B44" s="107" t="inlineStr"/>
      <c r="C44" s="51" t="inlineStr">
        <is>
          <t>Market cap is compared in orders of magnitude, other metrics in absolute distance</t>
        </is>
      </c>
    </row>
    <row r="45" ht="16" customHeight="1">
      <c r="B45" s="107" t="inlineStr"/>
      <c r="C45" s="51" t="inlineStr">
        <is>
          <t>Combined Score = 0% Composite + 50% Fingerprint + 20% WPS</t>
        </is>
      </c>
    </row>
    <row r="46" ht="16" customHeight="1">
      <c r="B46" s="107" t="inlineStr"/>
      <c r="C46" s="51" t="inlineStr">
        <is>
          <t>Weights set from an 18-date point-in-time reconstruction with real 12-month forward returns</t>
        </is>
      </c>
    </row>
    <row r="47" ht="16" customHeight="1">
      <c r="B47" s="107" t="inlineStr"/>
      <c r="C47" s="51" t="inlineStr">
        <is>
          <t>Composite carries no weight: it ranked no better than chance (11/18 dates) and its spread was negative once size was controlled</t>
        </is>
      </c>
    </row>
    <row r="48" ht="8" customHeight="1"/>
    <row r="49" ht="22" customHeight="1">
      <c r="B49" s="16" t="inlineStr">
        <is>
          <t>Position Sizing Rules</t>
        </is>
      </c>
      <c r="C49" s="17" t="n"/>
    </row>
    <row r="50" ht="16" customHeight="1">
      <c r="B50" s="107" t="inlineStr"/>
      <c r="C50" s="51" t="inlineStr">
        <is>
          <t>Based on conviction level: High (8%), Medium-High (5%), Medium (3%), Speculative (1.5%)</t>
        </is>
      </c>
    </row>
    <row r="51" ht="16" customHeight="1">
      <c r="B51" s="107" t="inlineStr"/>
      <c r="C51" s="51" t="inlineStr">
        <is>
          <t>Nano caps receive 0.6x risk multiplier (smaller positions for higher risk)</t>
        </is>
      </c>
    </row>
    <row r="52" ht="16" customHeight="1">
      <c r="B52" s="107" t="inlineStr"/>
      <c r="C52" s="51" t="inlineStr">
        <is>
          <t>Breakout caps receive 1.2x multiplier (larger positions for validated growth)</t>
        </is>
      </c>
    </row>
    <row r="53" ht="16" customHeight="1">
      <c r="B53" s="107" t="inlineStr"/>
      <c r="C53" s="51" t="inlineStr">
        <is>
          <t>Vital Link caps receive 1.4x multiplier (entrenched incumbents, lower single-name risk)</t>
        </is>
      </c>
    </row>
    <row r="54" ht="16" customHeight="1">
      <c r="B54" s="107" t="inlineStr"/>
      <c r="C54" s="51" t="inlineStr">
        <is>
          <t>Designed to sum to &lt;100% with meaningful cash reserve</t>
        </is>
      </c>
    </row>
    <row r="55" ht="8" customHeight="1"/>
    <row r="56" ht="22" customHeight="1">
      <c r="B56" s="16" t="inlineStr">
        <is>
          <t>Data Source &amp; Refresh</t>
        </is>
      </c>
      <c r="C56" s="17" t="n"/>
    </row>
    <row r="57" ht="16" customHeight="1">
      <c r="B57" s="107" t="inlineStr"/>
      <c r="C57" s="51" t="inlineStr">
        <is>
          <t>All data sourced from Financial Modeling Prep (FMP) API</t>
        </is>
      </c>
    </row>
    <row r="58" ht="16" customHeight="1">
      <c r="B58" s="107" t="inlineStr"/>
      <c r="C58" s="51" t="inlineStr">
        <is>
          <t>24-hour cache on all API responses to protect rate limits</t>
        </is>
      </c>
    </row>
    <row r="59" ht="16" customHeight="1">
      <c r="B59" s="107" t="inlineStr"/>
      <c r="C59" s="51" t="inlineStr">
        <is>
          <t>Quarterly financials: last 10 quarters of income statements</t>
        </is>
      </c>
    </row>
    <row r="60" ht="16" customHeight="1">
      <c r="B60" s="107" t="inlineStr"/>
      <c r="C60" s="51" t="inlineStr">
        <is>
          <t>Share count history: last 12 quarters of enterprise values</t>
        </is>
      </c>
    </row>
    <row r="61" ht="16" customHeight="1">
      <c r="B61" s="107" t="inlineStr"/>
      <c r="C61" s="51" t="inlineStr">
        <is>
          <t>Report generated: September 08, 2026</t>
        </is>
      </c>
    </row>
    <row r="62" ht="8" customHeight="1"/>
    <row r="63" ht="22" customHeight="1">
      <c r="B63" s="16" t="inlineStr">
        <is>
          <t>Disclaimer</t>
        </is>
      </c>
      <c r="C63" s="17" t="n"/>
    </row>
    <row r="64" ht="16" customHeight="1">
      <c r="B64" s="107" t="inlineStr"/>
      <c r="C64" s="51" t="inlineStr">
        <is>
          <t>This screener is for research and educational purposes only.</t>
        </is>
      </c>
    </row>
    <row r="65" ht="16" customHeight="1">
      <c r="B65" s="107" t="inlineStr"/>
      <c r="C65" s="51" t="inlineStr">
        <is>
          <t>It does not constitute investment advice or a recommendation to buy or sell.</t>
        </is>
      </c>
    </row>
    <row r="66" ht="16" customHeight="1">
      <c r="B66" s="107" t="inlineStr"/>
      <c r="C66" s="51" t="inlineStr">
        <is>
          <t>Past performance of reference stocks does not guarantee future results.</t>
        </is>
      </c>
    </row>
    <row r="67" ht="16" customHeight="1">
      <c r="B67" s="107" t="inlineStr"/>
      <c r="C67" s="51" t="inlineStr">
        <is>
          <t>All investments carry risk of loss. Consult a licensed financial advisor.</t>
        </is>
      </c>
    </row>
    <row r="68" ht="8" customHeight="1"/>
    <row r="70">
      <c r="B70" s="16" t="inlineStr">
        <is>
          <t>VERSION HISTORY</t>
        </is>
      </c>
      <c r="C70" s="17" t="n"/>
    </row>
    <row r="71">
      <c r="B71" s="95" t="inlineStr">
        <is>
          <t>v2.0</t>
        </is>
      </c>
      <c r="C71" s="47" t="inlineStr">
        <is>
          <t>September 08, 2026 — Institutional rebuild: openpyxl, design system, charts, data validation</t>
        </is>
      </c>
    </row>
    <row r="72">
      <c r="B72" s="67" t="inlineStr">
        <is>
          <t>v1.0</t>
        </is>
      </c>
      <c r="C72" s="51"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2026-09-08T18:58:40Z</dcterms:created>
  <dcterms:modified xsi:type="dcterms:W3CDTF">2026-09-08T18:58:40Z</dcterms:modified>
</cp:coreProperties>
</file>