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Vital Link" sheetId="5" state="visible" r:id="rId5"/>
    <sheet name="Descriptions" sheetId="6" state="visible" r:id="rId6"/>
    <sheet name="Competitive Moats" sheetId="7" state="visible" r:id="rId7"/>
    <sheet name="Standouts" sheetId="8" state="visible" r:id="rId8"/>
    <sheet name="Recommendations" sheetId="9" state="visible" r:id="rId9"/>
    <sheet name="Portfolio Construction" sheetId="10" state="visible" r:id="rId10"/>
    <sheet name="Sensitivity Analysis" sheetId="11" state="visible" r:id="rId11"/>
    <sheet name="Revenue Trends" sheetId="12" state="visible" r:id="rId12"/>
    <sheet name="Fingerprint Reference" sheetId="13" state="visible" r:id="rId13"/>
    <sheet name="Methodology" sheetId="14" state="visible" r:id="rId14"/>
  </sheets>
  <definedNames>
    <definedName name="_xlnm._FilterDatabase" localSheetId="5" hidden="1">'Descriptions'!$A$4:$F$34</definedName>
    <definedName name="_xlnm._FilterDatabase" localSheetId="6"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20">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F9C74F"/>
      </patternFill>
    </fill>
    <fill>
      <patternFill patternType="solid">
        <fgColor rgb="00F4E4B0"/>
      </patternFill>
    </fill>
    <fill>
      <patternFill patternType="solid">
        <fgColor rgb="00FFFFFF"/>
      </patternFill>
    </fill>
    <fill>
      <patternFill patternType="solid">
        <fgColor rgb="00E76F51"/>
      </patternFill>
    </fill>
    <fill>
      <patternFill patternType="solid">
        <fgColor rgb="004FC3F7"/>
      </patternFill>
    </fill>
    <fill>
      <patternFill patternType="solid">
        <fgColor rgb="00B5D8B0"/>
      </patternFill>
    </fill>
    <fill>
      <patternFill patternType="solid">
        <fgColor rgb="001A6B3C"/>
      </patternFill>
    </fill>
    <fill>
      <patternFill patternType="solid">
        <fgColor rgb="00E0F0ED"/>
      </patternFill>
    </fill>
    <fill>
      <patternFill patternType="solid">
        <fgColor rgb="00EDE8F0"/>
      </patternFill>
    </fill>
    <fill>
      <patternFill patternType="solid">
        <fgColor rgb="00E8EDF2"/>
      </patternFill>
    </fill>
    <fill>
      <patternFill patternType="solid">
        <fgColor rgb="00FFF8E1"/>
      </patternFill>
    </fill>
    <fill>
      <patternFill patternType="solid">
        <fgColor rgb="00E8F5E9"/>
      </patternFill>
    </fill>
    <fill>
      <patternFill patternType="solid">
        <fgColor rgb="00FBE9E7"/>
      </patternFill>
    </fill>
    <fill>
      <patternFill patternType="solid">
        <fgColor rgb="002A9D8F"/>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7">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10" fillId="6" borderId="13" applyAlignment="1" pivotButton="0" quotePrefix="0" xfId="0">
      <alignment horizontal="center" vertical="center" wrapText="1"/>
    </xf>
    <xf numFmtId="0" fontId="10" fillId="7" borderId="13" applyAlignment="1" pivotButton="0" quotePrefix="0" xfId="0">
      <alignment horizontal="center" vertical="center" wrapText="1"/>
    </xf>
    <xf numFmtId="0" fontId="10" fillId="10"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0" fontId="7" fillId="9"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0" fontId="3" fillId="5" borderId="13" applyAlignment="1" pivotButton="0" quotePrefix="0" xfId="0">
      <alignment horizontal="center" vertical="center" wrapText="1"/>
    </xf>
    <xf numFmtId="165" fontId="10" fillId="11"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165" fontId="7" fillId="12" borderId="13" applyAlignment="1" pivotButton="0" quotePrefix="0" xfId="0">
      <alignment horizontal="center" vertical="center" wrapText="1"/>
    </xf>
    <xf numFmtId="0" fontId="3" fillId="8" borderId="13" applyAlignment="1" pivotButton="0" quotePrefix="0" xfId="0">
      <alignment horizontal="center" vertical="center" wrapText="1"/>
    </xf>
    <xf numFmtId="165" fontId="10" fillId="7"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3" borderId="13" applyAlignment="1" pivotButton="0" quotePrefix="0" xfId="0">
      <alignment horizontal="left" vertical="center" wrapText="1"/>
    </xf>
    <xf numFmtId="0" fontId="9" fillId="5" borderId="13" applyAlignment="1" pivotButton="0" quotePrefix="0" xfId="0">
      <alignment horizontal="center"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4" borderId="13" applyAlignment="1" pivotButton="0" quotePrefix="0" xfId="0">
      <alignment horizontal="left" vertical="center" wrapText="1"/>
    </xf>
    <xf numFmtId="0" fontId="9" fillId="15" borderId="13" applyAlignment="1" pivotButton="0" quotePrefix="0" xfId="0">
      <alignment horizontal="left" vertical="center" wrapText="1"/>
    </xf>
    <xf numFmtId="0" fontId="9" fillId="16"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7" borderId="18" applyAlignment="1" pivotButton="0" quotePrefix="0" xfId="0">
      <alignment horizontal="center" vertical="center" wrapText="1"/>
    </xf>
    <xf numFmtId="0" fontId="9" fillId="17" borderId="13" applyAlignment="1" pivotButton="0" quotePrefix="0" xfId="0">
      <alignment horizontal="left" vertical="top" wrapText="1"/>
    </xf>
    <xf numFmtId="0" fontId="9" fillId="18"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7"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7" borderId="18" applyAlignment="1" pivotButton="0" quotePrefix="0" xfId="0">
      <alignment horizontal="center" vertical="center" wrapText="1"/>
    </xf>
    <xf numFmtId="168" fontId="12" fillId="7"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7" borderId="13" applyAlignment="1" pivotButton="0" quotePrefix="0" xfId="0">
      <alignment horizontal="center" vertical="center" wrapText="1"/>
    </xf>
    <xf numFmtId="0" fontId="10" fillId="0" borderId="0" applyAlignment="1" pivotButton="0" quotePrefix="0" xfId="0">
      <alignment horizontal="right" vertical="center"/>
    </xf>
    <xf numFmtId="2" fontId="13" fillId="7"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7" borderId="13" applyAlignment="1" pivotButton="0" quotePrefix="0" xfId="0">
      <alignment horizontal="center" vertical="center" wrapText="1"/>
    </xf>
    <xf numFmtId="0" fontId="7" fillId="19"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7" borderId="13" applyAlignment="1" pivotButton="0" quotePrefix="0" xfId="0">
      <alignment horizontal="center" vertical="center" wrapText="1"/>
    </xf>
    <xf numFmtId="0" fontId="19" fillId="16"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'Recommendations'!B39</f>
            </strRef>
          </tx>
          <spPr>
            <a:solidFill>
              <a:srgbClr val="2A9D8F"/>
            </a:solidFill>
            <a:ln>
              <a:prstDash val="solid"/>
            </a:ln>
          </spPr>
          <cat>
            <numRef>
              <f>'Recommendations'!$A$40:$A$42</f>
            </numRef>
          </cat>
          <val>
            <numRef>
              <f>'Recommendations'!$B$40:$B$42</f>
            </numRef>
          </val>
        </ser>
        <ser>
          <idx val="1"/>
          <order val="1"/>
          <tx>
            <strRef>
              <f>'Recommendations'!C39</f>
            </strRef>
          </tx>
          <spPr>
            <a:solidFill>
              <a:srgbClr val="4FC3F7"/>
            </a:solidFill>
            <a:ln>
              <a:prstDash val="solid"/>
            </a:ln>
          </spPr>
          <cat>
            <numRef>
              <f>'Recommendations'!$A$40:$A$42</f>
            </numRef>
          </cat>
          <val>
            <numRef>
              <f>'Recommendations'!$C$40:$C$42</f>
            </numRef>
          </val>
        </ser>
        <ser>
          <idx val="2"/>
          <order val="2"/>
          <tx>
            <strRef>
              <f>'Recommendations'!D39</f>
            </strRef>
          </tx>
          <spPr>
            <a:solidFill>
              <a:srgbClr val="C9A84C"/>
            </a:solidFill>
            <a:ln>
              <a:prstDash val="solid"/>
            </a:ln>
          </spPr>
          <cat>
            <numRef>
              <f>'Recommendations'!$A$40:$A$42</f>
            </numRef>
          </cat>
          <val>
            <numRef>
              <f>'Recommendations'!$D$40:$D$42</f>
            </numRef>
          </val>
        </ser>
        <ser>
          <idx val="3"/>
          <order val="3"/>
          <tx>
            <strRef>
              <f>'Recommendations'!E39</f>
            </strRef>
          </tx>
          <spPr>
            <a:solidFill>
              <a:srgbClr val="E76F51"/>
            </a:solidFill>
            <a:l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Construction'!M50</f>
            </strRef>
          </tx>
          <spPr>
            <a:ln>
              <a:prstDash val="solid"/>
            </a:ln>
          </spPr>
          <cat>
            <numRef>
              <f>'Portfolio Construction'!$L$51:$L$54</f>
            </numRef>
          </cat>
          <val>
            <numRef>
              <f>'Portfolio Construction'!$M$51:$M$54</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SWBI</a:t>
            </a:r>
          </a:p>
        </rich>
      </tx>
    </title>
    <plotArea>
      <barChart>
        <barDir val="bar"/>
        <grouping val="clustered"/>
        <ser>
          <idx val="0"/>
          <order val="0"/>
          <spPr>
            <a:solidFill>
              <a:srgbClr val="E76F51"/>
            </a:solidFill>
            <a:ln>
              <a:prstDash val="solid"/>
            </a:ln>
          </spPr>
          <cat>
            <numRef>
              <f>'Sensitivity Analysis'!$B$49:$B$53</f>
            </numRef>
          </cat>
          <val>
            <numRef>
              <f>'Sensitivity Analysis'!$C$49:$C$53</f>
            </numRef>
          </val>
        </ser>
        <ser>
          <idx val="1"/>
          <order val="1"/>
          <spPr>
            <a:solidFill>
              <a:srgbClr val="2A9D8F"/>
            </a:solidFill>
            <a:ln>
              <a:prstDash val="solid"/>
            </a:ln>
          </spPr>
          <cat>
            <numRef>
              <f>'Sensitivity Analysis'!$B$49:$B$53</f>
            </numRef>
          </cat>
          <val>
            <numRef>
              <f>'Sensitivity Analysis'!$D$49:$D$53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48</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3.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U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2" t="n"/>
      <c r="Q1" s="2" t="n"/>
      <c r="R1" s="2" t="n"/>
      <c r="S1" s="2" t="n"/>
      <c r="T1" s="2" t="n"/>
      <c r="U1" s="3" t="n"/>
    </row>
    <row r="2" ht="28" customHeight="1">
      <c r="A2" s="4" t="n"/>
      <c r="B2" s="5" t="n"/>
      <c r="C2" s="5" t="n"/>
      <c r="D2" s="5" t="n"/>
      <c r="E2" s="5" t="n"/>
      <c r="F2" s="5" t="n"/>
      <c r="G2" s="5" t="n"/>
      <c r="H2" s="5" t="n"/>
      <c r="I2" s="5" t="n"/>
      <c r="J2" s="5" t="n"/>
      <c r="K2" s="5" t="n"/>
      <c r="L2" s="5" t="n"/>
      <c r="M2" s="5" t="n"/>
      <c r="N2" s="5" t="n"/>
      <c r="O2" s="5" t="n"/>
      <c r="P2" s="5" t="n"/>
      <c r="Q2" s="5" t="n"/>
      <c r="R2" s="5" t="n"/>
      <c r="S2" s="5" t="n"/>
      <c r="T2" s="5" t="n"/>
      <c r="U2" s="6" t="n"/>
    </row>
    <row r="3" ht="20" customHeight="1">
      <c r="A3" s="7" t="inlineStr">
        <is>
          <t>Nano  ·  Small  ·  Breakout  ·  Vital Link Tier Analysis</t>
        </is>
      </c>
      <c r="B3" s="8" t="n"/>
      <c r="C3" s="8" t="n"/>
      <c r="D3" s="8" t="n"/>
      <c r="E3" s="8" t="n"/>
      <c r="F3" s="8" t="n"/>
      <c r="G3" s="8" t="n"/>
      <c r="H3" s="8" t="n"/>
      <c r="I3" s="8" t="n"/>
      <c r="J3" s="9" t="n"/>
      <c r="K3" s="10" t="inlineStr">
        <is>
          <t>Run Date: September 08, 2026  |  Universe: 30 stocks  |  Source: Financial Modeling Prep</t>
        </is>
      </c>
      <c r="L3" s="8" t="n"/>
      <c r="M3" s="8" t="n"/>
      <c r="N3" s="8" t="n"/>
      <c r="O3" s="8" t="n"/>
      <c r="P3" s="8" t="n"/>
      <c r="Q3" s="8" t="n"/>
      <c r="R3" s="8" t="n"/>
      <c r="S3" s="8" t="n"/>
      <c r="T3" s="8" t="n"/>
      <c r="U3" s="9" t="n"/>
    </row>
    <row r="4" ht="8" customHeight="1">
      <c r="A4" s="11" t="n"/>
      <c r="B4" s="11" t="n"/>
      <c r="C4" s="11" t="n"/>
      <c r="D4" s="11" t="n"/>
      <c r="E4" s="11" t="n"/>
      <c r="F4" s="11" t="n"/>
      <c r="G4" s="11" t="n"/>
      <c r="H4" s="11" t="n"/>
      <c r="I4" s="11" t="n"/>
      <c r="J4" s="11" t="n"/>
      <c r="K4" s="11" t="n"/>
      <c r="L4" s="11" t="n"/>
      <c r="M4" s="11" t="n"/>
      <c r="N4" s="11" t="n"/>
      <c r="O4" s="11" t="n"/>
      <c r="P4" s="11" t="n"/>
      <c r="Q4" s="11" t="n"/>
      <c r="R4" s="11" t="n"/>
      <c r="S4" s="11" t="n"/>
      <c r="T4" s="11" t="n"/>
      <c r="U4" s="11" t="n"/>
    </row>
    <row r="5" ht="6" customHeight="1">
      <c r="A5" s="12" t="n"/>
      <c r="B5" s="13" t="n"/>
      <c r="C5" s="13" t="n"/>
      <c r="D5" s="13" t="n"/>
      <c r="E5" s="13" t="n"/>
      <c r="F5" s="13" t="n"/>
      <c r="G5" s="13" t="n"/>
      <c r="H5" s="12" t="n"/>
      <c r="I5" s="13" t="n"/>
      <c r="J5" s="13" t="n"/>
      <c r="K5" s="13" t="n"/>
      <c r="L5" s="13" t="n"/>
      <c r="M5" s="13" t="n"/>
      <c r="N5" s="13" t="n"/>
      <c r="O5" s="12" t="n"/>
      <c r="P5" s="12" t="n"/>
      <c r="Q5" s="12" t="n"/>
      <c r="R5" s="12" t="n"/>
      <c r="S5" s="12" t="n"/>
      <c r="T5" s="12" t="n"/>
      <c r="U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c r="Q6" s="12" t="n"/>
      <c r="R6" s="12" t="n"/>
      <c r="S6" s="12" t="n"/>
      <c r="T6" s="12" t="n"/>
      <c r="U6" s="12" t="n"/>
    </row>
    <row r="7" ht="28" customHeight="1">
      <c r="A7" s="12" t="n"/>
      <c r="B7" s="15" t="inlineStr">
        <is>
          <t>30</t>
        </is>
      </c>
      <c r="D7" s="15" t="inlineStr">
        <is>
          <t>30</t>
        </is>
      </c>
      <c r="F7" s="15" t="inlineStr">
        <is>
          <t>68.5</t>
        </is>
      </c>
      <c r="H7" s="12" t="n"/>
      <c r="I7" s="15" t="inlineStr">
        <is>
          <t>23.6%</t>
        </is>
      </c>
      <c r="K7" s="15" t="inlineStr">
        <is>
          <t>39.7%</t>
        </is>
      </c>
      <c r="M7" s="15" t="inlineStr">
        <is>
          <t>0</t>
        </is>
      </c>
      <c r="O7" s="12" t="n"/>
      <c r="P7" s="12" t="n"/>
      <c r="Q7" s="12" t="n"/>
      <c r="R7" s="12" t="n"/>
      <c r="S7" s="12" t="n"/>
      <c r="T7" s="12" t="n"/>
      <c r="U7" s="12" t="n"/>
    </row>
    <row r="8" ht="6" customHeight="1">
      <c r="A8" s="12" t="n"/>
      <c r="B8" s="12" t="n"/>
      <c r="C8" s="12" t="n"/>
      <c r="D8" s="12" t="n"/>
      <c r="E8" s="12" t="n"/>
      <c r="F8" s="12" t="n"/>
      <c r="G8" s="12" t="n"/>
      <c r="H8" s="12" t="n"/>
      <c r="I8" s="12" t="n"/>
      <c r="J8" s="12" t="n"/>
      <c r="K8" s="12" t="n"/>
      <c r="L8" s="12" t="n"/>
      <c r="M8" s="12" t="n"/>
      <c r="N8" s="12" t="n"/>
      <c r="O8" s="12" t="n"/>
      <c r="P8" s="12" t="n"/>
      <c r="Q8" s="12" t="n"/>
      <c r="R8" s="12" t="n"/>
      <c r="S8" s="12" t="n"/>
      <c r="T8" s="12" t="n"/>
      <c r="U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c r="Q10" s="16" t="inlineStr">
        <is>
          <t xml:space="preserve">  Vital Link</t>
        </is>
      </c>
      <c r="R10" s="17" t="n"/>
      <c r="S10" s="17" t="n"/>
      <c r="T10" s="17" t="n"/>
      <c r="U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c r="Q11" s="18" t="inlineStr">
        <is>
          <t>Ticker</t>
        </is>
      </c>
      <c r="R11" s="18" t="inlineStr">
        <is>
          <t>Company</t>
        </is>
      </c>
      <c r="S11" s="18" t="inlineStr">
        <is>
          <t>Mkt Cap</t>
        </is>
      </c>
      <c r="T11" s="18" t="inlineStr">
        <is>
          <t>Score</t>
        </is>
      </c>
      <c r="U11" s="18" t="inlineStr">
        <is>
          <t>Conviction</t>
        </is>
      </c>
    </row>
    <row r="12" ht="16" customHeight="1">
      <c r="B12" s="19" t="inlineStr">
        <is>
          <t>INTT</t>
        </is>
      </c>
      <c r="C12" s="20" t="inlineStr">
        <is>
          <t>inTEST Corporation</t>
        </is>
      </c>
      <c r="D12" s="21" t="n">
        <v>146.3</v>
      </c>
      <c r="E12" s="22" t="n">
        <v>70.2</v>
      </c>
      <c r="F12" s="23" t="inlineStr">
        <is>
          <t>Medium</t>
        </is>
      </c>
      <c r="G12" s="19" t="inlineStr">
        <is>
          <t>SWBI</t>
        </is>
      </c>
      <c r="H12" s="20" t="inlineStr">
        <is>
          <t>Smith &amp; Wesson Brands, Inc.</t>
        </is>
      </c>
      <c r="I12" s="21" t="n">
        <v>588.2</v>
      </c>
      <c r="J12" s="22" t="n">
        <v>79.40000000000001</v>
      </c>
      <c r="K12" s="24" t="inlineStr">
        <is>
          <t>Medium-High</t>
        </is>
      </c>
      <c r="L12" s="19" t="inlineStr">
        <is>
          <t>CALX</t>
        </is>
      </c>
      <c r="M12" s="20" t="inlineStr">
        <is>
          <t>Calix, Inc.</t>
        </is>
      </c>
      <c r="N12" s="21" t="n">
        <v>2219.5</v>
      </c>
      <c r="O12" s="22" t="n">
        <v>77.5</v>
      </c>
      <c r="P12" s="24" t="inlineStr">
        <is>
          <t>Medium-High</t>
        </is>
      </c>
    </row>
    <row r="13" ht="16" customHeight="1">
      <c r="B13" s="25" t="inlineStr">
        <is>
          <t>RELL</t>
        </is>
      </c>
      <c r="C13" s="26" t="inlineStr">
        <is>
          <t>Richardson Electronics, Ltd.</t>
        </is>
      </c>
      <c r="D13" s="27" t="n">
        <v>257.5</v>
      </c>
      <c r="E13" s="22" t="n">
        <v>69.59999999999999</v>
      </c>
      <c r="F13" s="23" t="inlineStr">
        <is>
          <t>Medium</t>
        </is>
      </c>
      <c r="G13" s="25" t="inlineStr">
        <is>
          <t>PKE</t>
        </is>
      </c>
      <c r="H13" s="26" t="inlineStr">
        <is>
          <t>Park Aerospace Corp.</t>
        </is>
      </c>
      <c r="I13" s="27" t="n">
        <v>685.2</v>
      </c>
      <c r="J13" s="22" t="n">
        <v>78.5</v>
      </c>
      <c r="K13" s="24" t="inlineStr">
        <is>
          <t>Medium-High</t>
        </is>
      </c>
      <c r="L13" s="25" t="inlineStr">
        <is>
          <t>ADEA</t>
        </is>
      </c>
      <c r="M13" s="26" t="inlineStr">
        <is>
          <t>Adeia Inc.</t>
        </is>
      </c>
      <c r="N13" s="27" t="n">
        <v>2998.6</v>
      </c>
      <c r="O13" s="22" t="n">
        <v>73.40000000000001</v>
      </c>
      <c r="P13" s="23" t="inlineStr">
        <is>
          <t>Medium</t>
        </is>
      </c>
    </row>
    <row r="14" ht="16" customHeight="1">
      <c r="B14" s="19" t="inlineStr">
        <is>
          <t>RFIL</t>
        </is>
      </c>
      <c r="C14" s="20" t="inlineStr">
        <is>
          <t>RF Industries, Ltd.</t>
        </is>
      </c>
      <c r="D14" s="21" t="n">
        <v>117.2</v>
      </c>
      <c r="E14" s="22" t="n">
        <v>67.09999999999999</v>
      </c>
      <c r="F14" s="23" t="inlineStr">
        <is>
          <t>Medium</t>
        </is>
      </c>
      <c r="G14" s="19" t="inlineStr">
        <is>
          <t>EVLV</t>
        </is>
      </c>
      <c r="H14" s="20" t="inlineStr">
        <is>
          <t>Evolv Technologies Holdings, Inc.</t>
        </is>
      </c>
      <c r="I14" s="21" t="n">
        <v>912.8</v>
      </c>
      <c r="J14" s="22" t="n">
        <v>72.09999999999999</v>
      </c>
      <c r="K14" s="23" t="inlineStr">
        <is>
          <t>Medium</t>
        </is>
      </c>
      <c r="L14" s="19" t="inlineStr">
        <is>
          <t>DCI</t>
        </is>
      </c>
      <c r="M14" s="20" t="inlineStr">
        <is>
          <t>Donaldson Company, Inc.</t>
        </is>
      </c>
      <c r="N14" s="21" t="n">
        <v>10618.6</v>
      </c>
      <c r="O14" s="22" t="n">
        <v>73.09999999999999</v>
      </c>
      <c r="P14" s="23" t="inlineStr">
        <is>
          <t>Medium</t>
        </is>
      </c>
    </row>
    <row r="15" ht="16" customHeight="1">
      <c r="B15" s="25" t="inlineStr">
        <is>
          <t>LTRX</t>
        </is>
      </c>
      <c r="C15" s="26" t="inlineStr">
        <is>
          <t>Lantronix, Inc.</t>
        </is>
      </c>
      <c r="D15" s="27" t="n">
        <v>237.1</v>
      </c>
      <c r="E15" s="22" t="n">
        <v>66</v>
      </c>
      <c r="F15" s="23" t="inlineStr">
        <is>
          <t>Medium</t>
        </is>
      </c>
      <c r="G15" s="25" t="inlineStr">
        <is>
          <t>GHM</t>
        </is>
      </c>
      <c r="H15" s="26" t="inlineStr">
        <is>
          <t>Graham Corporation</t>
        </is>
      </c>
      <c r="I15" s="27" t="n">
        <v>1046.6</v>
      </c>
      <c r="J15" s="22" t="n">
        <v>70.8</v>
      </c>
      <c r="K15" s="23" t="inlineStr">
        <is>
          <t>Medium</t>
        </is>
      </c>
      <c r="L15" s="25" t="inlineStr">
        <is>
          <t>CACI</t>
        </is>
      </c>
      <c r="M15" s="26" t="inlineStr">
        <is>
          <t>CACI International Inc</t>
        </is>
      </c>
      <c r="N15" s="27" t="n">
        <v>13629.7</v>
      </c>
      <c r="O15" s="22" t="n">
        <v>71.59999999999999</v>
      </c>
      <c r="P15" s="23" t="inlineStr">
        <is>
          <t>Medium</t>
        </is>
      </c>
    </row>
    <row r="16" ht="16" customHeight="1">
      <c r="B16" s="19" t="inlineStr">
        <is>
          <t>OPXS</t>
        </is>
      </c>
      <c r="C16" s="20" t="inlineStr">
        <is>
          <t>Optex Systems Holdings, Inc</t>
        </is>
      </c>
      <c r="D16" s="21" t="n">
        <v>71.59999999999999</v>
      </c>
      <c r="E16" s="22" t="n">
        <v>64.09999999999999</v>
      </c>
      <c r="F16" s="28" t="inlineStr">
        <is>
          <t>Speculative</t>
        </is>
      </c>
      <c r="G16" s="19" t="inlineStr">
        <is>
          <t>ADTN</t>
        </is>
      </c>
      <c r="H16" s="20" t="inlineStr">
        <is>
          <t>ADTRAN Holdings Inc.</t>
        </is>
      </c>
      <c r="I16" s="21" t="n">
        <v>608.1</v>
      </c>
      <c r="J16" s="22" t="n">
        <v>70.5</v>
      </c>
      <c r="K16" s="23" t="inlineStr">
        <is>
          <t>Medium</t>
        </is>
      </c>
      <c r="L16" s="19" t="inlineStr">
        <is>
          <t>MRCY</t>
        </is>
      </c>
      <c r="M16" s="20" t="inlineStr">
        <is>
          <t>Mercury Systems, Inc.</t>
        </is>
      </c>
      <c r="N16" s="21" t="n">
        <v>5093.4</v>
      </c>
      <c r="O16" s="22" t="n">
        <v>69.8</v>
      </c>
      <c r="P16" s="23" t="inlineStr">
        <is>
          <t>Medium</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29" t="inlineStr">
        <is>
          <t>Ticker</t>
        </is>
      </c>
      <c r="B40" s="29" t="inlineStr">
        <is>
          <t>Score</t>
        </is>
      </c>
      <c r="C40" s="29" t="inlineStr">
        <is>
          <t>Tier</t>
        </is>
      </c>
    </row>
    <row r="41">
      <c r="A41" t="inlineStr">
        <is>
          <t>SWBI</t>
        </is>
      </c>
      <c r="B41" t="n">
        <v>79.40000000000001</v>
      </c>
      <c r="C41" t="inlineStr">
        <is>
          <t>Small Cap</t>
        </is>
      </c>
    </row>
    <row r="42">
      <c r="A42" t="inlineStr">
        <is>
          <t>PKE</t>
        </is>
      </c>
      <c r="B42" t="n">
        <v>78.5</v>
      </c>
      <c r="C42" t="inlineStr">
        <is>
          <t>Small Cap</t>
        </is>
      </c>
    </row>
    <row r="43">
      <c r="A43" t="inlineStr">
        <is>
          <t>CALX</t>
        </is>
      </c>
      <c r="B43" t="n">
        <v>77.5</v>
      </c>
      <c r="C43" t="inlineStr">
        <is>
          <t>Breakout</t>
        </is>
      </c>
    </row>
    <row r="44">
      <c r="A44" t="inlineStr">
        <is>
          <t>ADEA</t>
        </is>
      </c>
      <c r="B44" t="n">
        <v>73.40000000000001</v>
      </c>
      <c r="C44" t="inlineStr">
        <is>
          <t>Breakout</t>
        </is>
      </c>
    </row>
    <row r="45">
      <c r="A45" t="inlineStr">
        <is>
          <t>DCI</t>
        </is>
      </c>
      <c r="B45" t="n">
        <v>73.09999999999999</v>
      </c>
      <c r="C45" t="inlineStr">
        <is>
          <t>Breakout</t>
        </is>
      </c>
    </row>
    <row r="46">
      <c r="A46" t="inlineStr">
        <is>
          <t>EVLV</t>
        </is>
      </c>
      <c r="B46" t="n">
        <v>72.09999999999999</v>
      </c>
      <c r="C46" t="inlineStr">
        <is>
          <t>Small Cap</t>
        </is>
      </c>
    </row>
    <row r="47">
      <c r="A47" t="inlineStr">
        <is>
          <t>CACI</t>
        </is>
      </c>
      <c r="B47" t="n">
        <v>71.59999999999999</v>
      </c>
      <c r="C47" t="inlineStr">
        <is>
          <t>Breakout</t>
        </is>
      </c>
    </row>
    <row r="48">
      <c r="A48" t="inlineStr">
        <is>
          <t>GHM</t>
        </is>
      </c>
      <c r="B48" t="n">
        <v>70.8</v>
      </c>
      <c r="C48" t="inlineStr">
        <is>
          <t>Small Cap</t>
        </is>
      </c>
    </row>
    <row r="49">
      <c r="A49" t="inlineStr">
        <is>
          <t>ADTN</t>
        </is>
      </c>
      <c r="B49" t="n">
        <v>70.5</v>
      </c>
      <c r="C49" t="inlineStr">
        <is>
          <t>Small Cap</t>
        </is>
      </c>
    </row>
    <row r="50">
      <c r="A50" t="inlineStr">
        <is>
          <t>INTT</t>
        </is>
      </c>
      <c r="B50" t="n">
        <v>70.2</v>
      </c>
      <c r="C50" t="inlineStr">
        <is>
          <t>Nano Cap</t>
        </is>
      </c>
    </row>
  </sheetData>
  <mergeCells count="20">
    <mergeCell ref="K3:U3"/>
    <mergeCell ref="I6:J6"/>
    <mergeCell ref="B7:C7"/>
    <mergeCell ref="F6:G6"/>
    <mergeCell ref="F7:G7"/>
    <mergeCell ref="D6:E6"/>
    <mergeCell ref="I7:J7"/>
    <mergeCell ref="B19:P19"/>
    <mergeCell ref="G10:K10"/>
    <mergeCell ref="Q10:U10"/>
    <mergeCell ref="A1:U2"/>
    <mergeCell ref="M7:N7"/>
    <mergeCell ref="D7:E7"/>
    <mergeCell ref="M6:N6"/>
    <mergeCell ref="B10:F10"/>
    <mergeCell ref="L10:P10"/>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September 08,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INTT</t>
        </is>
      </c>
      <c r="C5" s="20" t="inlineStr">
        <is>
          <t>inTEST Corporation</t>
        </is>
      </c>
      <c r="D5" s="21" t="n">
        <v>146.3</v>
      </c>
      <c r="E5" s="33" t="n">
        <v>11.59</v>
      </c>
      <c r="F5" s="34" t="n">
        <v>0.255</v>
      </c>
      <c r="G5" s="34" t="n">
        <v>0.427</v>
      </c>
      <c r="H5" s="34" t="n">
        <v>0.405</v>
      </c>
      <c r="I5" s="34" t="n">
        <v>0.036</v>
      </c>
      <c r="J5" s="34" t="n">
        <v>0.133</v>
      </c>
      <c r="K5" s="35" t="n">
        <v>85.3</v>
      </c>
      <c r="L5" s="35" t="n">
        <v>71.2</v>
      </c>
      <c r="M5" s="36" t="n">
        <v>70.2</v>
      </c>
      <c r="N5" s="22" t="n">
        <v>67.2</v>
      </c>
      <c r="O5" s="37" t="inlineStr">
        <is>
          <t>—</t>
        </is>
      </c>
      <c r="P5" s="38" t="n">
        <v>27.8</v>
      </c>
      <c r="Q5" s="23" t="inlineStr">
        <is>
          <t>Medium</t>
        </is>
      </c>
      <c r="R5" s="34" t="n">
        <v>-0.175089</v>
      </c>
      <c r="S5" s="34" t="n">
        <v>-0.2584773</v>
      </c>
      <c r="T5" s="34" t="n">
        <v>-0.1246224</v>
      </c>
      <c r="U5" s="34" t="n">
        <v>0.5515395000000001</v>
      </c>
      <c r="V5" s="34" t="n">
        <v>0.6097222</v>
      </c>
    </row>
    <row r="6" ht="16" customHeight="1">
      <c r="A6" s="32" t="n">
        <v>2</v>
      </c>
      <c r="B6" s="25" t="inlineStr">
        <is>
          <t>RELL</t>
        </is>
      </c>
      <c r="C6" s="26" t="inlineStr">
        <is>
          <t>Richardson Electronics, Ltd.</t>
        </is>
      </c>
      <c r="D6" s="27" t="n">
        <v>257.5</v>
      </c>
      <c r="E6" s="39" t="n">
        <v>17.57</v>
      </c>
      <c r="F6" s="40" t="n">
        <v>0.276</v>
      </c>
      <c r="G6" s="40" t="n">
        <v>0.181</v>
      </c>
      <c r="H6" s="40" t="n">
        <v>0.312</v>
      </c>
      <c r="I6" s="40" t="n">
        <v>-0.079</v>
      </c>
      <c r="J6" s="40" t="n">
        <v>0.176</v>
      </c>
      <c r="K6" s="41" t="n">
        <v>81.40000000000001</v>
      </c>
      <c r="L6" s="41" t="n">
        <v>68.7</v>
      </c>
      <c r="M6" s="42" t="n">
        <v>69.59999999999999</v>
      </c>
      <c r="N6" s="43" t="n">
        <v>75.5</v>
      </c>
      <c r="O6" s="44" t="inlineStr">
        <is>
          <t>—</t>
        </is>
      </c>
      <c r="P6" s="45" t="n">
        <v>42.4</v>
      </c>
      <c r="Q6" s="23" t="inlineStr">
        <is>
          <t>Medium</t>
        </is>
      </c>
      <c r="R6" s="40" t="n">
        <v>-0.1495644</v>
      </c>
      <c r="S6" s="40" t="n">
        <v>0.0565244</v>
      </c>
      <c r="T6" s="40" t="n">
        <v>0.5715564</v>
      </c>
      <c r="U6" s="40" t="n">
        <v>0.6148897</v>
      </c>
      <c r="V6" s="40" t="n">
        <v>0.8245067</v>
      </c>
    </row>
    <row r="7" ht="16" customHeight="1">
      <c r="A7" s="32" t="n">
        <v>3</v>
      </c>
      <c r="B7" s="19" t="inlineStr">
        <is>
          <t>RFIL</t>
        </is>
      </c>
      <c r="C7" s="20" t="inlineStr">
        <is>
          <t>RF Industries, Ltd.</t>
        </is>
      </c>
      <c r="D7" s="21" t="n">
        <v>117.2</v>
      </c>
      <c r="E7" s="33" t="n">
        <v>10.855</v>
      </c>
      <c r="F7" s="34" t="n">
        <v>0.094</v>
      </c>
      <c r="G7" s="34" t="n">
        <v>-0.08</v>
      </c>
      <c r="H7" s="34" t="n">
        <v>0.351</v>
      </c>
      <c r="I7" s="34" t="n">
        <v>0.048</v>
      </c>
      <c r="J7" s="34" t="n">
        <v>0.224</v>
      </c>
      <c r="K7" s="35" t="n">
        <v>62.7</v>
      </c>
      <c r="L7" s="35" t="n">
        <v>65.7</v>
      </c>
      <c r="M7" s="36" t="n">
        <v>67.09999999999999</v>
      </c>
      <c r="N7" s="43" t="n">
        <v>71.09999999999999</v>
      </c>
      <c r="O7" s="37" t="inlineStr">
        <is>
          <t>—</t>
        </is>
      </c>
      <c r="P7" s="38" t="n">
        <v>27.6</v>
      </c>
      <c r="Q7" s="23" t="inlineStr">
        <is>
          <t>Medium</t>
        </is>
      </c>
      <c r="R7" s="34" t="n">
        <v>-0.1526151</v>
      </c>
      <c r="S7" s="34" t="n">
        <v>-0.3488302</v>
      </c>
      <c r="T7" s="34" t="n">
        <v>0.039751</v>
      </c>
      <c r="U7" s="34" t="n">
        <v>0.8780277</v>
      </c>
      <c r="V7" s="34" t="n">
        <v>0.4829235</v>
      </c>
    </row>
    <row r="8" ht="16" customHeight="1">
      <c r="A8" s="32" t="n">
        <v>4</v>
      </c>
      <c r="B8" s="25" t="inlineStr">
        <is>
          <t>LTRX</t>
        </is>
      </c>
      <c r="C8" s="26" t="inlineStr">
        <is>
          <t>Lantronix, Inc.</t>
        </is>
      </c>
      <c r="D8" s="27" t="n">
        <v>237.1</v>
      </c>
      <c r="E8" s="39" t="n">
        <v>5.335</v>
      </c>
      <c r="F8" s="40" t="n">
        <v>0.08</v>
      </c>
      <c r="G8" s="40" t="n">
        <v>0.492</v>
      </c>
      <c r="H8" s="40" t="n">
        <v>0.4370000000000001</v>
      </c>
      <c r="I8" s="40" t="n">
        <v>0.141</v>
      </c>
      <c r="J8" s="40" t="n">
        <v>0.225</v>
      </c>
      <c r="K8" s="41" t="n">
        <v>67.5</v>
      </c>
      <c r="L8" s="41" t="n">
        <v>61.6</v>
      </c>
      <c r="M8" s="42" t="n">
        <v>66</v>
      </c>
      <c r="N8" s="43" t="n">
        <v>79</v>
      </c>
      <c r="O8" s="44" t="inlineStr">
        <is>
          <t>—</t>
        </is>
      </c>
      <c r="P8" s="38" t="n">
        <v>11.3</v>
      </c>
      <c r="Q8" s="23" t="inlineStr">
        <is>
          <t>Medium</t>
        </is>
      </c>
      <c r="R8" s="40" t="n">
        <v>-0.1063652</v>
      </c>
      <c r="S8" s="40" t="n">
        <v>-0.2061012</v>
      </c>
      <c r="T8" s="40" t="n">
        <v>-0.0557522</v>
      </c>
      <c r="U8" s="40" t="n">
        <v>-0.0895904</v>
      </c>
      <c r="V8" s="40" t="n">
        <v>0.1184486</v>
      </c>
    </row>
    <row r="9" ht="16" customHeight="1">
      <c r="A9" s="32" t="n">
        <v>5</v>
      </c>
      <c r="B9" s="19" t="inlineStr">
        <is>
          <t>OPXS</t>
        </is>
      </c>
      <c r="C9" s="20" t="inlineStr">
        <is>
          <t>Optex Systems Holdings, Inc</t>
        </is>
      </c>
      <c r="D9" s="21" t="n">
        <v>71.59999999999999</v>
      </c>
      <c r="E9" s="33" t="n">
        <v>10.225</v>
      </c>
      <c r="F9" s="34" t="n">
        <v>-0.124</v>
      </c>
      <c r="G9" s="34" t="n">
        <v>-0.35</v>
      </c>
      <c r="H9" s="34" t="n">
        <v>0.342</v>
      </c>
      <c r="I9" s="34" t="n">
        <v>0.044</v>
      </c>
      <c r="J9" s="34" t="n">
        <v>0.209</v>
      </c>
      <c r="K9" s="35" t="n">
        <v>67.09999999999999</v>
      </c>
      <c r="L9" s="35" t="n">
        <v>62.6</v>
      </c>
      <c r="M9" s="36" t="n">
        <v>64.09999999999999</v>
      </c>
      <c r="N9" s="22" t="n">
        <v>68.59999999999999</v>
      </c>
      <c r="O9" s="37" t="inlineStr">
        <is>
          <t>—</t>
        </is>
      </c>
      <c r="P9" s="38" t="n">
        <v>5.7</v>
      </c>
      <c r="Q9" s="28" t="inlineStr">
        <is>
          <t>Speculative</t>
        </is>
      </c>
      <c r="R9" s="34" t="n">
        <v>-0.147206</v>
      </c>
      <c r="S9" s="34" t="n">
        <v>-0.1923381</v>
      </c>
      <c r="T9" s="34" t="n">
        <v>-0.2152724</v>
      </c>
      <c r="U9" s="34" t="n">
        <v>-0.278914</v>
      </c>
      <c r="V9" s="34" t="n">
        <v>-0.08868090000000001</v>
      </c>
    </row>
    <row r="10" ht="16" customHeight="1">
      <c r="A10" s="32" t="n">
        <v>6</v>
      </c>
      <c r="B10" s="25" t="inlineStr">
        <is>
          <t>BKTI</t>
        </is>
      </c>
      <c r="C10" s="26" t="inlineStr">
        <is>
          <t>BK Technologies Corporation</t>
        </is>
      </c>
      <c r="D10" s="27" t="n">
        <v>273.9</v>
      </c>
      <c r="E10" s="39" t="n">
        <v>73.15000000000001</v>
      </c>
      <c r="F10" s="40" t="n">
        <v>0.106</v>
      </c>
      <c r="G10" s="40" t="n">
        <v>0.061</v>
      </c>
      <c r="H10" s="40" t="n">
        <v>0.519</v>
      </c>
      <c r="I10" s="40" t="n">
        <v>0.099</v>
      </c>
      <c r="J10" s="40" t="n">
        <v>0.24</v>
      </c>
      <c r="K10" s="41" t="n">
        <v>67.2</v>
      </c>
      <c r="L10" s="41" t="n">
        <v>62.1</v>
      </c>
      <c r="M10" s="42" t="n">
        <v>63.1</v>
      </c>
      <c r="N10" s="22" t="n">
        <v>66.09999999999999</v>
      </c>
      <c r="O10" s="44" t="inlineStr">
        <is>
          <t>—</t>
        </is>
      </c>
      <c r="P10" s="38" t="n">
        <v>17.6</v>
      </c>
      <c r="Q10" s="28" t="inlineStr">
        <is>
          <t>Speculative</t>
        </is>
      </c>
      <c r="R10" s="40" t="n">
        <v>-0.05880080000000001</v>
      </c>
      <c r="S10" s="40" t="n">
        <v>-0.0897213</v>
      </c>
      <c r="T10" s="40" t="n">
        <v>-0.1400188</v>
      </c>
      <c r="U10" s="40" t="n">
        <v>-0.0193055</v>
      </c>
      <c r="V10" s="40" t="n">
        <v>0.0590705</v>
      </c>
    </row>
    <row r="11" ht="16" customHeight="1">
      <c r="A11" s="32" t="n">
        <v>7</v>
      </c>
      <c r="B11" s="19" t="inlineStr">
        <is>
          <t>ASYS</t>
        </is>
      </c>
      <c r="C11" s="20" t="inlineStr">
        <is>
          <t>Amtech Systems, Inc.</t>
        </is>
      </c>
      <c r="D11" s="21" t="n">
        <v>269.4</v>
      </c>
      <c r="E11" s="33" t="n">
        <v>15.4184</v>
      </c>
      <c r="F11" s="34" t="n">
        <v>0.145</v>
      </c>
      <c r="G11" s="34" t="n">
        <v>0.414</v>
      </c>
      <c r="H11" s="34" t="n">
        <v>0.5</v>
      </c>
      <c r="I11" s="34" t="n">
        <v>0.09</v>
      </c>
      <c r="J11" s="34" t="n">
        <v>0.263</v>
      </c>
      <c r="K11" s="35" t="n">
        <v>75.5</v>
      </c>
      <c r="L11" s="35" t="n">
        <v>63.5</v>
      </c>
      <c r="M11" s="36" t="n">
        <v>61.6</v>
      </c>
      <c r="N11" s="22" t="n">
        <v>60.3</v>
      </c>
      <c r="O11" s="37" t="inlineStr">
        <is>
          <t>—</t>
        </is>
      </c>
      <c r="P11" s="45" t="n">
        <v>43.6</v>
      </c>
      <c r="Q11" s="28" t="inlineStr">
        <is>
          <t>Speculative</t>
        </is>
      </c>
      <c r="R11" s="34" t="n">
        <v>-0.0071860914</v>
      </c>
      <c r="S11" s="34" t="n">
        <v>-0.2177372</v>
      </c>
      <c r="T11" s="34" t="n">
        <v>0.1933746</v>
      </c>
      <c r="U11" s="34" t="n">
        <v>0.2285578</v>
      </c>
      <c r="V11" s="34" t="n">
        <v>0.9443127</v>
      </c>
    </row>
    <row r="12" ht="16" customHeight="1">
      <c r="A12" s="32" t="n">
        <v>8</v>
      </c>
      <c r="B12" s="25" t="inlineStr">
        <is>
          <t>KVHI</t>
        </is>
      </c>
      <c r="C12" s="26" t="inlineStr">
        <is>
          <t>KVH Industries, Inc.</t>
        </is>
      </c>
      <c r="D12" s="27" t="n">
        <v>138.8</v>
      </c>
      <c r="E12" s="39" t="n">
        <v>7.1182</v>
      </c>
      <c r="F12" s="40" t="n">
        <v>0.267</v>
      </c>
      <c r="G12" s="40" t="n">
        <v>0.338</v>
      </c>
      <c r="H12" s="40" t="n">
        <v>0.3</v>
      </c>
      <c r="I12" s="40" t="n">
        <v>0.008</v>
      </c>
      <c r="J12" s="40" t="n">
        <v>0.35</v>
      </c>
      <c r="K12" s="41" t="n">
        <v>81</v>
      </c>
      <c r="L12" s="41" t="n">
        <v>58.4</v>
      </c>
      <c r="M12" s="42" t="n">
        <v>59.4</v>
      </c>
      <c r="N12" s="22" t="n">
        <v>62.3</v>
      </c>
      <c r="O12" s="44" t="inlineStr">
        <is>
          <t>—</t>
        </is>
      </c>
      <c r="P12" s="38" t="n">
        <v>14.8</v>
      </c>
      <c r="Q12" s="28" t="inlineStr">
        <is>
          <t>Speculative</t>
        </is>
      </c>
      <c r="R12" s="40" t="n">
        <v>-0.1135492</v>
      </c>
      <c r="S12" s="40" t="n">
        <v>-0.07315100000000001</v>
      </c>
      <c r="T12" s="40" t="n">
        <v>0.2044332</v>
      </c>
      <c r="U12" s="40" t="n">
        <v>0.0212626</v>
      </c>
      <c r="V12" s="40" t="n">
        <v>0.1612072</v>
      </c>
    </row>
    <row r="13" ht="16" customHeight="1">
      <c r="A13" s="32" t="n">
        <v>9</v>
      </c>
      <c r="B13" s="19" t="inlineStr">
        <is>
          <t>ESP</t>
        </is>
      </c>
      <c r="C13" s="20" t="inlineStr">
        <is>
          <t>Espey Mfg. &amp; Electronics Corp.</t>
        </is>
      </c>
      <c r="D13" s="21" t="n">
        <v>192.4</v>
      </c>
      <c r="E13" s="33" t="n">
        <v>64.235</v>
      </c>
      <c r="F13" s="34" t="n">
        <v>0.109</v>
      </c>
      <c r="G13" s="34" t="n">
        <v>-0.139</v>
      </c>
      <c r="H13" s="34" t="n">
        <v>0.37</v>
      </c>
      <c r="I13" s="34" t="n">
        <v>0.131</v>
      </c>
      <c r="J13" s="34" t="n">
        <v>0.29</v>
      </c>
      <c r="K13" s="35" t="n">
        <v>55.8</v>
      </c>
      <c r="L13" s="35" t="n">
        <v>56.7</v>
      </c>
      <c r="M13" s="36" t="n">
        <v>57.9</v>
      </c>
      <c r="N13" s="43" t="n">
        <v>71.3</v>
      </c>
      <c r="O13" s="37" t="inlineStr">
        <is>
          <t>—</t>
        </is>
      </c>
      <c r="P13" s="45" t="n">
        <v>48.2</v>
      </c>
      <c r="Q13" s="28" t="inlineStr">
        <is>
          <t>Speculative</t>
        </is>
      </c>
      <c r="R13" s="34" t="n">
        <v>0.0271027</v>
      </c>
      <c r="S13" s="34" t="n">
        <v>0.155098</v>
      </c>
      <c r="T13" s="34" t="n">
        <v>0.1308979</v>
      </c>
      <c r="U13" s="34" t="n">
        <v>0.3629323</v>
      </c>
      <c r="V13" s="34" t="n">
        <v>0.3396246</v>
      </c>
    </row>
    <row r="14" ht="16" customHeight="1">
      <c r="A14" s="32" t="n">
        <v>10</v>
      </c>
      <c r="B14" s="25" t="inlineStr">
        <is>
          <t>ROC</t>
        </is>
      </c>
      <c r="C14" s="26" t="inlineStr">
        <is>
          <t>Rank One Computing Corp.</t>
        </is>
      </c>
      <c r="D14" s="27" t="n">
        <v>79.8</v>
      </c>
      <c r="E14" s="39" t="n">
        <v>4.29</v>
      </c>
      <c r="F14" s="40" t="n">
        <v>0.927</v>
      </c>
      <c r="G14" s="40" t="n">
        <v>0</v>
      </c>
      <c r="H14" s="40" t="n">
        <v>0.897</v>
      </c>
      <c r="I14" s="40" t="n">
        <v>0.003</v>
      </c>
      <c r="J14" s="40" t="n">
        <v>0.718</v>
      </c>
      <c r="K14" s="41" t="n">
        <v>85</v>
      </c>
      <c r="L14" s="41" t="n">
        <v>47.3</v>
      </c>
      <c r="M14" s="42" t="n">
        <v>54.9</v>
      </c>
      <c r="N14" s="43" t="n">
        <v>77.8</v>
      </c>
      <c r="O14" s="44" t="inlineStr">
        <is>
          <t>—</t>
        </is>
      </c>
      <c r="P14" s="38" t="n">
        <v>6.1</v>
      </c>
      <c r="Q14" s="28" t="inlineStr">
        <is>
          <t>Speculative</t>
        </is>
      </c>
      <c r="R14" s="40" t="n">
        <v>-0.0272109</v>
      </c>
      <c r="S14" s="40" t="n">
        <v>-0.0793991</v>
      </c>
      <c r="T14" s="40" t="n">
        <v>-0.3254717</v>
      </c>
      <c r="U14" s="40" t="n">
        <v>-0.3035714</v>
      </c>
      <c r="V14" s="40" t="n">
        <v>-0.3035714</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INTT</t>
        </is>
      </c>
      <c r="B19" s="35" t="n">
        <v>51</v>
      </c>
      <c r="C19" s="35" t="n">
        <v>100</v>
      </c>
      <c r="D19" s="35" t="n">
        <v>100</v>
      </c>
      <c r="E19" s="35" t="n">
        <v>100</v>
      </c>
      <c r="F19" s="35" t="n">
        <v>100</v>
      </c>
    </row>
    <row r="20" ht="16" customHeight="1">
      <c r="A20" s="25" t="inlineStr">
        <is>
          <t>RELL</t>
        </is>
      </c>
      <c r="B20" s="41" t="n">
        <v>55.2</v>
      </c>
      <c r="C20" s="41" t="n">
        <v>78</v>
      </c>
      <c r="D20" s="41" t="n">
        <v>100</v>
      </c>
      <c r="E20" s="41" t="n">
        <v>100</v>
      </c>
      <c r="F20" s="41" t="n">
        <v>95.2</v>
      </c>
    </row>
    <row r="21" ht="16" customHeight="1">
      <c r="A21" s="19" t="inlineStr">
        <is>
          <t>RFIL</t>
        </is>
      </c>
      <c r="B21" s="35" t="n">
        <v>18.8</v>
      </c>
      <c r="C21" s="35" t="n">
        <v>87.8</v>
      </c>
      <c r="D21" s="35" t="n">
        <v>100</v>
      </c>
      <c r="E21" s="35" t="n">
        <v>100</v>
      </c>
      <c r="F21" s="35" t="n">
        <v>30</v>
      </c>
    </row>
    <row r="22" ht="16" customHeight="1">
      <c r="A22" s="25" t="inlineStr">
        <is>
          <t>LTRX</t>
        </is>
      </c>
      <c r="B22" s="41" t="n">
        <v>16</v>
      </c>
      <c r="C22" s="41" t="n">
        <v>100</v>
      </c>
      <c r="D22" s="41" t="n">
        <v>63.6</v>
      </c>
      <c r="E22" s="41" t="n">
        <v>100</v>
      </c>
      <c r="F22" s="41" t="n">
        <v>100</v>
      </c>
    </row>
    <row r="23" ht="16" customHeight="1">
      <c r="A23" s="19" t="inlineStr">
        <is>
          <t>OPXS</t>
        </is>
      </c>
      <c r="B23" s="35" t="n">
        <v>0</v>
      </c>
      <c r="C23" s="35" t="n">
        <v>85.5</v>
      </c>
      <c r="D23" s="35" t="n">
        <v>100</v>
      </c>
      <c r="E23" s="35" t="n">
        <v>100</v>
      </c>
      <c r="F23" s="35" t="n">
        <v>0</v>
      </c>
    </row>
    <row r="24" ht="16" customHeight="1">
      <c r="A24" s="25" t="inlineStr">
        <is>
          <t>BKTI</t>
        </is>
      </c>
      <c r="B24" s="41" t="n">
        <v>21.2</v>
      </c>
      <c r="C24" s="41" t="n">
        <v>100</v>
      </c>
      <c r="D24" s="41" t="n">
        <v>80.40000000000001</v>
      </c>
      <c r="E24" s="41" t="n">
        <v>100</v>
      </c>
      <c r="F24" s="41" t="n">
        <v>65.3</v>
      </c>
    </row>
    <row r="25" ht="16" customHeight="1">
      <c r="A25" s="19" t="inlineStr">
        <is>
          <t>ASYS</t>
        </is>
      </c>
      <c r="B25" s="35" t="n">
        <v>29</v>
      </c>
      <c r="C25" s="35" t="n">
        <v>100</v>
      </c>
      <c r="D25" s="35" t="n">
        <v>84</v>
      </c>
      <c r="E25" s="35" t="n">
        <v>100</v>
      </c>
      <c r="F25" s="35" t="n">
        <v>100</v>
      </c>
    </row>
    <row r="26" ht="16" customHeight="1">
      <c r="A26" s="25" t="inlineStr">
        <is>
          <t>KVHI</t>
        </is>
      </c>
      <c r="B26" s="41" t="n">
        <v>53.4</v>
      </c>
      <c r="C26" s="41" t="n">
        <v>75</v>
      </c>
      <c r="D26" s="41" t="n">
        <v>100</v>
      </c>
      <c r="E26" s="41" t="n">
        <v>100</v>
      </c>
      <c r="F26" s="41" t="n">
        <v>100</v>
      </c>
    </row>
    <row r="27" ht="16" customHeight="1">
      <c r="A27" s="19" t="inlineStr">
        <is>
          <t>ESP</t>
        </is>
      </c>
      <c r="B27" s="35" t="n">
        <v>21.8</v>
      </c>
      <c r="C27" s="35" t="n">
        <v>92.5</v>
      </c>
      <c r="D27" s="35" t="n">
        <v>67.59999999999999</v>
      </c>
      <c r="E27" s="35" t="n">
        <v>100</v>
      </c>
      <c r="F27" s="35" t="n">
        <v>15.2</v>
      </c>
    </row>
    <row r="28" ht="16" customHeight="1">
      <c r="A28" s="25" t="inlineStr">
        <is>
          <t>ROC</t>
        </is>
      </c>
      <c r="B28" s="41" t="n">
        <v>100</v>
      </c>
      <c r="C28" s="41" t="n">
        <v>100</v>
      </c>
      <c r="D28" s="41" t="n">
        <v>100</v>
      </c>
      <c r="E28" s="41" t="n">
        <v>100</v>
      </c>
      <c r="F28" s="41" t="n">
        <v>50</v>
      </c>
    </row>
    <row r="60">
      <c r="A60" t="inlineStr">
        <is>
          <t>Ticker</t>
        </is>
      </c>
      <c r="B60" t="inlineStr">
        <is>
          <t>Gross Margin</t>
        </is>
      </c>
      <c r="C60" t="inlineStr">
        <is>
          <t>Rev Growth</t>
        </is>
      </c>
      <c r="D60" t="inlineStr">
        <is>
          <t>Mkt Cap</t>
        </is>
      </c>
    </row>
    <row r="61">
      <c r="A61" t="inlineStr">
        <is>
          <t>INTT</t>
        </is>
      </c>
      <c r="B61" t="n">
        <v>40.5</v>
      </c>
      <c r="C61" t="n">
        <v>25.5</v>
      </c>
      <c r="D61" t="n">
        <v>146.3</v>
      </c>
    </row>
    <row r="62">
      <c r="A62" t="inlineStr">
        <is>
          <t>RELL</t>
        </is>
      </c>
      <c r="B62" t="n">
        <v>31.2</v>
      </c>
      <c r="C62" t="n">
        <v>27.6</v>
      </c>
      <c r="D62" t="n">
        <v>257.5</v>
      </c>
    </row>
    <row r="63">
      <c r="A63" t="inlineStr">
        <is>
          <t>RFIL</t>
        </is>
      </c>
      <c r="B63" t="n">
        <v>35.1</v>
      </c>
      <c r="C63" t="n">
        <v>9.4</v>
      </c>
      <c r="D63" t="n">
        <v>117.2</v>
      </c>
    </row>
    <row r="64">
      <c r="A64" t="inlineStr">
        <is>
          <t>LTRX</t>
        </is>
      </c>
      <c r="B64" t="n">
        <v>43.7</v>
      </c>
      <c r="C64" t="n">
        <v>8</v>
      </c>
      <c r="D64" t="n">
        <v>237.1</v>
      </c>
    </row>
    <row r="65">
      <c r="A65" t="inlineStr">
        <is>
          <t>OPXS</t>
        </is>
      </c>
      <c r="B65" t="n">
        <v>34.2</v>
      </c>
      <c r="C65" t="n">
        <v>-12.4</v>
      </c>
      <c r="D65" t="n">
        <v>71.59999999999999</v>
      </c>
    </row>
    <row r="66">
      <c r="A66" t="inlineStr">
        <is>
          <t>BKTI</t>
        </is>
      </c>
      <c r="B66" t="n">
        <v>51.9</v>
      </c>
      <c r="C66" t="n">
        <v>10.6</v>
      </c>
      <c r="D66" t="n">
        <v>273.9</v>
      </c>
    </row>
    <row r="67">
      <c r="A67" t="inlineStr">
        <is>
          <t>ASYS</t>
        </is>
      </c>
      <c r="B67" t="n">
        <v>50</v>
      </c>
      <c r="C67" t="n">
        <v>14.5</v>
      </c>
      <c r="D67" t="n">
        <v>269.4</v>
      </c>
    </row>
    <row r="68">
      <c r="A68" t="inlineStr">
        <is>
          <t>KVHI</t>
        </is>
      </c>
      <c r="B68" t="n">
        <v>30</v>
      </c>
      <c r="C68" t="n">
        <v>26.7</v>
      </c>
      <c r="D68" t="n">
        <v>138.8</v>
      </c>
    </row>
    <row r="69">
      <c r="A69" t="inlineStr">
        <is>
          <t>ESP</t>
        </is>
      </c>
      <c r="B69" t="n">
        <v>37</v>
      </c>
      <c r="C69" t="n">
        <v>10.9</v>
      </c>
      <c r="D69" t="n">
        <v>192.4</v>
      </c>
    </row>
    <row r="70">
      <c r="A70" t="inlineStr">
        <is>
          <t>ROC</t>
        </is>
      </c>
      <c r="B70" t="n">
        <v>89.7</v>
      </c>
      <c r="C70" t="n">
        <v>92.7</v>
      </c>
      <c r="D70" t="n">
        <v>79.8</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September 08,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SWBI</t>
        </is>
      </c>
      <c r="C5" s="20" t="inlineStr">
        <is>
          <t>Smith &amp; Wesson Brands, Inc.</t>
        </is>
      </c>
      <c r="D5" s="21" t="n">
        <v>588.2</v>
      </c>
      <c r="E5" s="33" t="n">
        <v>13.1613</v>
      </c>
      <c r="F5" s="34" t="n">
        <v>0.323</v>
      </c>
      <c r="G5" s="34" t="n">
        <v>0.36</v>
      </c>
      <c r="H5" s="34" t="n">
        <v>0.287</v>
      </c>
      <c r="I5" s="34" t="n">
        <v>-0.026</v>
      </c>
      <c r="J5" s="34" t="n">
        <v>0.033</v>
      </c>
      <c r="K5" s="35" t="n">
        <v>73.7</v>
      </c>
      <c r="L5" s="35" t="n">
        <v>85.40000000000001</v>
      </c>
      <c r="M5" s="36" t="n">
        <v>79.40000000000001</v>
      </c>
      <c r="N5" s="22" t="n">
        <v>61.4</v>
      </c>
      <c r="O5" s="37" t="inlineStr">
        <is>
          <t>—</t>
        </is>
      </c>
      <c r="P5" s="38" t="n">
        <v>31.8</v>
      </c>
      <c r="Q5" s="24" t="inlineStr">
        <is>
          <t>Medium-High</t>
        </is>
      </c>
      <c r="R5" s="34" t="n">
        <v>-0.0764</v>
      </c>
      <c r="S5" s="34" t="n">
        <v>-0.1028425</v>
      </c>
      <c r="T5" s="34" t="n">
        <v>-0.0592352</v>
      </c>
      <c r="U5" s="34" t="n">
        <v>0.333465</v>
      </c>
      <c r="V5" s="34" t="n">
        <v>0.4888348</v>
      </c>
    </row>
    <row r="6" ht="16" customHeight="1">
      <c r="A6" s="32" t="n">
        <v>2</v>
      </c>
      <c r="B6" s="25" t="inlineStr">
        <is>
          <t>PKE</t>
        </is>
      </c>
      <c r="C6" s="26" t="inlineStr">
        <is>
          <t>Park Aerospace Corp.</t>
        </is>
      </c>
      <c r="D6" s="27" t="n">
        <v>685.2</v>
      </c>
      <c r="E6" s="39" t="n">
        <v>31.42</v>
      </c>
      <c r="F6" s="40" t="n">
        <v>0.189</v>
      </c>
      <c r="G6" s="40" t="n">
        <v>0.08699999999999999</v>
      </c>
      <c r="H6" s="40" t="n">
        <v>0.348</v>
      </c>
      <c r="I6" s="40" t="n">
        <v>0.031</v>
      </c>
      <c r="J6" s="40" t="n">
        <v>0.081</v>
      </c>
      <c r="K6" s="41" t="n">
        <v>71.7</v>
      </c>
      <c r="L6" s="41" t="n">
        <v>85.40000000000001</v>
      </c>
      <c r="M6" s="42" t="n">
        <v>78.5</v>
      </c>
      <c r="N6" s="22" t="n">
        <v>57.8</v>
      </c>
      <c r="O6" s="44" t="inlineStr">
        <is>
          <t>—</t>
        </is>
      </c>
      <c r="P6" s="45" t="n">
        <v>40</v>
      </c>
      <c r="Q6" s="24" t="inlineStr">
        <is>
          <t>Medium-High</t>
        </is>
      </c>
      <c r="R6" s="40" t="n">
        <v>-0.1659145</v>
      </c>
      <c r="S6" s="40" t="n">
        <v>-0.015047</v>
      </c>
      <c r="T6" s="40" t="n">
        <v>0.1680297</v>
      </c>
      <c r="U6" s="40" t="n">
        <v>0.4723524</v>
      </c>
      <c r="V6" s="40" t="n">
        <v>0.6476141</v>
      </c>
    </row>
    <row r="7" ht="16" customHeight="1">
      <c r="A7" s="32" t="n">
        <v>3</v>
      </c>
      <c r="B7" s="19" t="inlineStr">
        <is>
          <t>EVLV</t>
        </is>
      </c>
      <c r="C7" s="20" t="inlineStr">
        <is>
          <t>Evolv Technologies Holdings, Inc.</t>
        </is>
      </c>
      <c r="D7" s="21" t="n">
        <v>912.8</v>
      </c>
      <c r="E7" s="33" t="n">
        <v>5.089</v>
      </c>
      <c r="F7" s="34" t="n">
        <v>0.344</v>
      </c>
      <c r="G7" s="34" t="n">
        <v>0.07000000000000001</v>
      </c>
      <c r="H7" s="34" t="n">
        <v>0.502</v>
      </c>
      <c r="I7" s="34" t="n">
        <v>0.199</v>
      </c>
      <c r="J7" s="34" t="n">
        <v>0.052</v>
      </c>
      <c r="K7" s="35" t="n">
        <v>66.59999999999999</v>
      </c>
      <c r="L7" s="35" t="n">
        <v>74</v>
      </c>
      <c r="M7" s="36" t="n">
        <v>72.09999999999999</v>
      </c>
      <c r="N7" s="22" t="n">
        <v>66.40000000000001</v>
      </c>
      <c r="O7" s="37" t="inlineStr">
        <is>
          <t>—</t>
        </is>
      </c>
      <c r="P7" s="38" t="n">
        <v>2.3</v>
      </c>
      <c r="Q7" s="23" t="inlineStr">
        <is>
          <t>Medium</t>
        </is>
      </c>
      <c r="R7" s="34" t="n">
        <v>-0.1703263</v>
      </c>
      <c r="S7" s="34" t="n">
        <v>-0.126134</v>
      </c>
      <c r="T7" s="34" t="n">
        <v>0.0011614173</v>
      </c>
      <c r="U7" s="34" t="n">
        <v>-0.2896788</v>
      </c>
      <c r="V7" s="34" t="n">
        <v>-0.3850181</v>
      </c>
    </row>
    <row r="8" ht="16" customHeight="1">
      <c r="A8" s="32" t="n">
        <v>4</v>
      </c>
      <c r="B8" s="25" t="inlineStr">
        <is>
          <t>GHM</t>
        </is>
      </c>
      <c r="C8" s="26" t="inlineStr">
        <is>
          <t>Graham Corporation</t>
        </is>
      </c>
      <c r="D8" s="27" t="n">
        <v>1046.6</v>
      </c>
      <c r="E8" s="39" t="n">
        <v>89.42</v>
      </c>
      <c r="F8" s="40" t="n">
        <v>0.286</v>
      </c>
      <c r="G8" s="40" t="n">
        <v>0.175</v>
      </c>
      <c r="H8" s="40" t="n">
        <v>0.25</v>
      </c>
      <c r="I8" s="40" t="n">
        <v>0.08400000000000001</v>
      </c>
      <c r="J8" s="40" t="n">
        <v>0.051</v>
      </c>
      <c r="K8" s="41" t="n">
        <v>68.7</v>
      </c>
      <c r="L8" s="41" t="n">
        <v>88.40000000000001</v>
      </c>
      <c r="M8" s="42" t="n">
        <v>70.8</v>
      </c>
      <c r="N8" s="22" t="n">
        <v>59.9</v>
      </c>
      <c r="O8" s="44" t="inlineStr">
        <is>
          <t>—</t>
        </is>
      </c>
      <c r="P8" s="45" t="n">
        <v>65.90000000000001</v>
      </c>
      <c r="Q8" s="23" t="inlineStr">
        <is>
          <t>Medium</t>
        </is>
      </c>
      <c r="R8" s="40" t="n">
        <v>-0.1993195</v>
      </c>
      <c r="S8" s="40" t="n">
        <v>-0.0620936</v>
      </c>
      <c r="T8" s="40" t="n">
        <v>0.09556480000000001</v>
      </c>
      <c r="U8" s="40" t="n">
        <v>0.3921843</v>
      </c>
      <c r="V8" s="40" t="n">
        <v>0.8711027</v>
      </c>
    </row>
    <row r="9" ht="16" customHeight="1">
      <c r="A9" s="32" t="n">
        <v>5</v>
      </c>
      <c r="B9" s="19" t="inlineStr">
        <is>
          <t>ADTN</t>
        </is>
      </c>
      <c r="C9" s="20" t="inlineStr">
        <is>
          <t>ADTRAN Holdings Inc.</t>
        </is>
      </c>
      <c r="D9" s="21" t="n">
        <v>608.1</v>
      </c>
      <c r="E9" s="33" t="n">
        <v>7.53</v>
      </c>
      <c r="F9" s="34" t="n">
        <v>0.061</v>
      </c>
      <c r="G9" s="34" t="n">
        <v>-0.112</v>
      </c>
      <c r="H9" s="34" t="n">
        <v>0.37</v>
      </c>
      <c r="I9" s="34" t="n">
        <v>0.029</v>
      </c>
      <c r="J9" s="34" t="n">
        <v>0.019</v>
      </c>
      <c r="K9" s="35" t="n">
        <v>48.3</v>
      </c>
      <c r="L9" s="35" t="n">
        <v>76.7</v>
      </c>
      <c r="M9" s="36" t="n">
        <v>70.5</v>
      </c>
      <c r="N9" s="22" t="n">
        <v>51.9</v>
      </c>
      <c r="O9" s="37" t="inlineStr">
        <is>
          <t>—</t>
        </is>
      </c>
      <c r="P9" s="38" t="n">
        <v>1.9</v>
      </c>
      <c r="Q9" s="23" t="inlineStr">
        <is>
          <t>Medium</t>
        </is>
      </c>
      <c r="R9" s="34" t="n">
        <v>-0.003968254</v>
      </c>
      <c r="S9" s="34" t="n">
        <v>-0.5299625</v>
      </c>
      <c r="T9" s="34" t="n">
        <v>-0.2148071</v>
      </c>
      <c r="U9" s="34" t="n">
        <v>-0.1334868</v>
      </c>
      <c r="V9" s="34" t="n">
        <v>-0.2617647</v>
      </c>
    </row>
    <row r="10" ht="16" customHeight="1">
      <c r="A10" s="32" t="n">
        <v>6</v>
      </c>
      <c r="B10" s="25" t="inlineStr">
        <is>
          <t>ARLO</t>
        </is>
      </c>
      <c r="C10" s="26" t="inlineStr">
        <is>
          <t>Arlo Technologies, Inc.</t>
        </is>
      </c>
      <c r="D10" s="27" t="n">
        <v>1512.9</v>
      </c>
      <c r="E10" s="39" t="n">
        <v>13.935</v>
      </c>
      <c r="F10" s="40" t="n">
        <v>0.205</v>
      </c>
      <c r="G10" s="40" t="n">
        <v>0.19</v>
      </c>
      <c r="H10" s="40" t="n">
        <v>0.482</v>
      </c>
      <c r="I10" s="40" t="n">
        <v>0.147</v>
      </c>
      <c r="J10" s="40" t="n">
        <v>0.03</v>
      </c>
      <c r="K10" s="41" t="n">
        <v>63.7</v>
      </c>
      <c r="L10" s="41" t="n">
        <v>73.2</v>
      </c>
      <c r="M10" s="42" t="n">
        <v>69.59999999999999</v>
      </c>
      <c r="N10" s="22" t="n">
        <v>58.7</v>
      </c>
      <c r="O10" s="44" t="inlineStr">
        <is>
          <t>—</t>
        </is>
      </c>
      <c r="P10" s="38" t="n">
        <v>13.3</v>
      </c>
      <c r="Q10" s="23" t="inlineStr">
        <is>
          <t>Medium</t>
        </is>
      </c>
      <c r="R10" s="40" t="n">
        <v>-0.08502950000000001</v>
      </c>
      <c r="S10" s="40" t="n">
        <v>0.09984209999999999</v>
      </c>
      <c r="T10" s="40" t="n">
        <v>0.0025179856</v>
      </c>
      <c r="U10" s="40" t="n">
        <v>-0.0039313796</v>
      </c>
      <c r="V10" s="40" t="n">
        <v>-0.2296849</v>
      </c>
    </row>
    <row r="11" ht="16" customHeight="1">
      <c r="A11" s="32" t="n">
        <v>7</v>
      </c>
      <c r="B11" s="19" t="inlineStr">
        <is>
          <t>TRC</t>
        </is>
      </c>
      <c r="C11" s="20" t="inlineStr">
        <is>
          <t>Tejon Ranch Co.</t>
        </is>
      </c>
      <c r="D11" s="21" t="n">
        <v>446.5</v>
      </c>
      <c r="E11" s="33" t="n">
        <v>16.5237</v>
      </c>
      <c r="F11" s="34" t="n">
        <v>0.7170000000000001</v>
      </c>
      <c r="G11" s="34" t="n">
        <v>0.257</v>
      </c>
      <c r="H11" s="34" t="n">
        <v>0.224</v>
      </c>
      <c r="I11" s="34" t="n">
        <v>-0.014</v>
      </c>
      <c r="J11" s="34" t="n">
        <v>0.081</v>
      </c>
      <c r="K11" s="35" t="n">
        <v>88.40000000000001</v>
      </c>
      <c r="L11" s="35" t="n">
        <v>69.40000000000001</v>
      </c>
      <c r="M11" s="36" t="n">
        <v>69.3</v>
      </c>
      <c r="N11" s="22" t="n">
        <v>68.90000000000001</v>
      </c>
      <c r="O11" s="37" t="inlineStr">
        <is>
          <t>—</t>
        </is>
      </c>
      <c r="P11" s="38" t="n">
        <v>7.5</v>
      </c>
      <c r="Q11" s="23" t="inlineStr">
        <is>
          <t>Medium</t>
        </is>
      </c>
      <c r="R11" s="34" t="n">
        <v>-0.009964050300000001</v>
      </c>
      <c r="S11" s="34" t="n">
        <v>-0.1380438</v>
      </c>
      <c r="T11" s="34" t="n">
        <v>-0.0779185</v>
      </c>
      <c r="U11" s="34" t="n">
        <v>0.0477933</v>
      </c>
      <c r="V11" s="34" t="n">
        <v>-0.0251504</v>
      </c>
    </row>
    <row r="12" ht="16" customHeight="1">
      <c r="A12" s="32" t="n">
        <v>8</v>
      </c>
      <c r="B12" s="25" t="inlineStr">
        <is>
          <t>INOD</t>
        </is>
      </c>
      <c r="C12" s="26" t="inlineStr">
        <is>
          <t>Innodata Inc.</t>
        </is>
      </c>
      <c r="D12" s="27" t="n">
        <v>1822.2</v>
      </c>
      <c r="E12" s="39" t="n">
        <v>55.93</v>
      </c>
      <c r="F12" s="40" t="n">
        <v>0.578</v>
      </c>
      <c r="G12" s="40" t="n">
        <v>-0.216</v>
      </c>
      <c r="H12" s="40" t="n">
        <v>0.461</v>
      </c>
      <c r="I12" s="40" t="n">
        <v>0.176</v>
      </c>
      <c r="J12" s="40" t="n">
        <v>0.051</v>
      </c>
      <c r="K12" s="41" t="n">
        <v>67.59999999999999</v>
      </c>
      <c r="L12" s="41" t="n">
        <v>70.40000000000001</v>
      </c>
      <c r="M12" s="42" t="n">
        <v>68.2</v>
      </c>
      <c r="N12" s="22" t="n">
        <v>61.7</v>
      </c>
      <c r="O12" s="44" t="inlineStr">
        <is>
          <t>—</t>
        </is>
      </c>
      <c r="P12" s="38" t="n">
        <v>22.8</v>
      </c>
      <c r="Q12" s="23" t="inlineStr">
        <is>
          <t>Medium</t>
        </is>
      </c>
      <c r="R12" s="40" t="n">
        <v>-0.1026793</v>
      </c>
      <c r="S12" s="40" t="n">
        <v>-0.4558809</v>
      </c>
      <c r="T12" s="40" t="n">
        <v>0.2387597</v>
      </c>
      <c r="U12" s="40" t="n">
        <v>0.09774290000000001</v>
      </c>
      <c r="V12" s="40" t="n">
        <v>0.1720453</v>
      </c>
    </row>
    <row r="13" ht="16" customHeight="1">
      <c r="A13" s="32" t="n">
        <v>9</v>
      </c>
      <c r="B13" s="19" t="inlineStr">
        <is>
          <t>CDRE</t>
        </is>
      </c>
      <c r="C13" s="20" t="inlineStr">
        <is>
          <t>Cadre Holdings, Inc.</t>
        </is>
      </c>
      <c r="D13" s="21" t="n">
        <v>1279.2</v>
      </c>
      <c r="E13" s="33" t="n">
        <v>29.925</v>
      </c>
      <c r="F13" s="34" t="n">
        <v>0.318</v>
      </c>
      <c r="G13" s="34" t="n">
        <v>0.229</v>
      </c>
      <c r="H13" s="34" t="n">
        <v>0.421</v>
      </c>
      <c r="I13" s="34" t="n">
        <v>0.139</v>
      </c>
      <c r="J13" s="34" t="n">
        <v>0.343</v>
      </c>
      <c r="K13" s="35" t="n">
        <v>82</v>
      </c>
      <c r="L13" s="35" t="n">
        <v>67.3</v>
      </c>
      <c r="M13" s="36" t="n">
        <v>67</v>
      </c>
      <c r="N13" s="22" t="n">
        <v>66.2</v>
      </c>
      <c r="O13" s="37" t="inlineStr">
        <is>
          <t>—</t>
        </is>
      </c>
      <c r="P13" s="38" t="n">
        <v>8</v>
      </c>
      <c r="Q13" s="23" t="inlineStr">
        <is>
          <t>Medium</t>
        </is>
      </c>
      <c r="R13" s="34" t="n">
        <v>-0.08820840000000001</v>
      </c>
      <c r="S13" s="34" t="n">
        <v>-0.0081206497</v>
      </c>
      <c r="T13" s="34" t="n">
        <v>-0.3122271</v>
      </c>
      <c r="U13" s="34" t="n">
        <v>-0.2672625</v>
      </c>
      <c r="V13" s="34" t="n">
        <v>-0.0610292</v>
      </c>
    </row>
    <row r="14" ht="16" customHeight="1">
      <c r="A14" s="32" t="n">
        <v>10</v>
      </c>
      <c r="B14" s="25" t="inlineStr">
        <is>
          <t>SHLS</t>
        </is>
      </c>
      <c r="C14" s="26" t="inlineStr">
        <is>
          <t>Shoals Technologies Group, Inc.</t>
        </is>
      </c>
      <c r="D14" s="27" t="n">
        <v>1262.7</v>
      </c>
      <c r="E14" s="39" t="n">
        <v>7.535</v>
      </c>
      <c r="F14" s="40" t="n">
        <v>0.474</v>
      </c>
      <c r="G14" s="40" t="n">
        <v>0.357</v>
      </c>
      <c r="H14" s="40" t="n">
        <v>0.303</v>
      </c>
      <c r="I14" s="40" t="n">
        <v>-0.011</v>
      </c>
      <c r="J14" s="40" t="n">
        <v>0.006</v>
      </c>
      <c r="K14" s="41" t="n">
        <v>79.5</v>
      </c>
      <c r="L14" s="41" t="n">
        <v>73.5</v>
      </c>
      <c r="M14" s="42" t="n">
        <v>66.40000000000001</v>
      </c>
      <c r="N14" s="41" t="n">
        <v>45</v>
      </c>
      <c r="O14" s="44" t="inlineStr">
        <is>
          <t>—</t>
        </is>
      </c>
      <c r="P14" s="38" t="n">
        <v>13.5</v>
      </c>
      <c r="Q14" s="23" t="inlineStr">
        <is>
          <t>Medium</t>
        </is>
      </c>
      <c r="R14" s="40" t="n">
        <v>-0.156215</v>
      </c>
      <c r="S14" s="40" t="n">
        <v>-0.3074449</v>
      </c>
      <c r="T14" s="40" t="n">
        <v>0.3196147</v>
      </c>
      <c r="U14" s="40" t="n">
        <v>-0.1135294</v>
      </c>
      <c r="V14" s="40" t="n">
        <v>0.0553221</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SWBI</t>
        </is>
      </c>
      <c r="B19" s="35" t="n">
        <v>64.59999999999999</v>
      </c>
      <c r="C19" s="35" t="n">
        <v>71.8</v>
      </c>
      <c r="D19" s="35" t="n">
        <v>100</v>
      </c>
      <c r="E19" s="35" t="n">
        <v>33</v>
      </c>
      <c r="F19" s="35" t="n">
        <v>100</v>
      </c>
    </row>
    <row r="20" ht="16" customHeight="1">
      <c r="A20" s="25" t="inlineStr">
        <is>
          <t>PKE</t>
        </is>
      </c>
      <c r="B20" s="41" t="n">
        <v>37.8</v>
      </c>
      <c r="C20" s="41" t="n">
        <v>87</v>
      </c>
      <c r="D20" s="41" t="n">
        <v>100</v>
      </c>
      <c r="E20" s="41" t="n">
        <v>81</v>
      </c>
      <c r="F20" s="41" t="n">
        <v>71.8</v>
      </c>
    </row>
    <row r="21" ht="16" customHeight="1">
      <c r="A21" s="19" t="inlineStr">
        <is>
          <t>EVLV</t>
        </is>
      </c>
      <c r="B21" s="35" t="n">
        <v>68.8</v>
      </c>
      <c r="C21" s="35" t="n">
        <v>100</v>
      </c>
      <c r="D21" s="35" t="n">
        <v>40.4</v>
      </c>
      <c r="E21" s="35" t="n">
        <v>52</v>
      </c>
      <c r="F21" s="35" t="n">
        <v>67.5</v>
      </c>
    </row>
    <row r="22" ht="16" customHeight="1">
      <c r="A22" s="25" t="inlineStr">
        <is>
          <t>GHM</t>
        </is>
      </c>
      <c r="B22" s="41" t="n">
        <v>57.2</v>
      </c>
      <c r="C22" s="41" t="n">
        <v>62.5</v>
      </c>
      <c r="D22" s="41" t="n">
        <v>86.40000000000001</v>
      </c>
      <c r="E22" s="41" t="n">
        <v>51</v>
      </c>
      <c r="F22" s="41" t="n">
        <v>93.8</v>
      </c>
    </row>
    <row r="23" ht="16" customHeight="1">
      <c r="A23" s="19" t="inlineStr">
        <is>
          <t>ADTN</t>
        </is>
      </c>
      <c r="B23" s="35" t="n">
        <v>12.2</v>
      </c>
      <c r="C23" s="35" t="n">
        <v>92.5</v>
      </c>
      <c r="D23" s="35" t="n">
        <v>100</v>
      </c>
      <c r="E23" s="35" t="n">
        <v>19</v>
      </c>
      <c r="F23" s="35" t="n">
        <v>22</v>
      </c>
    </row>
    <row r="24" ht="16" customHeight="1">
      <c r="A24" s="25" t="inlineStr">
        <is>
          <t>ARLO</t>
        </is>
      </c>
      <c r="B24" s="41" t="n">
        <v>41</v>
      </c>
      <c r="C24" s="41" t="n">
        <v>100</v>
      </c>
      <c r="D24" s="41" t="n">
        <v>61.2</v>
      </c>
      <c r="E24" s="41" t="n">
        <v>30</v>
      </c>
      <c r="F24" s="41" t="n">
        <v>97.5</v>
      </c>
    </row>
    <row r="25" ht="16" customHeight="1">
      <c r="A25" s="19" t="inlineStr">
        <is>
          <t>TRC</t>
        </is>
      </c>
      <c r="B25" s="35" t="n">
        <v>100</v>
      </c>
      <c r="C25" s="35" t="n">
        <v>56</v>
      </c>
      <c r="D25" s="35" t="n">
        <v>100</v>
      </c>
      <c r="E25" s="35" t="n">
        <v>81</v>
      </c>
      <c r="F25" s="35" t="n">
        <v>100</v>
      </c>
    </row>
    <row r="26" ht="16" customHeight="1">
      <c r="A26" s="25" t="inlineStr">
        <is>
          <t>INOD</t>
        </is>
      </c>
      <c r="B26" s="41" t="n">
        <v>100</v>
      </c>
      <c r="C26" s="41" t="n">
        <v>100</v>
      </c>
      <c r="D26" s="41" t="n">
        <v>49.6</v>
      </c>
      <c r="E26" s="41" t="n">
        <v>51</v>
      </c>
      <c r="F26" s="41" t="n">
        <v>0</v>
      </c>
    </row>
    <row r="27" ht="16" customHeight="1">
      <c r="A27" s="19" t="inlineStr">
        <is>
          <t>CDRE</t>
        </is>
      </c>
      <c r="B27" s="35" t="n">
        <v>63.6</v>
      </c>
      <c r="C27" s="35" t="n">
        <v>100</v>
      </c>
      <c r="D27" s="35" t="n">
        <v>64.40000000000001</v>
      </c>
      <c r="E27" s="35" t="n">
        <v>100</v>
      </c>
      <c r="F27" s="35" t="n">
        <v>100</v>
      </c>
    </row>
    <row r="28" ht="16" customHeight="1">
      <c r="A28" s="25" t="inlineStr">
        <is>
          <t>SHLS</t>
        </is>
      </c>
      <c r="B28" s="41" t="n">
        <v>94.8</v>
      </c>
      <c r="C28" s="41" t="n">
        <v>75.8</v>
      </c>
      <c r="D28" s="41" t="n">
        <v>100</v>
      </c>
      <c r="E28" s="41" t="n">
        <v>6</v>
      </c>
      <c r="F28" s="41" t="n">
        <v>100</v>
      </c>
    </row>
    <row r="60">
      <c r="A60" t="inlineStr">
        <is>
          <t>Ticker</t>
        </is>
      </c>
      <c r="B60" t="inlineStr">
        <is>
          <t>Gross Margin</t>
        </is>
      </c>
      <c r="C60" t="inlineStr">
        <is>
          <t>Rev Growth</t>
        </is>
      </c>
      <c r="D60" t="inlineStr">
        <is>
          <t>Mkt Cap</t>
        </is>
      </c>
    </row>
    <row r="61">
      <c r="A61" t="inlineStr">
        <is>
          <t>SWBI</t>
        </is>
      </c>
      <c r="B61" t="n">
        <v>28.7</v>
      </c>
      <c r="C61" t="n">
        <v>32.3</v>
      </c>
      <c r="D61" t="n">
        <v>588.2</v>
      </c>
    </row>
    <row r="62">
      <c r="A62" t="inlineStr">
        <is>
          <t>PKE</t>
        </is>
      </c>
      <c r="B62" t="n">
        <v>34.8</v>
      </c>
      <c r="C62" t="n">
        <v>18.9</v>
      </c>
      <c r="D62" t="n">
        <v>685.2</v>
      </c>
    </row>
    <row r="63">
      <c r="A63" t="inlineStr">
        <is>
          <t>EVLV</t>
        </is>
      </c>
      <c r="B63" t="n">
        <v>50.2</v>
      </c>
      <c r="C63" t="n">
        <v>34.4</v>
      </c>
      <c r="D63" t="n">
        <v>912.8</v>
      </c>
    </row>
    <row r="64">
      <c r="A64" t="inlineStr">
        <is>
          <t>GHM</t>
        </is>
      </c>
      <c r="B64" t="n">
        <v>25</v>
      </c>
      <c r="C64" t="n">
        <v>28.6</v>
      </c>
      <c r="D64" t="n">
        <v>1046.6</v>
      </c>
    </row>
    <row r="65">
      <c r="A65" t="inlineStr">
        <is>
          <t>ADTN</t>
        </is>
      </c>
      <c r="B65" t="n">
        <v>37</v>
      </c>
      <c r="C65" t="n">
        <v>6.1</v>
      </c>
      <c r="D65" t="n">
        <v>608.1</v>
      </c>
    </row>
    <row r="66">
      <c r="A66" t="inlineStr">
        <is>
          <t>ARLO</t>
        </is>
      </c>
      <c r="B66" t="n">
        <v>48.2</v>
      </c>
      <c r="C66" t="n">
        <v>20.5</v>
      </c>
      <c r="D66" t="n">
        <v>1512.9</v>
      </c>
    </row>
    <row r="67">
      <c r="A67" t="inlineStr">
        <is>
          <t>TRC</t>
        </is>
      </c>
      <c r="B67" t="n">
        <v>22.4</v>
      </c>
      <c r="C67" t="n">
        <v>71.7</v>
      </c>
      <c r="D67" t="n">
        <v>446.5</v>
      </c>
    </row>
    <row r="68">
      <c r="A68" t="inlineStr">
        <is>
          <t>INOD</t>
        </is>
      </c>
      <c r="B68" t="n">
        <v>46.1</v>
      </c>
      <c r="C68" t="n">
        <v>57.8</v>
      </c>
      <c r="D68" t="n">
        <v>1822.2</v>
      </c>
    </row>
    <row r="69">
      <c r="A69" t="inlineStr">
        <is>
          <t>CDRE</t>
        </is>
      </c>
      <c r="B69" t="n">
        <v>42.1</v>
      </c>
      <c r="C69" t="n">
        <v>31.8</v>
      </c>
      <c r="D69" t="n">
        <v>1279.2</v>
      </c>
    </row>
    <row r="70">
      <c r="A70" t="inlineStr">
        <is>
          <t>SHLS</t>
        </is>
      </c>
      <c r="B70" t="n">
        <v>30.3</v>
      </c>
      <c r="C70" t="n">
        <v>47.4</v>
      </c>
      <c r="D70" t="n">
        <v>1262.7</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September 08,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CALX</t>
        </is>
      </c>
      <c r="C5" s="20" t="inlineStr">
        <is>
          <t>Calix, Inc.</t>
        </is>
      </c>
      <c r="D5" s="21" t="n">
        <v>2219.5</v>
      </c>
      <c r="E5" s="33" t="n">
        <v>35.285</v>
      </c>
      <c r="F5" s="34" t="n">
        <v>0.213</v>
      </c>
      <c r="G5" s="34" t="n">
        <v>-0.008</v>
      </c>
      <c r="H5" s="34" t="n">
        <v>0.546</v>
      </c>
      <c r="I5" s="34" t="n">
        <v>-0.042</v>
      </c>
      <c r="J5" s="34" t="n">
        <v>0.095</v>
      </c>
      <c r="K5" s="35" t="n">
        <v>74.2</v>
      </c>
      <c r="L5" s="35" t="n">
        <v>83.90000000000001</v>
      </c>
      <c r="M5" s="36" t="n">
        <v>77.5</v>
      </c>
      <c r="N5" s="22" t="n">
        <v>58.3</v>
      </c>
      <c r="O5" s="37" t="inlineStr">
        <is>
          <t>—</t>
        </is>
      </c>
      <c r="P5" s="38" t="n">
        <v>1.3</v>
      </c>
      <c r="Q5" s="24" t="inlineStr">
        <is>
          <t>Medium-High</t>
        </is>
      </c>
      <c r="R5" s="34" t="n">
        <v>-0.0709584</v>
      </c>
      <c r="S5" s="34" t="n">
        <v>-0.0535139</v>
      </c>
      <c r="T5" s="34" t="n">
        <v>-0.3008718</v>
      </c>
      <c r="U5" s="34" t="n">
        <v>-0.3333648</v>
      </c>
      <c r="V5" s="34" t="n">
        <v>-0.4225041</v>
      </c>
    </row>
    <row r="6" ht="16" customHeight="1">
      <c r="A6" s="32" t="n">
        <v>2</v>
      </c>
      <c r="B6" s="25" t="inlineStr">
        <is>
          <t>ADEA</t>
        </is>
      </c>
      <c r="C6" s="26" t="inlineStr">
        <is>
          <t>Adeia Inc.</t>
        </is>
      </c>
      <c r="D6" s="27" t="n">
        <v>2998.6</v>
      </c>
      <c r="E6" s="39" t="n">
        <v>27.1999</v>
      </c>
      <c r="F6" s="40" t="n">
        <v>0.121</v>
      </c>
      <c r="G6" s="40" t="n">
        <v>0.139</v>
      </c>
      <c r="H6" s="40" t="n">
        <v>0.264</v>
      </c>
      <c r="I6" s="40" t="n">
        <v>0.031</v>
      </c>
      <c r="J6" s="40" t="n">
        <v>0.024</v>
      </c>
      <c r="K6" s="41" t="n">
        <v>56.8</v>
      </c>
      <c r="L6" s="41" t="n">
        <v>79.5</v>
      </c>
      <c r="M6" s="42" t="n">
        <v>73.40000000000001</v>
      </c>
      <c r="N6" s="43" t="n">
        <v>72.3</v>
      </c>
      <c r="O6" s="44" t="inlineStr">
        <is>
          <t>—</t>
        </is>
      </c>
      <c r="P6" s="45" t="n">
        <v>51.1</v>
      </c>
      <c r="Q6" s="23" t="inlineStr">
        <is>
          <t>Medium</t>
        </is>
      </c>
      <c r="R6" s="40" t="n">
        <v>-0.0364896</v>
      </c>
      <c r="S6" s="40" t="n">
        <v>-0.1378796</v>
      </c>
      <c r="T6" s="40" t="n">
        <v>0.3688928</v>
      </c>
      <c r="U6" s="40" t="n">
        <v>0.5768058</v>
      </c>
      <c r="V6" s="40" t="n">
        <v>0.7696747</v>
      </c>
    </row>
    <row r="7" ht="16" customHeight="1">
      <c r="A7" s="32" t="n">
        <v>3</v>
      </c>
      <c r="B7" s="19" t="inlineStr">
        <is>
          <t>DCI</t>
        </is>
      </c>
      <c r="C7" s="20" t="inlineStr">
        <is>
          <t>Donaldson Company, Inc.</t>
        </is>
      </c>
      <c r="D7" s="21" t="n">
        <v>10618.6</v>
      </c>
      <c r="E7" s="33" t="n">
        <v>91.61</v>
      </c>
      <c r="F7" s="34" t="n">
        <v>0.08</v>
      </c>
      <c r="G7" s="34" t="n">
        <v>0.032</v>
      </c>
      <c r="H7" s="34" t="n">
        <v>0.363</v>
      </c>
      <c r="I7" s="34" t="n">
        <v>-0.042</v>
      </c>
      <c r="J7" s="34" t="n">
        <v>0.006999999999999999</v>
      </c>
      <c r="K7" s="35" t="n">
        <v>52.7</v>
      </c>
      <c r="L7" s="35" t="n">
        <v>79.40000000000001</v>
      </c>
      <c r="M7" s="36" t="n">
        <v>73.09999999999999</v>
      </c>
      <c r="N7" s="22" t="n">
        <v>54</v>
      </c>
      <c r="O7" s="37" t="inlineStr">
        <is>
          <t>—</t>
        </is>
      </c>
      <c r="P7" s="38" t="n">
        <v>20.7</v>
      </c>
      <c r="Q7" s="23" t="inlineStr">
        <is>
          <t>Medium</t>
        </is>
      </c>
      <c r="R7" s="34" t="n">
        <v>-0.0709867</v>
      </c>
      <c r="S7" s="34" t="n">
        <v>0.09085499999999999</v>
      </c>
      <c r="T7" s="34" t="n">
        <v>0.032458</v>
      </c>
      <c r="U7" s="34" t="n">
        <v>0.0332732</v>
      </c>
      <c r="V7" s="34" t="n">
        <v>0.1276465</v>
      </c>
    </row>
    <row r="8" ht="16" customHeight="1">
      <c r="A8" s="32" t="n">
        <v>4</v>
      </c>
      <c r="B8" s="25" t="inlineStr">
        <is>
          <t>CACI</t>
        </is>
      </c>
      <c r="C8" s="26" t="inlineStr">
        <is>
          <t>CACI International Inc</t>
        </is>
      </c>
      <c r="D8" s="27" t="n">
        <v>13629.7</v>
      </c>
      <c r="E8" s="39" t="n">
        <v>616.9</v>
      </c>
      <c r="F8" s="40" t="n">
        <v>0.176</v>
      </c>
      <c r="G8" s="40" t="n">
        <v>0.046</v>
      </c>
      <c r="H8" s="40" t="n">
        <v>0.337</v>
      </c>
      <c r="I8" s="40" t="n">
        <v>-0.024</v>
      </c>
      <c r="J8" s="40" t="n">
        <v>0.011</v>
      </c>
      <c r="K8" s="41" t="n">
        <v>58.3</v>
      </c>
      <c r="L8" s="41" t="n">
        <v>79.59999999999999</v>
      </c>
      <c r="M8" s="42" t="n">
        <v>71.59999999999999</v>
      </c>
      <c r="N8" s="22" t="n">
        <v>58</v>
      </c>
      <c r="O8" s="44" t="inlineStr">
        <is>
          <t>—</t>
        </is>
      </c>
      <c r="P8" s="45" t="n">
        <v>46.9</v>
      </c>
      <c r="Q8" s="23" t="inlineStr">
        <is>
          <t>Medium</t>
        </is>
      </c>
      <c r="R8" s="40" t="n">
        <v>-0.0427199</v>
      </c>
      <c r="S8" s="40" t="n">
        <v>0.1883114</v>
      </c>
      <c r="T8" s="40" t="n">
        <v>0.001461039</v>
      </c>
      <c r="U8" s="40" t="n">
        <v>0.1578236</v>
      </c>
      <c r="V8" s="40" t="n">
        <v>0.301367</v>
      </c>
    </row>
    <row r="9" ht="16" customHeight="1">
      <c r="A9" s="32" t="n">
        <v>5</v>
      </c>
      <c r="B9" s="19" t="inlineStr">
        <is>
          <t>MRCY</t>
        </is>
      </c>
      <c r="C9" s="20" t="inlineStr">
        <is>
          <t>Mercury Systems, Inc.</t>
        </is>
      </c>
      <c r="D9" s="21" t="n">
        <v>5093.4</v>
      </c>
      <c r="E9" s="33" t="n">
        <v>84.825</v>
      </c>
      <c r="F9" s="34" t="n">
        <v>0.061</v>
      </c>
      <c r="G9" s="34" t="n">
        <v>-0.038</v>
      </c>
      <c r="H9" s="34" t="n">
        <v>0.273</v>
      </c>
      <c r="I9" s="34" t="n">
        <v>0.043</v>
      </c>
      <c r="J9" s="34" t="n">
        <v>0.075</v>
      </c>
      <c r="K9" s="35" t="n">
        <v>54.6</v>
      </c>
      <c r="L9" s="35" t="n">
        <v>71.2</v>
      </c>
      <c r="M9" s="36" t="n">
        <v>69.8</v>
      </c>
      <c r="N9" s="22" t="n">
        <v>65.59999999999999</v>
      </c>
      <c r="O9" s="37" t="inlineStr">
        <is>
          <t>—</t>
        </is>
      </c>
      <c r="P9" s="38" t="n">
        <v>27</v>
      </c>
      <c r="Q9" s="23" t="inlineStr">
        <is>
          <t>Medium</t>
        </is>
      </c>
      <c r="R9" s="34" t="n">
        <v>-0.2192102</v>
      </c>
      <c r="S9" s="34" t="n">
        <v>-0.2353975</v>
      </c>
      <c r="T9" s="34" t="n">
        <v>-0.0184564</v>
      </c>
      <c r="U9" s="34" t="n">
        <v>0.1618271</v>
      </c>
      <c r="V9" s="34" t="n">
        <v>0.2350757</v>
      </c>
    </row>
    <row r="10" ht="16" customHeight="1">
      <c r="A10" s="32" t="n">
        <v>6</v>
      </c>
      <c r="B10" s="25" t="inlineStr">
        <is>
          <t>BRC</t>
        </is>
      </c>
      <c r="C10" s="26" t="inlineStr">
        <is>
          <t>Brady Corporation</t>
        </is>
      </c>
      <c r="D10" s="27" t="n">
        <v>4139.7</v>
      </c>
      <c r="E10" s="39" t="n">
        <v>87.88</v>
      </c>
      <c r="F10" s="40" t="n">
        <v>0.1</v>
      </c>
      <c r="G10" s="40" t="n">
        <v>-0.057</v>
      </c>
      <c r="H10" s="40" t="n">
        <v>0.529</v>
      </c>
      <c r="I10" s="40" t="n">
        <v>-0.025</v>
      </c>
      <c r="J10" s="40" t="n">
        <v>0.1</v>
      </c>
      <c r="K10" s="41" t="n">
        <v>66.40000000000001</v>
      </c>
      <c r="L10" s="41" t="n">
        <v>75.2</v>
      </c>
      <c r="M10" s="42" t="n">
        <v>69.7</v>
      </c>
      <c r="N10" s="22" t="n">
        <v>53.1</v>
      </c>
      <c r="O10" s="44" t="inlineStr">
        <is>
          <t>—</t>
        </is>
      </c>
      <c r="P10" s="38" t="n">
        <v>31.9</v>
      </c>
      <c r="Q10" s="23" t="inlineStr">
        <is>
          <t>Medium</t>
        </is>
      </c>
      <c r="R10" s="40" t="n">
        <v>-0.0942074</v>
      </c>
      <c r="S10" s="40" t="n">
        <v>0.1673751</v>
      </c>
      <c r="T10" s="40" t="n">
        <v>-0.0183199</v>
      </c>
      <c r="U10" s="40" t="n">
        <v>0.1213475</v>
      </c>
      <c r="V10" s="40" t="n">
        <v>0.0930348</v>
      </c>
    </row>
    <row r="11" ht="16" customHeight="1">
      <c r="A11" s="32" t="n">
        <v>7</v>
      </c>
      <c r="B11" s="19" t="inlineStr">
        <is>
          <t>CE</t>
        </is>
      </c>
      <c r="C11" s="20" t="inlineStr">
        <is>
          <t>Celanese Corporation</t>
        </is>
      </c>
      <c r="D11" s="21" t="n">
        <v>4874</v>
      </c>
      <c r="E11" s="33" t="n">
        <v>44.51</v>
      </c>
      <c r="F11" s="34" t="n">
        <v>0.08699999999999999</v>
      </c>
      <c r="G11" s="34" t="n">
        <v>0.132</v>
      </c>
      <c r="H11" s="34" t="n">
        <v>0.225</v>
      </c>
      <c r="I11" s="34" t="n">
        <v>0.008</v>
      </c>
      <c r="J11" s="34" t="n">
        <v>0.06900000000000001</v>
      </c>
      <c r="K11" s="35" t="n">
        <v>59.3</v>
      </c>
      <c r="L11" s="35" t="n">
        <v>73.5</v>
      </c>
      <c r="M11" s="36" t="n">
        <v>69.5</v>
      </c>
      <c r="N11" s="22" t="n">
        <v>57.7</v>
      </c>
      <c r="O11" s="37" t="inlineStr">
        <is>
          <t>—</t>
        </is>
      </c>
      <c r="P11" s="38" t="n">
        <v>12.8</v>
      </c>
      <c r="Q11" s="23" t="inlineStr">
        <is>
          <t>Medium</t>
        </is>
      </c>
      <c r="R11" s="34" t="n">
        <v>0.0141262</v>
      </c>
      <c r="S11" s="34" t="n">
        <v>-0.0931133</v>
      </c>
      <c r="T11" s="34" t="n">
        <v>-0.0975264</v>
      </c>
      <c r="U11" s="34" t="n">
        <v>0.05274359999999999</v>
      </c>
      <c r="V11" s="34" t="n">
        <v>-0.04320719999999999</v>
      </c>
    </row>
    <row r="12" ht="16" customHeight="1">
      <c r="A12" s="32" t="n">
        <v>8</v>
      </c>
      <c r="B12" s="25" t="inlineStr">
        <is>
          <t>LYFT</t>
        </is>
      </c>
      <c r="C12" s="26" t="inlineStr">
        <is>
          <t>Lyft, Inc.</t>
        </is>
      </c>
      <c r="D12" s="27" t="n">
        <v>6122.4</v>
      </c>
      <c r="E12" s="39" t="n">
        <v>16.14</v>
      </c>
      <c r="F12" s="40" t="n">
        <v>0.161</v>
      </c>
      <c r="G12" s="40" t="n">
        <v>0.055</v>
      </c>
      <c r="H12" s="40" t="n">
        <v>0.4970000000000001</v>
      </c>
      <c r="I12" s="40" t="n">
        <v>-0.023</v>
      </c>
      <c r="J12" s="40" t="n">
        <v>0.101</v>
      </c>
      <c r="K12" s="41" t="n">
        <v>74.2</v>
      </c>
      <c r="L12" s="41" t="n">
        <v>77.59999999999999</v>
      </c>
      <c r="M12" s="42" t="n">
        <v>69</v>
      </c>
      <c r="N12" s="41" t="n">
        <v>43.1</v>
      </c>
      <c r="O12" s="44" t="inlineStr">
        <is>
          <t>—</t>
        </is>
      </c>
      <c r="P12" s="38" t="n">
        <v>12.3</v>
      </c>
      <c r="Q12" s="23" t="inlineStr">
        <is>
          <t>Medium</t>
        </is>
      </c>
      <c r="R12" s="40" t="n">
        <v>-0.0756014</v>
      </c>
      <c r="S12" s="40" t="n">
        <v>0.1512126</v>
      </c>
      <c r="T12" s="40" t="n">
        <v>0.2181132</v>
      </c>
      <c r="U12" s="40" t="n">
        <v>-0.1667527</v>
      </c>
      <c r="V12" s="40" t="n">
        <v>-0.08865050000000001</v>
      </c>
    </row>
    <row r="13" ht="16" customHeight="1">
      <c r="A13" s="32" t="n">
        <v>9</v>
      </c>
      <c r="B13" s="19" t="inlineStr">
        <is>
          <t>RUN</t>
        </is>
      </c>
      <c r="C13" s="20" t="inlineStr">
        <is>
          <t>Sunrun Inc.</t>
        </is>
      </c>
      <c r="D13" s="21" t="n">
        <v>2188.7</v>
      </c>
      <c r="E13" s="33" t="n">
        <v>9.167999999999999</v>
      </c>
      <c r="F13" s="34" t="n">
        <v>0.528</v>
      </c>
      <c r="G13" s="34" t="n">
        <v>0.441</v>
      </c>
      <c r="H13" s="34" t="n">
        <v>0.377</v>
      </c>
      <c r="I13" s="34" t="n">
        <v>0.1</v>
      </c>
      <c r="J13" s="34" t="n">
        <v>0.035</v>
      </c>
      <c r="K13" s="35" t="n">
        <v>85.09999999999999</v>
      </c>
      <c r="L13" s="35" t="n">
        <v>71.09999999999999</v>
      </c>
      <c r="M13" s="36" t="n">
        <v>68.90000000000001</v>
      </c>
      <c r="N13" s="22" t="n">
        <v>62.5</v>
      </c>
      <c r="O13" s="37" t="inlineStr">
        <is>
          <t>—</t>
        </is>
      </c>
      <c r="P13" s="38" t="n">
        <v>3.3</v>
      </c>
      <c r="Q13" s="23" t="inlineStr">
        <is>
          <t>Medium</t>
        </is>
      </c>
      <c r="R13" s="34" t="n">
        <v>-0.1011765</v>
      </c>
      <c r="S13" s="34" t="n">
        <v>-0.3188707</v>
      </c>
      <c r="T13" s="34" t="n">
        <v>-0.1915344</v>
      </c>
      <c r="U13" s="34" t="n">
        <v>-0.5017391</v>
      </c>
      <c r="V13" s="34" t="n">
        <v>-0.458156</v>
      </c>
    </row>
    <row r="14" ht="16" customHeight="1">
      <c r="A14" s="32" t="n">
        <v>10</v>
      </c>
      <c r="B14" s="25" t="inlineStr">
        <is>
          <t>ITRI</t>
        </is>
      </c>
      <c r="C14" s="26" t="inlineStr">
        <is>
          <t>Itron, Inc.</t>
        </is>
      </c>
      <c r="D14" s="27" t="n">
        <v>4193.1</v>
      </c>
      <c r="E14" s="39" t="n">
        <v>96.06999999999999</v>
      </c>
      <c r="F14" s="40" t="n">
        <v>-0.07200000000000001</v>
      </c>
      <c r="G14" s="40" t="n">
        <v>-0.068</v>
      </c>
      <c r="H14" s="40" t="n">
        <v>0.41</v>
      </c>
      <c r="I14" s="40" t="n">
        <v>-0.023</v>
      </c>
      <c r="J14" s="40" t="n">
        <v>0.017</v>
      </c>
      <c r="K14" s="41" t="n">
        <v>62.5</v>
      </c>
      <c r="L14" s="41" t="n">
        <v>73.7</v>
      </c>
      <c r="M14" s="42" t="n">
        <v>68.2</v>
      </c>
      <c r="N14" s="22" t="n">
        <v>51.5</v>
      </c>
      <c r="O14" s="44" t="inlineStr">
        <is>
          <t>—</t>
        </is>
      </c>
      <c r="P14" s="38" t="n">
        <v>19.3</v>
      </c>
      <c r="Q14" s="23" t="inlineStr">
        <is>
          <t>Medium</t>
        </is>
      </c>
      <c r="R14" s="40" t="n">
        <v>-0.0740241</v>
      </c>
      <c r="S14" s="40" t="n">
        <v>0.1744499</v>
      </c>
      <c r="T14" s="40" t="n">
        <v>0.0528219</v>
      </c>
      <c r="U14" s="40" t="n">
        <v>0.0345682</v>
      </c>
      <c r="V14" s="40" t="n">
        <v>-0.2002165</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CALX</t>
        </is>
      </c>
      <c r="B19" s="35" t="n">
        <v>42.6</v>
      </c>
      <c r="C19" s="35" t="n">
        <v>100</v>
      </c>
      <c r="D19" s="35" t="n">
        <v>100</v>
      </c>
      <c r="E19" s="35" t="n">
        <v>95</v>
      </c>
      <c r="F19" s="35" t="n">
        <v>48</v>
      </c>
    </row>
    <row r="20" ht="16" customHeight="1">
      <c r="A20" s="25" t="inlineStr">
        <is>
          <t>ADEA</t>
        </is>
      </c>
      <c r="B20" s="41" t="n">
        <v>24.2</v>
      </c>
      <c r="C20" s="41" t="n">
        <v>66</v>
      </c>
      <c r="D20" s="41" t="n">
        <v>100</v>
      </c>
      <c r="E20" s="41" t="n">
        <v>24</v>
      </c>
      <c r="F20" s="41" t="n">
        <v>84.7</v>
      </c>
    </row>
    <row r="21" ht="16" customHeight="1">
      <c r="A21" s="19" t="inlineStr">
        <is>
          <t>DCI</t>
        </is>
      </c>
      <c r="B21" s="35" t="n">
        <v>16</v>
      </c>
      <c r="C21" s="35" t="n">
        <v>90.8</v>
      </c>
      <c r="D21" s="35" t="n">
        <v>100</v>
      </c>
      <c r="E21" s="35" t="n">
        <v>7</v>
      </c>
      <c r="F21" s="35" t="n">
        <v>58</v>
      </c>
    </row>
    <row r="22" ht="16" customHeight="1">
      <c r="A22" s="25" t="inlineStr">
        <is>
          <t>CACI</t>
        </is>
      </c>
      <c r="B22" s="41" t="n">
        <v>35.2</v>
      </c>
      <c r="C22" s="41" t="n">
        <v>84.2</v>
      </c>
      <c r="D22" s="41" t="n">
        <v>100</v>
      </c>
      <c r="E22" s="41" t="n">
        <v>11</v>
      </c>
      <c r="F22" s="41" t="n">
        <v>61.5</v>
      </c>
    </row>
    <row r="23" ht="16" customHeight="1">
      <c r="A23" s="19" t="inlineStr">
        <is>
          <t>MRCY</t>
        </is>
      </c>
      <c r="B23" s="35" t="n">
        <v>12.2</v>
      </c>
      <c r="C23" s="35" t="n">
        <v>68.2</v>
      </c>
      <c r="D23" s="35" t="n">
        <v>100</v>
      </c>
      <c r="E23" s="35" t="n">
        <v>75</v>
      </c>
      <c r="F23" s="35" t="n">
        <v>40.5</v>
      </c>
    </row>
    <row r="24" ht="16" customHeight="1">
      <c r="A24" s="25" t="inlineStr">
        <is>
          <t>BRC</t>
        </is>
      </c>
      <c r="B24" s="41" t="n">
        <v>20</v>
      </c>
      <c r="C24" s="41" t="n">
        <v>100</v>
      </c>
      <c r="D24" s="41" t="n">
        <v>100</v>
      </c>
      <c r="E24" s="41" t="n">
        <v>100</v>
      </c>
      <c r="F24" s="41" t="n">
        <v>35.8</v>
      </c>
    </row>
    <row r="25" ht="16" customHeight="1">
      <c r="A25" s="19" t="inlineStr">
        <is>
          <t>CE</t>
        </is>
      </c>
      <c r="B25" s="35" t="n">
        <v>17.4</v>
      </c>
      <c r="C25" s="35" t="n">
        <v>56.2</v>
      </c>
      <c r="D25" s="35" t="n">
        <v>100</v>
      </c>
      <c r="E25" s="35" t="n">
        <v>69</v>
      </c>
      <c r="F25" s="35" t="n">
        <v>83</v>
      </c>
    </row>
    <row r="26" ht="16" customHeight="1">
      <c r="A26" s="25" t="inlineStr">
        <is>
          <t>LYFT</t>
        </is>
      </c>
      <c r="B26" s="41" t="n">
        <v>32.2</v>
      </c>
      <c r="C26" s="41" t="n">
        <v>100</v>
      </c>
      <c r="D26" s="41" t="n">
        <v>100</v>
      </c>
      <c r="E26" s="41" t="n">
        <v>100</v>
      </c>
      <c r="F26" s="41" t="n">
        <v>63.7</v>
      </c>
    </row>
    <row r="27" ht="16" customHeight="1">
      <c r="A27" s="19" t="inlineStr">
        <is>
          <t>RUN</t>
        </is>
      </c>
      <c r="B27" s="35" t="n">
        <v>100</v>
      </c>
      <c r="C27" s="35" t="n">
        <v>94.3</v>
      </c>
      <c r="D27" s="35" t="n">
        <v>80</v>
      </c>
      <c r="E27" s="35" t="n">
        <v>35</v>
      </c>
      <c r="F27" s="35" t="n">
        <v>100</v>
      </c>
    </row>
    <row r="28" ht="16" customHeight="1">
      <c r="A28" s="25" t="inlineStr">
        <is>
          <t>ITRI</t>
        </is>
      </c>
      <c r="B28" s="41" t="n">
        <v>0</v>
      </c>
      <c r="C28" s="41" t="n">
        <v>100</v>
      </c>
      <c r="D28" s="41" t="n">
        <v>100</v>
      </c>
      <c r="E28" s="41" t="n">
        <v>17</v>
      </c>
      <c r="F28" s="41" t="n">
        <v>33</v>
      </c>
    </row>
    <row r="60">
      <c r="A60" t="inlineStr">
        <is>
          <t>Ticker</t>
        </is>
      </c>
      <c r="B60" t="inlineStr">
        <is>
          <t>Gross Margin</t>
        </is>
      </c>
      <c r="C60" t="inlineStr">
        <is>
          <t>Rev Growth</t>
        </is>
      </c>
      <c r="D60" t="inlineStr">
        <is>
          <t>Mkt Cap</t>
        </is>
      </c>
    </row>
    <row r="61">
      <c r="A61" t="inlineStr">
        <is>
          <t>CALX</t>
        </is>
      </c>
      <c r="B61" t="n">
        <v>54.6</v>
      </c>
      <c r="C61" t="n">
        <v>21.3</v>
      </c>
      <c r="D61" t="n">
        <v>2219.5</v>
      </c>
    </row>
    <row r="62">
      <c r="A62" t="inlineStr">
        <is>
          <t>ADEA</t>
        </is>
      </c>
      <c r="B62" t="n">
        <v>26.4</v>
      </c>
      <c r="C62" t="n">
        <v>12.1</v>
      </c>
      <c r="D62" t="n">
        <v>2998.6</v>
      </c>
    </row>
    <row r="63">
      <c r="A63" t="inlineStr">
        <is>
          <t>DCI</t>
        </is>
      </c>
      <c r="B63" t="n">
        <v>36.3</v>
      </c>
      <c r="C63" t="n">
        <v>8</v>
      </c>
      <c r="D63" t="n">
        <v>10618.6</v>
      </c>
    </row>
    <row r="64">
      <c r="A64" t="inlineStr">
        <is>
          <t>CACI</t>
        </is>
      </c>
      <c r="B64" t="n">
        <v>33.7</v>
      </c>
      <c r="C64" t="n">
        <v>17.6</v>
      </c>
      <c r="D64" t="n">
        <v>13629.7</v>
      </c>
    </row>
    <row r="65">
      <c r="A65" t="inlineStr">
        <is>
          <t>MRCY</t>
        </is>
      </c>
      <c r="B65" t="n">
        <v>27.3</v>
      </c>
      <c r="C65" t="n">
        <v>6.1</v>
      </c>
      <c r="D65" t="n">
        <v>5093.4</v>
      </c>
    </row>
    <row r="66">
      <c r="A66" t="inlineStr">
        <is>
          <t>BRC</t>
        </is>
      </c>
      <c r="B66" t="n">
        <v>52.9</v>
      </c>
      <c r="C66" t="n">
        <v>10</v>
      </c>
      <c r="D66" t="n">
        <v>4139.7</v>
      </c>
    </row>
    <row r="67">
      <c r="A67" t="inlineStr">
        <is>
          <t>CE</t>
        </is>
      </c>
      <c r="B67" t="n">
        <v>22.5</v>
      </c>
      <c r="C67" t="n">
        <v>8.699999999999999</v>
      </c>
      <c r="D67" t="n">
        <v>4874</v>
      </c>
    </row>
    <row r="68">
      <c r="A68" t="inlineStr">
        <is>
          <t>LYFT</t>
        </is>
      </c>
      <c r="B68" t="n">
        <v>49.7</v>
      </c>
      <c r="C68" t="n">
        <v>16.1</v>
      </c>
      <c r="D68" t="n">
        <v>6122.4</v>
      </c>
    </row>
    <row r="69">
      <c r="A69" t="inlineStr">
        <is>
          <t>RUN</t>
        </is>
      </c>
      <c r="B69" t="n">
        <v>37.7</v>
      </c>
      <c r="C69" t="n">
        <v>52.8</v>
      </c>
      <c r="D69" t="n">
        <v>2188.7</v>
      </c>
    </row>
    <row r="70">
      <c r="A70" t="inlineStr">
        <is>
          <t>ITRI</t>
        </is>
      </c>
      <c r="B70" t="n">
        <v>41</v>
      </c>
      <c r="C70" t="n">
        <v>-7.2</v>
      </c>
      <c r="D70" t="n">
        <v>4193.1</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1B2A3B"/>
    <outlinePr summaryBelow="1" summaryRight="1"/>
    <pageSetUpPr fitToPage="1"/>
  </sheetPr>
  <dimension ref="A1:V6"/>
  <sheetViews>
    <sheetView showGridLines="0" workbookViewId="0">
      <pane ySplit="4" topLeftCell="A5" activePane="bottomLeft" state="frozen"/>
      <selection pane="bottomLef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Vital Link ($15B–$40B)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0 by combined score  |  September 08,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30" customHeight="1">
      <c r="A5" s="46" t="inlineStr">
        <is>
          <t>No candidates met the Vital Link ($15B–$40B) criteria in this run. This tier accepts only companies at a revenue trough that held their gross margin through it — the setup is genuinely rare, and an empty tier means none was found, not that anything failed.</t>
        </is>
      </c>
    </row>
    <row r="6"/>
  </sheetData>
  <mergeCells count="3">
    <mergeCell ref="A2:V2"/>
    <mergeCell ref="A1:V1"/>
    <mergeCell ref="A5:V6"/>
  </mergeCells>
  <pageMargins left="0.75" right="0.75" top="1" bottom="1" header="0.5" footer="0.5"/>
  <pageSetup orientation="landscape" fitToWidth="1"/>
</worksheet>
</file>

<file path=xl/worksheets/sheet6.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0" t="inlineStr">
        <is>
          <t>Company Descriptions &amp; Profiles</t>
        </is>
      </c>
      <c r="B1" s="11" t="n"/>
      <c r="C1" s="11" t="n"/>
      <c r="D1" s="11" t="n"/>
      <c r="E1" s="11" t="n"/>
      <c r="F1" s="11" t="n"/>
    </row>
    <row r="2" ht="22" customHeight="1">
      <c r="A2" s="31" t="inlineStr">
        <is>
          <t>All screened companies  |  September 08,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INTT</t>
        </is>
      </c>
      <c r="B5" s="20" t="inlineStr">
        <is>
          <t>inTEST Corporation</t>
        </is>
      </c>
      <c r="C5" s="20" t="inlineStr">
        <is>
          <t>Technology</t>
        </is>
      </c>
      <c r="D5" s="47" t="inlineStr">
        <is>
          <t>Semiconductors</t>
        </is>
      </c>
      <c r="E5" s="48" t="inlineStr">
        <is>
          <t>Nano Cap</t>
        </is>
      </c>
      <c r="F5" s="46" t="inlineStr">
        <is>
          <t xml:space="preserve">inTEST Corporation is a global provider of specialized equipment and services for manufacturing and testing processes across various industries, including automotive, defense/aerospace, industrial, life sciences, security, and semiconductor sectors. The company operates through two main divisions: Thermal Products and Electromechanical Semiconductor Products (EMS). The Thermal Products segment delivers a range of environmental and thermal management solutions. This includes ThermoStream products, which function as standalone temperature control units or integrate into diverse electronic test setups. The segment also offers Thermal Chambers, Thermal Platforms, and Thermonics temperature conditioning units designed to provide precisely tempered gas or fluid. Additionally, it supplies specialized cryogenic storage solutions, such as biomedical freezers, refrigerators, and mobile storage, alongside EKOHEAT and EASYHEAT induction heating systems, and digital streaming and image acquisition </t>
        </is>
      </c>
    </row>
    <row r="6" ht="60" customHeight="1">
      <c r="A6" s="25" t="inlineStr">
        <is>
          <t>RELL</t>
        </is>
      </c>
      <c r="B6" s="26" t="inlineStr">
        <is>
          <t>Richardson Electronics, Ltd.</t>
        </is>
      </c>
      <c r="C6" s="26" t="inlineStr">
        <is>
          <t>Technology</t>
        </is>
      </c>
      <c r="D6" s="26" t="inlineStr">
        <is>
          <t>Hardware, Equipment &amp; Parts</t>
        </is>
      </c>
      <c r="E6" s="49" t="inlineStr">
        <is>
          <t>Nano Cap</t>
        </is>
      </c>
      <c r="F6" s="50" t="inlineStr">
        <is>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t>
        </is>
      </c>
    </row>
    <row r="7" ht="60" customHeight="1">
      <c r="A7" s="19" t="inlineStr">
        <is>
          <t>RFIL</t>
        </is>
      </c>
      <c r="B7" s="20" t="inlineStr">
        <is>
          <t>RF Industries, Ltd.</t>
        </is>
      </c>
      <c r="C7" s="20" t="inlineStr">
        <is>
          <t>Industrials</t>
        </is>
      </c>
      <c r="D7" s="20" t="inlineStr">
        <is>
          <t>Electrical Equipment &amp; Parts</t>
        </is>
      </c>
      <c r="E7" s="48" t="inlineStr">
        <is>
          <t>Nano Cap</t>
        </is>
      </c>
      <c r="F7" s="46" t="inlineStr">
        <is>
          <t xml:space="preserve">Headquartered in San Diego, California, RF Industries, Ltd., established in 1979 and formerly known as Celltronics, Inc. until 1990, is a global enterprise that develops, produces, and markets interconnect products and systems across the United States, Canada, Mexico, and other international markets. The company's operations are divided into two primary segments. The RF Connector and Cable Assembly division focuses on designing, fabricating, and distributing coaxial connectors and integrated coaxial cable assemblies. Meanwhile, the Custom Cabling Manufacturing and Assembly segment specializes in engineering, manufacturing, marketing, and distributing custom copper and fiber optic cable assemblies, sophisticated hybrid fiber optic and power solution cables, energy-efficient cooling systems for wireless base stations and remote shelters, and bespoke pole-ready 5G small cell integrated enclosures. This segment further extends its offerings to include custom and standard cable assemblies, </t>
        </is>
      </c>
    </row>
    <row r="8" ht="60" customHeight="1">
      <c r="A8" s="25" t="inlineStr">
        <is>
          <t>LTRX</t>
        </is>
      </c>
      <c r="B8" s="26" t="inlineStr">
        <is>
          <t>Lantronix, Inc.</t>
        </is>
      </c>
      <c r="C8" s="26" t="inlineStr">
        <is>
          <t>Technology</t>
        </is>
      </c>
      <c r="D8" s="51" t="inlineStr">
        <is>
          <t>Communication Equipment</t>
        </is>
      </c>
      <c r="E8" s="49" t="inlineStr">
        <is>
          <t>Nano Cap</t>
        </is>
      </c>
      <c r="F8" s="50" t="inlineStr">
        <is>
          <t xml:space="preserve">Lantronix, Inc. is a technology company specializing in the delivery of hardware, software-as-a-service (SaaS), and professional engineering services. Its solutions are designed to support edge computing, the Internet of Things (IoT), and remote environment management (REM) for clients across the Americas, Europe, the Middle East, Africa, and the Asia Pacific region. Within its IoT portfolio, Lantronix offers a diverse range of products, categorized broadly into Connectivity, Compute, and Telematics solutions. Its IoT Connectivity offerings facilitate robust wired and wireless connections, significantly boosting the functionality and effectiveness of contemporary electronic systems. These solutions encompass secure network access, Power over Ethernet (PoE) for device power, application hosting, and essential protocol and media conversion, ensuring secure and efficient operation for geographically dispersed IoT implementations. The IoT Compute segment delivers processing power tailored </t>
        </is>
      </c>
    </row>
    <row r="9" ht="60" customHeight="1">
      <c r="A9" s="19" t="inlineStr">
        <is>
          <t>OPXS</t>
        </is>
      </c>
      <c r="B9" s="20" t="inlineStr">
        <is>
          <t>Optex Systems Holdings, Inc</t>
        </is>
      </c>
      <c r="C9" s="20" t="inlineStr">
        <is>
          <t>Industrials</t>
        </is>
      </c>
      <c r="D9" s="52" t="inlineStr">
        <is>
          <t>Aerospace &amp; Defense</t>
        </is>
      </c>
      <c r="E9" s="48" t="inlineStr">
        <is>
          <t>Nano Cap</t>
        </is>
      </c>
      <c r="F9" s="46" t="inlineStr">
        <is>
          <t>Optex Systems Holdings, Inc. specializes in the production and supply of advanced optical sighting equipment and related assemblies. The company's primary clients include the U.S. Department of Defense, international military organizations, and commercial entities within the United States. Its comprehensive product lineup features various periscope models, including robust laser-protected and standard plastic/glass versions, M17 day/thermal periscopes, and vision blocks. Optex also develops sophisticated sighting solutions such as digital day and night systems, M36 thermal periscopes, backup sights, unity mirrors, and specialized commander weapon station sights, alongside providing maintenance for optical weapon systems. Furthermore, the company manufactures critical components for howitzers, such as the M137 telescope, M187 mount, M119 aiming device, and aiming circles. Its Applied Optics Center produces an array of precision optical items, including laser filter units, optical assemb</t>
        </is>
      </c>
    </row>
    <row r="10" ht="60" customHeight="1">
      <c r="A10" s="25" t="inlineStr">
        <is>
          <t>BKTI</t>
        </is>
      </c>
      <c r="B10" s="26" t="inlineStr">
        <is>
          <t>BK Technologies Corporation</t>
        </is>
      </c>
      <c r="C10" s="26" t="inlineStr">
        <is>
          <t>Technology</t>
        </is>
      </c>
      <c r="D10" s="51" t="inlineStr">
        <is>
          <t>Communication Equipment</t>
        </is>
      </c>
      <c r="E10" s="49" t="inlineStr">
        <is>
          <t>Nano Cap</t>
        </is>
      </c>
      <c r="F10" s="50" t="inlineStr">
        <is>
          <t>Operating globally and within the United States, BK Technologies Corporation, through its subsidiary BK Technologies, Inc., specializes in the development, production, and sale of wireless communication devices. Their product portfolio encompasses two-way land mobile radios (LMR), repeaters, base stations, and associated parts and systems. The company caters to distinct markets through its branding: the BK Technologies, BKR, and BK Radio lines supply LMR solutions, including P-25 digital products, primarily for professional use by governmental, public safety, and military organizations. Conversely, the RELM brand addresses the two-way communication needs of commercial and industrial sectors, serving clients such as hospitality, construction, education, and transport companies. Established in 1997, the corporation maintains its principal office in West Melbourne, Florida.</t>
        </is>
      </c>
    </row>
    <row r="11" ht="60" customHeight="1">
      <c r="A11" s="19" t="inlineStr">
        <is>
          <t>ASYS</t>
        </is>
      </c>
      <c r="B11" s="20" t="inlineStr">
        <is>
          <t>Amtech Systems, Inc.</t>
        </is>
      </c>
      <c r="C11" s="20" t="inlineStr">
        <is>
          <t>Technology</t>
        </is>
      </c>
      <c r="D11" s="47" t="inlineStr">
        <is>
          <t>Semiconductors</t>
        </is>
      </c>
      <c r="E11" s="48" t="inlineStr">
        <is>
          <t>Nano Cap</t>
        </is>
      </c>
      <c r="F11" s="46" t="inlineStr">
        <is>
          <t>Amtech Systems, Inc. (ASYS) is a global provider specializing in the production and sale of advanced capital equipment and associated consumables. These offerings are crucial for manufacturing a diverse array of electronic components, including silicon carbide (SiC) and silicon power devices, analog and discrete devices, electronic assemblies, and light-emitting diodes (LEDs). The company's operations are structured around two primary divisions: 1. The Semiconductor Segment: This division focuses on developing, producing, marketing, and supporting thermal processing systems. Its product line includes solder reflow ovens, diffusion furnaces, and custom high-temperature belt furnaces, which are essential for semiconductor fabrication, as well as applications in electronics, automotive, and other industrial sectors. Additionally, this segment provides equipment and services for wafer polishing. 2. The Material and Substrate Segment: This segment manufactures and supplies both machinery an</t>
        </is>
      </c>
    </row>
    <row r="12" ht="60" customHeight="1">
      <c r="A12" s="25" t="inlineStr">
        <is>
          <t>KVHI</t>
        </is>
      </c>
      <c r="B12" s="26" t="inlineStr">
        <is>
          <t>KVH Industries, Inc.</t>
        </is>
      </c>
      <c r="C12" s="26" t="inlineStr">
        <is>
          <t>Technology</t>
        </is>
      </c>
      <c r="D12" s="51" t="inlineStr">
        <is>
          <t>Communication Equipment</t>
        </is>
      </c>
      <c r="E12" s="49" t="inlineStr">
        <is>
          <t>Nano Cap</t>
        </is>
      </c>
      <c r="F12" s="50" t="inlineStr">
        <is>
          <t>KVH Industries, Inc., together with its subsidiaries, designs, develops, manufactures, and markets mobile connectivity and managed services for the marine and land mobile markets. The company offers Internet and VoIP airtime services; AgilePlans, a connectivity as a Service solution; CommBox, a data management software for maritime communications; CommBox Edge, an advanced maritime network optimization and management solution; KVH Link, a crew wellbeing content subscription service; KVH ONE, a global hybrid communication network supporting Internet, VoIP, content delivery, and other; and KVH OneCare, a services and support for TracNet and TracPhone systems. It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t>
        </is>
      </c>
    </row>
    <row r="13" ht="60" customHeight="1">
      <c r="A13" s="19" t="inlineStr">
        <is>
          <t>ESP</t>
        </is>
      </c>
      <c r="B13" s="20" t="inlineStr">
        <is>
          <t>Espey Mfg. &amp; Electronics Corp.</t>
        </is>
      </c>
      <c r="C13" s="20" t="inlineStr">
        <is>
          <t>Industrials</t>
        </is>
      </c>
      <c r="D13" s="20" t="inlineStr">
        <is>
          <t>Electrical Equipment &amp; Parts</t>
        </is>
      </c>
      <c r="E13" s="48" t="inlineStr">
        <is>
          <t>Nano Cap</t>
        </is>
      </c>
      <c r="F13" s="46" t="inlineStr">
        <is>
          <t>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t>
        </is>
      </c>
    </row>
    <row r="14" ht="60" customHeight="1">
      <c r="A14" s="25" t="inlineStr">
        <is>
          <t>ROC</t>
        </is>
      </c>
      <c r="B14" s="26" t="inlineStr">
        <is>
          <t>Rank One Computing Corp.</t>
        </is>
      </c>
      <c r="C14" s="26" t="inlineStr">
        <is>
          <t>Technology</t>
        </is>
      </c>
      <c r="D14" s="26" t="inlineStr">
        <is>
          <t>Software - Application</t>
        </is>
      </c>
      <c r="E14" s="49" t="inlineStr">
        <is>
          <t>Nano Cap</t>
        </is>
      </c>
      <c r="F14" s="50" t="inlineStr">
        <is>
          <t>Rank One Computing Corporation provides advanced biometric, facial recognition, and vision AI solutions in United States. Its products includes ROC SDK, offers AI / ML developed vision AI algorithms including biometrics (face, fingerprint, and iris) and object detection models (Automated License-Plate Recognition (ALPR), pedestrian, vehicles, optical character recognition; ROC ABIS, an enterprise-grade biometric identity system; ROC Watch, an post-event video analytics platform that delivers multimodal video analytics, visitor management, and threat detection in a single pane of glass; ROC Enroll, a remote identity verification solution that enforces compliant selfie facial capture, spoof-prevention (Liveness), face to ID matching. It serves law enforcement, defense, national security, fintech, public safety, and commercial security and engagement markets. The company was incorporated in 2015 and is based in Denver, Colorado.</t>
        </is>
      </c>
    </row>
    <row r="15" ht="60" customHeight="1">
      <c r="A15" s="19" t="inlineStr">
        <is>
          <t>SWBI</t>
        </is>
      </c>
      <c r="B15" s="20" t="inlineStr">
        <is>
          <t>Smith &amp; Wesson Brands, Inc.</t>
        </is>
      </c>
      <c r="C15" s="20" t="inlineStr">
        <is>
          <t>Industrials</t>
        </is>
      </c>
      <c r="D15" s="52" t="inlineStr">
        <is>
          <t>Aerospace &amp; Defense</t>
        </is>
      </c>
      <c r="E15" s="48" t="inlineStr">
        <is>
          <t>Small Cap</t>
        </is>
      </c>
      <c r="F15" s="46" t="inlineStr">
        <is>
          <t>Smith &amp; Wesson Brands, Inc. (SWBI) is a leading global enterprise engaged in the design, production, and worldwide sale of firearms. Their extensive product range features various handguns, including revolvers and semi-automatic pistols, along with long guns such as contemporary sporting rifles and bolt-action models. The company also offers related accessories like restraints (handcuffs) and sound suppressors, primarily under its well-known Smith &amp; Wesson, M&amp;P, and Gemtech labels. Beyond its core firearm manufacturing, SWBI provides a suite of specialized industrial services to other businesses. These capabilities encompass precision processes like forging, heat treating, rapid prototyping, tool fabrication, various finishing techniques, electroplating, advanced machining, and custom plastic injection molding. These services are delivered under the Smith &amp; Wesson and Smith &amp; Wesson Precision Components brand names. The company also distributes components procured from third-party supp</t>
        </is>
      </c>
    </row>
    <row r="16" ht="60" customHeight="1">
      <c r="A16" s="25" t="inlineStr">
        <is>
          <t>PKE</t>
        </is>
      </c>
      <c r="B16" s="26" t="inlineStr">
        <is>
          <t>Park Aerospace Corp.</t>
        </is>
      </c>
      <c r="C16" s="26" t="inlineStr">
        <is>
          <t>Industrials</t>
        </is>
      </c>
      <c r="D16" s="52" t="inlineStr">
        <is>
          <t>Aerospace &amp; Defense</t>
        </is>
      </c>
      <c r="E16" s="49" t="inlineStr">
        <is>
          <t>Small Cap</t>
        </is>
      </c>
      <c r="F16" s="50" t="inlineStr">
        <is>
          <t>Park Aerospace Corp. (PKE) is a manufacturer and innovator of advanced composite materials. Utilizing both solution and hot-melt processes, the company crafts these materials into composite structures primarily for the aerospace market, serving clients across North America, Asia, and Europe. Its portfolio of advanced composites features critical products such as film adhesives and lightning strike protection materials. These are essential for fabricating both primary and secondary structural components found in diverse aircraft types, including jet engines, large and regional airliners, military aircraft, unmanned aerial vehicles (UAVs), business jets, general aviation planes, and rotary-wing aircraft. Additionally, PKE provides specialized ablative materials for rocket motors and nozzles, alongside custom-engineered solutions for radome applications. The company also offers design and fabrication services for composite parts, assemblies, and structures, as well as low-volume tooling s</t>
        </is>
      </c>
    </row>
    <row r="17" ht="60" customHeight="1">
      <c r="A17" s="19" t="inlineStr">
        <is>
          <t>EVLV</t>
        </is>
      </c>
      <c r="B17" s="20" t="inlineStr">
        <is>
          <t>Evolv Technologies Holdings, Inc.</t>
        </is>
      </c>
      <c r="C17" s="20" t="inlineStr">
        <is>
          <t>Industrials</t>
        </is>
      </c>
      <c r="D17" s="20" t="inlineStr">
        <is>
          <t>Security &amp; Protection Services</t>
        </is>
      </c>
      <c r="E17" s="48" t="inlineStr">
        <is>
          <t>Small Cap</t>
        </is>
      </c>
      <c r="F17" s="46" t="inlineStr">
        <is>
          <t>Evolv Technologies Holdings, Inc. develops, manufactures, markets, and sells security screening products and specific services in the United States and internationally. It offers Evolv Express, that is designed to detect firearms, improvised explosive devices, and large tactical knives in unstructured people flows; Evolv eXpedite, an autonomous AI-based weapon detection system for bags being brought to venues by visitors in high clutter environments; and Evolv Insights Analytics Application which provides self-serve access, insights regarding visitor flow and arrival curves, location specific performance, system detection performance and alarm statistics, and comparisons across multiple business dimensions. The company serves various industries comprising education, healthcare, professional sports, notable performing arts and entertainment venues, major tourist destinations and cultural attractions, government and corporate offices, hospitality facilities, distribution facilities, larg</t>
        </is>
      </c>
    </row>
    <row r="18" ht="60" customHeight="1">
      <c r="A18" s="25" t="inlineStr">
        <is>
          <t>GHM</t>
        </is>
      </c>
      <c r="B18" s="26" t="inlineStr">
        <is>
          <t>Graham Corporation</t>
        </is>
      </c>
      <c r="C18" s="26" t="inlineStr">
        <is>
          <t>Industrials</t>
        </is>
      </c>
      <c r="D18" s="26" t="inlineStr">
        <is>
          <t>Industrial - Machinery</t>
        </is>
      </c>
      <c r="E18" s="49" t="inlineStr">
        <is>
          <t>Small Cap</t>
        </is>
      </c>
      <c r="F18" s="50" t="inlineStr">
        <is>
          <t>Graham Corporation, founded in 1936 and based in Batavia, New York, is an engineering and manufacturing company that, along with its subsidiaries, specializes in creating advanced fluid, power, heat transfer, and vacuum equipment. This specialized machinery serves a broad spectrum of critical industries, including chemical and petrochemical processing, defense, aerospace, petroleum refining, cryogenic applications, and energy. The company's diverse product range includes: Power Generation Solutions: Such as ejectors and surface condensers for power plants, as well as turbines, generators, compressors, and pumps. Defense and Space Technologies: Providing torpedo ejection and power systems that integrate turbines, alternators, regulators, pumps, and blowers; also supplying rocket propulsion systems like turbopumps and fuel pumps. Thermal Management and Life Support Systems: Offering pumps, blowers, and electronics for thermal control, cooling systems featuring pumps, compressors, fans, a</t>
        </is>
      </c>
    </row>
    <row r="19" ht="60" customHeight="1">
      <c r="A19" s="19" t="inlineStr">
        <is>
          <t>ADTN</t>
        </is>
      </c>
      <c r="B19" s="20" t="inlineStr">
        <is>
          <t>ADTRAN Holdings Inc.</t>
        </is>
      </c>
      <c r="C19" s="20" t="inlineStr">
        <is>
          <t>Technology</t>
        </is>
      </c>
      <c r="D19" s="51" t="inlineStr">
        <is>
          <t>Communication Equipment</t>
        </is>
      </c>
      <c r="E19" s="48" t="inlineStr">
        <is>
          <t>Small Cap</t>
        </is>
      </c>
      <c r="F19" s="46" t="inlineStr">
        <is>
          <t>ADTRAN Holdings, Inc. develops and provides network access solutions. It is a global provider of open, disaggregated networking and communications equipment that enable voice, data, video and internet communications across any network infrastructure. It operates through the Network Solutions and Services and Support segments. The Network Solutions segment offers hardware and software products. The Service and Support segment manages a comprehensive portfolio of network design, implementation, maintenance and cloud-hosted services supporting its subscriber, access and aggregation, and optical networking solutions. The company was founded in 1985 and is headquartered in Huntsville, AL.</t>
        </is>
      </c>
    </row>
    <row r="20" ht="60" customHeight="1">
      <c r="A20" s="25" t="inlineStr">
        <is>
          <t>ARLO</t>
        </is>
      </c>
      <c r="B20" s="26" t="inlineStr">
        <is>
          <t>Arlo Technologies, Inc.</t>
        </is>
      </c>
      <c r="C20" s="26" t="inlineStr">
        <is>
          <t>Technology</t>
        </is>
      </c>
      <c r="D20" s="51" t="inlineStr">
        <is>
          <t>Communication Equipment</t>
        </is>
      </c>
      <c r="E20" s="49" t="inlineStr">
        <is>
          <t>Small Cap</t>
        </is>
      </c>
      <c r="F20" s="50" t="inlineStr">
        <is>
          <t>Arlo Technologies, Inc. delivers a comprehensive, cloud-centric smart security ecosystem across the Americas, Europe, the Middle East, Africa, and Asia Pacific regions. This system seamlessly integrates an intelligent cloud backbone and a user-friendly mobile application with a diverse array of smart, internet-connected hardware. Its product portfolio encompasses a wide selection of security cameras, such as the Arlo Essential Indoor camera, the versatile Arlo Go 2 (supporting both LTE and Wi-Fi), and the mobile, wire-free Arlo Go LTE camera. For indoor monitoring, they offer the wired Arlo Q and Q Plus models. Specialized devices include the Arlo Baby monitor, equipped with air quality and temperature sensors, motion and audio detection, and superior night vision capabilities. The Arlo Chime, designed to complement the Arlo Video Doorbell, provides customizable ringtones and siren functionality. Arlo's advanced camera range features models like the Arlo Ultra and Ultra 2 (with integra</t>
        </is>
      </c>
    </row>
    <row r="21" ht="60" customHeight="1">
      <c r="A21" s="19" t="inlineStr">
        <is>
          <t>TRC</t>
        </is>
      </c>
      <c r="B21" s="20" t="inlineStr">
        <is>
          <t>Tejon Ranch Co.</t>
        </is>
      </c>
      <c r="C21" s="20" t="inlineStr">
        <is>
          <t>Industrials</t>
        </is>
      </c>
      <c r="D21" s="20" t="inlineStr">
        <is>
          <t>Conglomerates</t>
        </is>
      </c>
      <c r="E21" s="48" t="inlineStr">
        <is>
          <t>Small Cap</t>
        </is>
      </c>
      <c r="F21" s="46" t="inlineStr">
        <is>
          <t>Tejon Ranch Co., through its various subsidiaries, operates as a multifaceted enterprise primarily focused on real estate development and agricultural operations. Its business is structured across five distinct divisions: Commercial/Industrial Real Estate Development, Resort/Residential Real Estate Development, Mineral Resources, Farming, and Ranch Operations. The Commercial/Industrial Real Estate Development division handles the entire process from land planning and obtaining permits to constructing vital infrastructure and developing properties for lease or sale, which includes creating ready-to-occupy buildings or selling plots to other developers. Additionally, it manages communication leases and landscaping services. This segment generates revenue by leasing land to various commercial tenants, such as two auto service stations with convenience stores, thirteen fast-food establishments, a motel, an antique shop, and a post office. It also provides sites for microwave repeaters, rad</t>
        </is>
      </c>
    </row>
    <row r="22" ht="60" customHeight="1">
      <c r="A22" s="25" t="inlineStr">
        <is>
          <t>INOD</t>
        </is>
      </c>
      <c r="B22" s="26" t="inlineStr">
        <is>
          <t>Innodata Inc.</t>
        </is>
      </c>
      <c r="C22" s="26" t="inlineStr">
        <is>
          <t>Technology</t>
        </is>
      </c>
      <c r="D22" s="26" t="inlineStr">
        <is>
          <t>Information Technology Services</t>
        </is>
      </c>
      <c r="E22" s="49" t="inlineStr">
        <is>
          <t>Small Cap</t>
        </is>
      </c>
      <c r="F22" s="50" t="inlineStr">
        <is>
          <t>Innodata Inc. is a global enterprise specializing in data engineering, with operations spanning the United States, the United Kingdom, the Netherlands, Canada, and other international locations. The firm conducts its business across three distinct divisions: Digital Data Solutions (DDS), Synodex, and Agility. Its Digital Data Solutions (DDS) division furnishes clients with AI-powered software platforms and outsourced services. These offerings cater to businesses needing data for the instruction of artificial intelligence (AI) and machine learning (ML) algorithms. DDS also delivers AI-driven digital transformation strategies, assisting organizations in leveraging AI/ML to extract critical insights from textual information. Furthermore, DDS provides a comprehensive suite of data engineering support functions, encompassing activities such as data annotation, transformation, curation, hygiene, consolidation, compliance, and master data management. The Synodex segment supplies an industry-s</t>
        </is>
      </c>
    </row>
    <row r="23" ht="60" customHeight="1">
      <c r="A23" s="19" t="inlineStr">
        <is>
          <t>CDRE</t>
        </is>
      </c>
      <c r="B23" s="20" t="inlineStr">
        <is>
          <t>Cadre Holdings, Inc.</t>
        </is>
      </c>
      <c r="C23" s="20" t="inlineStr">
        <is>
          <t>Industrials</t>
        </is>
      </c>
      <c r="D23" s="52" t="inlineStr">
        <is>
          <t>Aerospace &amp; Defense</t>
        </is>
      </c>
      <c r="E23" s="48" t="inlineStr">
        <is>
          <t>Small Cap</t>
        </is>
      </c>
      <c r="F23" s="46" t="inlineStr">
        <is>
          <t xml:space="preserve">Cadre Holdings, Inc. specializes in manufacturing and distributing vital safety and survival gear designed to protect individuals in perilous or life-threatening environments, both within the United States and globally. The company operates through two distinct divisions: its proprietary Products segment and a Distribution arm. Under its well-known Safariland and Protech Tactical brands, Cadre produces a wide array of body armor, encompassing discreet concealable vests, correctional facility-specific protection, and tactical models. Their extensive product line also features survival suits, remotely operated vehicles (ROVs), specialized tools, blast detection sensors, various ancillary items, vehicle blast attenuation seating for explosive ordnance disposal technicians, and full bomb suits. Furthermore, they supply essential duty equipment, such as belts and accessories, alongside other protective and law enforcement essentials, including communications systems, forensic investigation </t>
        </is>
      </c>
    </row>
    <row r="24" ht="60" customHeight="1">
      <c r="A24" s="25" t="inlineStr">
        <is>
          <t>SHLS</t>
        </is>
      </c>
      <c r="B24" s="26" t="inlineStr">
        <is>
          <t>Shoals Technologies Group, Inc.</t>
        </is>
      </c>
      <c r="C24" s="26" t="inlineStr">
        <is>
          <t>Energy</t>
        </is>
      </c>
      <c r="D24" s="53" t="inlineStr">
        <is>
          <t>Solar</t>
        </is>
      </c>
      <c r="E24" s="49" t="inlineStr">
        <is>
          <t>Small Cap</t>
        </is>
      </c>
      <c r="F24" s="50" t="inlineStr">
        <is>
          <t>Shoals Technologies Group, Inc. provides Electrical Balance of System (EBOS) solutions designed for solar power projects throughout the United States. The company manufactures a wide array of EBOS components, including various cable assemblies, inline fuses, combiners, disconnects, recombiners, wireless monitoring systems, junction boxes, specialized transition enclosures, splice boxes, wire management solutions, and IV curve benchmarking devices. Additionally, Shoals offers EV Charging solutions for both public and fleet electric vehicle charging infrastructure, alongside its core EBOS systems. Its primary customers are engineering, procurement, and construction (EPC) firms responsible for developing solar energy installations and deploying electric vehicle charging stations. Shoals Technologies Group, Inc. was founded in 1996 and maintains its headquarters in Portland, Tennessee.</t>
        </is>
      </c>
    </row>
    <row r="25" ht="60" customHeight="1">
      <c r="A25" s="19" t="inlineStr">
        <is>
          <t>CALX</t>
        </is>
      </c>
      <c r="B25" s="20" t="inlineStr">
        <is>
          <t>Calix, Inc.</t>
        </is>
      </c>
      <c r="C25" s="20" t="inlineStr">
        <is>
          <t>Technology</t>
        </is>
      </c>
      <c r="D25" s="51" t="inlineStr">
        <is>
          <t>Communication Equipment</t>
        </is>
      </c>
      <c r="E25" s="48" t="inlineStr">
        <is>
          <t>Breakout</t>
        </is>
      </c>
      <c r="F25" s="46" t="inlineStr">
        <is>
          <t>Headquartered in San Jose, California, Calix, Inc., established in 1999, is a global technology provider specializing in cloud and software platforms, robust systems, and comprehensive services. The company's innovative solutions empower broadband service providers (BSPs) to offer a diverse array of services to their customers. Calix's reach extends throughout the United States, the broader Americas, Europe, the Middle East, Africa, and the Asia Pacific region. A core offering is the Calix Cloud platform, an advanced, role-based analytics suite comprising Calix Marketing Cloud, Calix Support Cloud, and Calix Operations Cloud. This platform is highly configurable, delivering tailored insights that enable BSPs to proactively identify and pursue lucrative new revenue streams and applications, often through mobile interfaces. Additionally, Calix provides EXOS, a carrier-class operating system for premises equipment, seamlessly integrated with its GigaSpire family of systems to deliver comp</t>
        </is>
      </c>
    </row>
    <row r="26" ht="60" customHeight="1">
      <c r="A26" s="25" t="inlineStr">
        <is>
          <t>ADEA</t>
        </is>
      </c>
      <c r="B26" s="26" t="inlineStr">
        <is>
          <t>Adeia Inc.</t>
        </is>
      </c>
      <c r="C26" s="26" t="inlineStr">
        <is>
          <t>Technology</t>
        </is>
      </c>
      <c r="D26" s="26" t="inlineStr">
        <is>
          <t>Software - Application</t>
        </is>
      </c>
      <c r="E26" s="49" t="inlineStr">
        <is>
          <t>Breakout</t>
        </is>
      </c>
      <c r="F26" s="50" t="inlineStr">
        <is>
          <t>Adeia Inc. is an international enterprise focused on intellectual property licensing within the consumer and entertainment sectors. Operating globally, the company licenses its proprietary innovations, marketed under the Adeia brand, to various entities across the entertainment landscape. Its extensive patent portfolio is adopted by a wide range of partners, including: Multichannel video programming distributors (MVPDs): This encompasses traditional cable, satellite, and telecommunications television providers that distribute linear content over networks, as well as those delivering aggregated and streamed linear content via broadband. Over-the-top (OTT) and new media companies: Such as subscription video-on-demand (SVOD) services, social networking platforms, and other emerging digital media providers. Consumer electronics manufacturers: For devices like smart televisions, streaming media players, video game consoles, mobile devices, digital video recorders (DVRs), and other internet-</t>
        </is>
      </c>
    </row>
    <row r="27" ht="60" customHeight="1">
      <c r="A27" s="19" t="inlineStr">
        <is>
          <t>DCI</t>
        </is>
      </c>
      <c r="B27" s="20" t="inlineStr">
        <is>
          <t>Donaldson Company, Inc.</t>
        </is>
      </c>
      <c r="C27" s="20" t="inlineStr">
        <is>
          <t>Industrials</t>
        </is>
      </c>
      <c r="D27" s="20" t="inlineStr">
        <is>
          <t>Industrial - Machinery</t>
        </is>
      </c>
      <c r="E27" s="48" t="inlineStr">
        <is>
          <t>Breakout</t>
        </is>
      </c>
      <c r="F27" s="46" t="inlineStr">
        <is>
          <t>Donaldson Company, Inc. (DCI) is a global enterprise that develops, manufactures, and distributes an extensive range of filtration systems and their corresponding replacement parts. The company's operations are strategically divided into two core business units: Engine Products and Industrial Products. The Engine Products division provides a variety of solutions, including replacement filters for both air and liquid filtration needs, comprehensive air filtration systems, and specialized liquid filtration systems designed for fuel, lubrication, and hydraulic applications. This segment also offers exhaust and emissions control technologies, alongside a suite of sensors, indicators, and monitoring systems. Its clientele primarily consists of Original Equipment Manufacturers (OEMs) within the construction, mining, agriculture, aerospace, defense, and transportation industries. Additionally, it caters to the aftermarket through independent distributors, OEM dealership networks, private labe</t>
        </is>
      </c>
    </row>
    <row r="28" ht="60" customHeight="1">
      <c r="A28" s="25" t="inlineStr">
        <is>
          <t>CACI</t>
        </is>
      </c>
      <c r="B28" s="26" t="inlineStr">
        <is>
          <t>CACI International Inc</t>
        </is>
      </c>
      <c r="C28" s="26" t="inlineStr">
        <is>
          <t>Technology</t>
        </is>
      </c>
      <c r="D28" s="26" t="inlineStr">
        <is>
          <t>Information Technology Services</t>
        </is>
      </c>
      <c r="E28" s="49" t="inlineStr">
        <is>
          <t>Breakout</t>
        </is>
      </c>
      <c r="F28" s="50" t="inlineStr">
        <is>
          <t>CACI International Inc, alongside its subsidiaries, is a provider of specialized expertise and advanced technology. The company primarily serves enterprise and mission-critical customers by supporting vital national security objectives and facilitating government modernization and transformation efforts across the intelligence, defense, and federal civilian sectors. The company operates through two main divisions: Domestic Operations and International Operations. The Domestic Operations segment focuses on delivering information solutions and services to U.S. federal government agencies and commercial entities. This includes areas such as digital transformation, Command, Control, Communications, Computers, Intelligence, Surveillance, and Reconnaissance (C4ISR), cybersecurity and space technologies, engineering services, enterprise IT management, and mission support. Internationally, CACI offers a suite of IT services, proprietary data, and software products to both commercial and govern</t>
        </is>
      </c>
    </row>
    <row r="29" ht="60" customHeight="1">
      <c r="A29" s="19" t="inlineStr">
        <is>
          <t>MRCY</t>
        </is>
      </c>
      <c r="B29" s="20" t="inlineStr">
        <is>
          <t>Mercury Systems, Inc.</t>
        </is>
      </c>
      <c r="C29" s="20" t="inlineStr">
        <is>
          <t>Industrials</t>
        </is>
      </c>
      <c r="D29" s="52" t="inlineStr">
        <is>
          <t>Aerospace &amp; Defense</t>
        </is>
      </c>
      <c r="E29" s="48" t="inlineStr">
        <is>
          <t>Breakout</t>
        </is>
      </c>
      <c r="F29" s="46" t="inlineStr">
        <is>
          <t>Mercury Systems, Inc. is a technology firm dedicated to the creation and delivery of a wide range of advanced components, modules, and integrated subsystems, primarily catering to the aerospace and defense industries. The company's operations span globally, with a presence in the United States, Europe, and the Asia Pacific regions. Its sophisticated solutions are vital to approximately 300 programs, supporting 25 defense contractors and numerous commercial aviation customers. The company's extensive product line includes intricate components such as power amplifiers, limiters, switches, oscillators, filters, equalizers, digital and analog converters, various chips, monolithic microwave integrated circuits (MMICs), and advanced memory and storage devices. Furthermore, it offers sophisticated modules and sub-assemblies, including embedded processing boards, switched fabric boards, digital receiver boards, multi-chip modules, integrated radio frequency (RF) and microwave multi-function as</t>
        </is>
      </c>
    </row>
    <row r="30" ht="60" customHeight="1">
      <c r="A30" s="25" t="inlineStr">
        <is>
          <t>BRC</t>
        </is>
      </c>
      <c r="B30" s="26" t="inlineStr">
        <is>
          <t>Brady Corporation</t>
        </is>
      </c>
      <c r="C30" s="26" t="inlineStr">
        <is>
          <t>Industrials</t>
        </is>
      </c>
      <c r="D30" s="26" t="inlineStr">
        <is>
          <t>Security &amp; Protection Services</t>
        </is>
      </c>
      <c r="E30" s="49" t="inlineStr">
        <is>
          <t>Breakout</t>
        </is>
      </c>
      <c r="F30" s="50" t="inlineStr">
        <is>
          <t>Brady Corporation, established in 1914 and based in Milwaukee, Wisconsin, operates as a global supplier of specialized identification and workplace safety products. The company’s core focus is on delivering solutions that facilitate the identification and protection of facilities, goods, and individuals across numerous industries worldwide. Its Identification Solutions (IDS) division provides a wide range of products for safeguarding and marking premises, including safety signs, floor-marking tapes, pipe markers, advanced labeling systems, spill control items, and lockout/tagout devices. For product management, IDS offers crucial materials, printing technologies, and RFID/barcode scanners used for initial product identification, brand integrity, tracking items through production, and final product labeling. Wire identification needs are met with handheld printers, wire markers, sleeves, and tags. Human identification offerings include name tags, badges, lanyards, rigid card printing sy</t>
        </is>
      </c>
    </row>
    <row r="31" ht="60" customHeight="1">
      <c r="A31" s="19" t="inlineStr">
        <is>
          <t>CE</t>
        </is>
      </c>
      <c r="B31" s="20" t="inlineStr">
        <is>
          <t>Celanese Corporation</t>
        </is>
      </c>
      <c r="C31" s="20" t="inlineStr">
        <is>
          <t>Basic Materials</t>
        </is>
      </c>
      <c r="D31" s="20" t="inlineStr">
        <is>
          <t>Chemicals</t>
        </is>
      </c>
      <c r="E31" s="48" t="inlineStr">
        <is>
          <t>Breakout</t>
        </is>
      </c>
      <c r="F31" s="46" t="inlineStr">
        <is>
          <t>Celanese Corporation produces and sells engineered polymers worldwide. It operates through Engineered Materials and Acetyl Chain segments. The company offers ethylene acrylic elastomers, ethylene vinyl acetate pharmaceutical grade copolymers, liquid crystal polymers, long-fiber reinforced thermoplastics, nylon and polypropylene compounds and formulations, polyoxymethylene, ultra-high molecular weight polyethylene, and thermoplastic elastomers, polyesters, and vulcanizates for use in appliance, automotive, construction, consumer apparel, consumer electronics, electrical, energy storage, filtration equipment, industrial, medical, and telecommunication applications. It also provides acetic acid and anhydride, acetate flakes and tows, butyl acetates, emulsion polymers, ethyl acetates, ethylene vinyl acetate resins and compounds, formaldehydes, redispersible powders, and vinyl acetate monomers for use in adhesives, automotive parts, coatings, consumer goods, external thermal insulation comp</t>
        </is>
      </c>
    </row>
    <row r="32" ht="60" customHeight="1">
      <c r="A32" s="25" t="inlineStr">
        <is>
          <t>LYFT</t>
        </is>
      </c>
      <c r="B32" s="26" t="inlineStr">
        <is>
          <t>Lyft, Inc.</t>
        </is>
      </c>
      <c r="C32" s="26" t="inlineStr">
        <is>
          <t>Technology</t>
        </is>
      </c>
      <c r="D32" s="26" t="inlineStr">
        <is>
          <t>Software - Application</t>
        </is>
      </c>
      <c r="E32" s="49" t="inlineStr">
        <is>
          <t>Breakout</t>
        </is>
      </c>
      <c r="F32" s="50" t="inlineStr">
        <is>
          <t>Lyft, Inc. facilitates a comprehensive, on-demand transportation platform spanning the United States and Canada. Its core mission involves offering users personalized and immediate access to diverse mobility solutions through its multimodal network. Among its primary services is the Ridesharing Marketplace, which seamlessly connects drivers with passengers. For drivers, the company provides Express Drive, a flexible program for vehicle rentals. Consumers can also utilize Lyft Rentals for longer-distance travel needs. Furthermore, in numerous urban centers, Lyft operates a fleet of shared bikes and scooters, ideal for shorter journeys. The Lyft app enhances its utility by incorporating public transit data, thereby expanding the array of available transport options for users. Beyond these offerings, the company also provides access to autonomous vehicles, specialized enterprise transportation solutions (including concierge services for organizations), and subscription benefits through it</t>
        </is>
      </c>
    </row>
    <row r="33" ht="60" customHeight="1">
      <c r="A33" s="19" t="inlineStr">
        <is>
          <t>RUN</t>
        </is>
      </c>
      <c r="B33" s="20" t="inlineStr">
        <is>
          <t>Sunrun Inc.</t>
        </is>
      </c>
      <c r="C33" s="20" t="inlineStr">
        <is>
          <t>Energy</t>
        </is>
      </c>
      <c r="D33" s="53" t="inlineStr">
        <is>
          <t>Solar</t>
        </is>
      </c>
      <c r="E33" s="48" t="inlineStr">
        <is>
          <t>Breakout</t>
        </is>
      </c>
      <c r="F33" s="46" t="inlineStr">
        <is>
          <t>Sunrun Inc. is a company operating in the United States that specializes in providing comprehensive residential solar energy solutions. Their services encompass the entire lifecycle of a solar system, from initial design and development through installation, sales, ongoing ownership, and maintenance. In addition to complete solar energy systems, Sunrun also offers individual components like solar panels and racking equipment. They further enhance their offerings by integrating battery storage capabilities with their solar installations. Residential homeowners are the primary clientele for Sunrun. The company utilizes a direct-to-consumer sales approach, employing a broad spectrum of marketing and sales channels, including online platforms, retail partnerships, mass and digital media advertising, door-to-door canvassing, field marketing, and referral programs. Sunrun Inc. was founded in 2007 and is headquartered in San Francisco, California.</t>
        </is>
      </c>
    </row>
    <row r="34" ht="60" customHeight="1">
      <c r="A34" s="25" t="inlineStr">
        <is>
          <t>ITRI</t>
        </is>
      </c>
      <c r="B34" s="26" t="inlineStr">
        <is>
          <t>Itron, Inc.</t>
        </is>
      </c>
      <c r="C34" s="26" t="inlineStr">
        <is>
          <t>Technology</t>
        </is>
      </c>
      <c r="D34" s="26" t="inlineStr">
        <is>
          <t>Hardware, Equipment &amp; Parts</t>
        </is>
      </c>
      <c r="E34" s="49" t="inlineStr">
        <is>
          <t>Breakout</t>
        </is>
      </c>
      <c r="F34" s="50" t="inlineStr">
        <is>
          <t>Itron, Inc., a technology, solutions, and service company, provides end-to-end solutions that help manage energy, water, and smart city operations worldwide. It operates in four segments: Device Solutions, Networked Solutions, Outcomes, and Resiliency Solution.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t>
        </is>
      </c>
    </row>
  </sheetData>
  <autoFilter ref="A4:F34"/>
  <mergeCells count="2">
    <mergeCell ref="A2:F2"/>
    <mergeCell ref="A1:F1"/>
  </mergeCells>
  <pageMargins left="0.75" right="0.75" top="1" bottom="1" header="0.5" footer="0.5"/>
  <pageSetup orientation="landscape" fitToWidth="1"/>
</worksheet>
</file>

<file path=xl/worksheets/sheet7.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0" t="inlineStr">
        <is>
          <t>Competitive Moats &amp; Structural Advantages</t>
        </is>
      </c>
      <c r="B1" s="11" t="n"/>
      <c r="C1" s="11" t="n"/>
      <c r="D1" s="11" t="n"/>
      <c r="E1" s="11" t="n"/>
      <c r="F1" s="11" t="n"/>
      <c r="G1" s="11" t="n"/>
    </row>
    <row r="2" ht="22" customHeight="1">
      <c r="A2" s="31" t="inlineStr">
        <is>
          <t>Derived from financial metrics  |  September 08,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INTT</t>
        </is>
      </c>
      <c r="B5" s="20" t="inlineStr">
        <is>
          <t>inTEST Corporation</t>
        </is>
      </c>
      <c r="C5" s="20" t="inlineStr">
        <is>
          <t>Semiconductors</t>
        </is>
      </c>
      <c r="D5" s="48" t="inlineStr">
        <is>
          <t>Nano Cap</t>
        </is>
      </c>
      <c r="E5" s="48" t="inlineStr">
        <is>
          <t>40%</t>
        </is>
      </c>
      <c r="F5" s="48" t="inlineStr">
        <is>
          <t>71</t>
        </is>
      </c>
      <c r="G5" s="46" t="inlineStr">
        <is>
          <t>Healthy margins (GM 40%) indicate differentiated products with some pricing power above commodity levels. Solid revenue growth (26% YoY) suggests growing demand and competitive positioning in target markets. Revenue acceleration (43% QoQ) — growth is compounding, indicating an inflection point or expanding customer adoption. Reasonable capital discipline (4% 3yr dilution) — moderate equity issuance suggests funded growth without excessive shareholder dilution. Meaningful insider ownership (13%) — management has material personal stake in company performance. Semiconductor design/fab expertise represents years of R&amp;D investment — a significant moat against new entrants. Fingerprint score of 71 — structural profile closely matches historical multi-bagger winners at their inflection points.</t>
        </is>
      </c>
    </row>
    <row r="6" ht="80" customHeight="1">
      <c r="A6" s="25" t="inlineStr">
        <is>
          <t>RELL</t>
        </is>
      </c>
      <c r="B6" s="26" t="inlineStr">
        <is>
          <t>Richardson Electronics, Ltd.</t>
        </is>
      </c>
      <c r="C6" s="26" t="inlineStr">
        <is>
          <t>Hardware, Equipment &amp; Parts</t>
        </is>
      </c>
      <c r="D6" s="49" t="inlineStr">
        <is>
          <t>Nano Cap</t>
        </is>
      </c>
      <c r="E6" s="49" t="inlineStr">
        <is>
          <t>31%</t>
        </is>
      </c>
      <c r="F6" s="49" t="inlineStr">
        <is>
          <t>69</t>
        </is>
      </c>
      <c r="G6" s="50" t="inlineStr">
        <is>
          <t>Moderate margins (GM 31%) — competitive market, but cost structure supports reinvestment. Solid revenue growth (28% YoY) suggests growing demand and competitive positioning in target markets. Revenue acceleration (18% QoQ) — growth is compounding, indicating an inflection point or expanding customer adoption. Exceptional capital discipline (-8% share growth over 3yr) — management avoids dilution, signaling confidence in organic cash generation. Meaningful insider ownership (18%) — management has material personal stake in company performance. Fingerprint score of 69 — structural profile closely matches historical multi-bagger winners at their inflection points.</t>
        </is>
      </c>
    </row>
    <row r="7" ht="80" customHeight="1">
      <c r="A7" s="19" t="inlineStr">
        <is>
          <t>RFIL</t>
        </is>
      </c>
      <c r="B7" s="20" t="inlineStr">
        <is>
          <t>RF Industries, Ltd.</t>
        </is>
      </c>
      <c r="C7" s="20" t="inlineStr">
        <is>
          <t>Electrical Equipment &amp; Parts</t>
        </is>
      </c>
      <c r="D7" s="48" t="inlineStr">
        <is>
          <t>Nano Cap</t>
        </is>
      </c>
      <c r="E7" s="48" t="inlineStr">
        <is>
          <t>35%</t>
        </is>
      </c>
      <c r="F7" s="48" t="inlineStr">
        <is>
          <t>66</t>
        </is>
      </c>
      <c r="G7" s="46" t="inlineStr">
        <is>
          <t>Moderate margins (GM 35%) — competitive market, but cost structure supports reinvestment. Reasonable capital discipline (5% 3yr dilution) — moderate equity issuance suggests funded growth without excessive shareholder dilution. High insider ownership (22%) — founder/management skin in the game strongly aligns incentives with shareholders. Fingerprint score of 66 — structural profile closely matches historical multi-bagger winners at their inflection points.</t>
        </is>
      </c>
    </row>
    <row r="8" ht="80" customHeight="1">
      <c r="A8" s="25" t="inlineStr">
        <is>
          <t>LTRX</t>
        </is>
      </c>
      <c r="B8" s="26" t="inlineStr">
        <is>
          <t>Lantronix, Inc.</t>
        </is>
      </c>
      <c r="C8" s="26" t="inlineStr">
        <is>
          <t>Communication Equipment</t>
        </is>
      </c>
      <c r="D8" s="49" t="inlineStr">
        <is>
          <t>Nano Cap</t>
        </is>
      </c>
      <c r="E8" s="49" t="inlineStr">
        <is>
          <t>44%</t>
        </is>
      </c>
      <c r="F8" s="49" t="inlineStr">
        <is>
          <t>62</t>
        </is>
      </c>
      <c r="G8" s="50" t="inlineStr">
        <is>
          <t>Healthy margins (GM 44%) indicate differentiated products with some pricing power above commodity levels. Revenue acceleration (49% QoQ) — growth is compounding, indicating an inflection point or expanding customer adoption. High insider ownership (22%) — founder/management skin in the game strongly aligns incentives with shareholders. Networking/communications infrastructure — installed base and switching costs create customer lock-in.</t>
        </is>
      </c>
    </row>
    <row r="9" ht="80" customHeight="1">
      <c r="A9" s="19" t="inlineStr">
        <is>
          <t>OPXS</t>
        </is>
      </c>
      <c r="B9" s="20" t="inlineStr">
        <is>
          <t>Optex Systems Holdings, Inc</t>
        </is>
      </c>
      <c r="C9" s="20" t="inlineStr">
        <is>
          <t>Aerospace &amp; Defense</t>
        </is>
      </c>
      <c r="D9" s="48" t="inlineStr">
        <is>
          <t>Nano Cap</t>
        </is>
      </c>
      <c r="E9" s="48" t="inlineStr">
        <is>
          <t>34%</t>
        </is>
      </c>
      <c r="F9" s="48" t="inlineStr">
        <is>
          <t>63</t>
        </is>
      </c>
      <c r="G9" s="46" t="inlineStr">
        <is>
          <t>Moderate margins (GM 34%) — competitive market, but cost structure supports reinvestment. Reasonable capital discipline (4% 3yr dilution) — moderate equity issuance suggests funded growth without excessive shareholder dilution. High insider ownership (21%) — founder/management skin in the game strongly aligns incentives with shareholders. Defense/aerospace positioning creates high barriers to entry via security clearances, government contracts, and long procurement cycles.</t>
        </is>
      </c>
    </row>
    <row r="10" ht="80" customHeight="1">
      <c r="A10" s="25" t="inlineStr">
        <is>
          <t>BKTI</t>
        </is>
      </c>
      <c r="B10" s="26" t="inlineStr">
        <is>
          <t>BK Technologies Corporation</t>
        </is>
      </c>
      <c r="C10" s="26" t="inlineStr">
        <is>
          <t>Communication Equipment</t>
        </is>
      </c>
      <c r="D10" s="49" t="inlineStr">
        <is>
          <t>Nano Cap</t>
        </is>
      </c>
      <c r="E10" s="49" t="inlineStr">
        <is>
          <t>52%</t>
        </is>
      </c>
      <c r="F10" s="49" t="inlineStr">
        <is>
          <t>62</t>
        </is>
      </c>
      <c r="G10" s="50" t="inlineStr">
        <is>
          <t>Healthy margins (GM 52%) indicate differentiated products with some pricing power above commodity levels. Revenue acceleration (6% QoQ) — growth is compounding, indicating an inflection point or expanding customer adoption. Reasonable capital discipline (10% 3yr dilution) — moderate equity issuance suggests funded growth without excessive shareholder dilution. High insider ownership (24%) — founder/management skin in the game strongly aligns incentives with shareholders. Networking/communications infrastructure — installed base and switching costs create customer lock-in.</t>
        </is>
      </c>
    </row>
    <row r="11" ht="80" customHeight="1">
      <c r="A11" s="19" t="inlineStr">
        <is>
          <t>ASYS</t>
        </is>
      </c>
      <c r="B11" s="20" t="inlineStr">
        <is>
          <t>Amtech Systems, Inc.</t>
        </is>
      </c>
      <c r="C11" s="20" t="inlineStr">
        <is>
          <t>Semiconductors</t>
        </is>
      </c>
      <c r="D11" s="48" t="inlineStr">
        <is>
          <t>Nano Cap</t>
        </is>
      </c>
      <c r="E11" s="48" t="inlineStr">
        <is>
          <t>50%</t>
        </is>
      </c>
      <c r="F11" s="48" t="inlineStr">
        <is>
          <t>64</t>
        </is>
      </c>
      <c r="G11" s="46" t="inlineStr">
        <is>
          <t>Healthy margins (GM 50%) indicate differentiated products with some pricing power above commodity levels. Revenue acceleration (41% QoQ) — growth is compounding, indicating an inflection point or expanding customer adoption. Reasonable capital discipline (9% 3yr dilution) — moderate equity issuance suggests funded growth without excessive shareholder dilution. High insider ownership (26%) — founder/management skin in the game strongly aligns incentives with shareholders. Semiconductor design/fab expertise represents years of R&amp;D investment — a significant moat against new entrants.</t>
        </is>
      </c>
    </row>
    <row r="12" ht="80" customHeight="1">
      <c r="A12" s="25" t="inlineStr">
        <is>
          <t>KVHI</t>
        </is>
      </c>
      <c r="B12" s="26" t="inlineStr">
        <is>
          <t>KVH Industries, Inc.</t>
        </is>
      </c>
      <c r="C12" s="26" t="inlineStr">
        <is>
          <t>Communication Equipment</t>
        </is>
      </c>
      <c r="D12" s="49" t="inlineStr">
        <is>
          <t>Nano Cap</t>
        </is>
      </c>
      <c r="E12" s="49" t="inlineStr">
        <is>
          <t>30%</t>
        </is>
      </c>
      <c r="F12" s="49" t="inlineStr">
        <is>
          <t>58</t>
        </is>
      </c>
      <c r="G12" s="50" t="inlineStr">
        <is>
          <t>Moderate margins (GM 30%) — competitive market, but cost structure supports reinvestment. Solid revenue growth (27% YoY) suggests growing demand and competitive positioning in target markets. Revenue acceleration (34% QoQ) — growth is compounding, indicating an inflection point or expanding customer adoption. Exceptional capital discipline (1% share growth over 3yr) — management avoids dilution, signaling confidence in organic cash generation. High insider ownership (35%) — founder/management skin in the game strongly aligns incentives with shareholders. Networking/communications infrastructure — installed base and switching costs create customer lock-in.</t>
        </is>
      </c>
    </row>
    <row r="13" ht="80" customHeight="1">
      <c r="A13" s="19" t="inlineStr">
        <is>
          <t>ESP</t>
        </is>
      </c>
      <c r="B13" s="20" t="inlineStr">
        <is>
          <t>Espey Mfg. &amp; Electronics Corp.</t>
        </is>
      </c>
      <c r="C13" s="20" t="inlineStr">
        <is>
          <t>Electrical Equipment &amp; Parts</t>
        </is>
      </c>
      <c r="D13" s="48" t="inlineStr">
        <is>
          <t>Nano Cap</t>
        </is>
      </c>
      <c r="E13" s="48" t="inlineStr">
        <is>
          <t>37%</t>
        </is>
      </c>
      <c r="F13" s="48" t="inlineStr">
        <is>
          <t>57</t>
        </is>
      </c>
      <c r="G13" s="46" t="inlineStr">
        <is>
          <t>Moderate margins (GM 37%) — competitive market, but cost structure supports reinvestment. High insider ownership (29%) — founder/management skin in the game strongly aligns incentives with shareholders.</t>
        </is>
      </c>
    </row>
    <row r="14" ht="80" customHeight="1">
      <c r="A14" s="25" t="inlineStr">
        <is>
          <t>ROC</t>
        </is>
      </c>
      <c r="B14" s="26" t="inlineStr">
        <is>
          <t>Rank One Computing Corp.</t>
        </is>
      </c>
      <c r="C14" s="26" t="inlineStr">
        <is>
          <t>Software - Application</t>
        </is>
      </c>
      <c r="D14" s="49" t="inlineStr">
        <is>
          <t>Nano Cap</t>
        </is>
      </c>
      <c r="E14" s="49" t="inlineStr">
        <is>
          <t>90%</t>
        </is>
      </c>
      <c r="F14" s="49" t="inlineStr">
        <is>
          <t>47</t>
        </is>
      </c>
      <c r="G14" s="50" t="inlineStr">
        <is>
          <t>Strong pricing power (GM 90%) suggests proprietary technology or IP-protected products with limited direct competition. Rapid revenue growth (93% YoY) signals strong product-market fit and expanding TAM capture. Exceptional capital discipline (0% share growth over 3yr) — management avoids dilution, signaling confidence in organic cash generation. High insider ownership (72%) — founder/management skin in the game strongly aligns incentives with shareholders.</t>
        </is>
      </c>
    </row>
    <row r="15" ht="80" customHeight="1">
      <c r="A15" s="19" t="inlineStr">
        <is>
          <t>SWBI</t>
        </is>
      </c>
      <c r="B15" s="20" t="inlineStr">
        <is>
          <t>Smith &amp; Wesson Brands, Inc.</t>
        </is>
      </c>
      <c r="C15" s="20" t="inlineStr">
        <is>
          <t>Aerospace &amp; Defense</t>
        </is>
      </c>
      <c r="D15" s="48" t="inlineStr">
        <is>
          <t>Small Cap</t>
        </is>
      </c>
      <c r="E15" s="48" t="inlineStr">
        <is>
          <t>29%</t>
        </is>
      </c>
      <c r="F15" s="48" t="inlineStr">
        <is>
          <t>85</t>
        </is>
      </c>
      <c r="G15" s="46" t="inlineStr">
        <is>
          <t>Moderate margins (GM 29%) — competitive market, but cost structure supports reinvestment. Solid revenue growth (32% YoY) suggests growing demand and competitive positioning in target markets. Revenue acceleration (36%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85 — structural profile closely matches historical multi-bagger winners at their inflection points.</t>
        </is>
      </c>
    </row>
    <row r="16" ht="80" customHeight="1">
      <c r="A16" s="25" t="inlineStr">
        <is>
          <t>PKE</t>
        </is>
      </c>
      <c r="B16" s="26" t="inlineStr">
        <is>
          <t>Park Aerospace Corp.</t>
        </is>
      </c>
      <c r="C16" s="26" t="inlineStr">
        <is>
          <t>Aerospace &amp; Defense</t>
        </is>
      </c>
      <c r="D16" s="49" t="inlineStr">
        <is>
          <t>Small Cap</t>
        </is>
      </c>
      <c r="E16" s="49" t="inlineStr">
        <is>
          <t>35%</t>
        </is>
      </c>
      <c r="F16" s="49" t="inlineStr">
        <is>
          <t>85</t>
        </is>
      </c>
      <c r="G16" s="50" t="inlineStr">
        <is>
          <t>Moderate margins (GM 35%) — competitive market, but cost structure supports reinvestment. Revenue acceleration (9% QoQ) — growth is compounding, indicating an inflection point or expanding customer adoption. Reasonable capital discipline (3% 3yr dilution) — moderate equity issuance suggests funded growth without excessive shareholder dilution. Defense/aerospace positioning creates high barriers to entry via security clearances, government contracts, and long procurement cycles. Fingerprint score of 85 — structural profile closely matches historical multi-bagger winners at their inflection points.</t>
        </is>
      </c>
    </row>
    <row r="17" ht="80" customHeight="1">
      <c r="A17" s="19" t="inlineStr">
        <is>
          <t>EVLV</t>
        </is>
      </c>
      <c r="B17" s="20" t="inlineStr">
        <is>
          <t>Evolv Technologies Holdings, Inc.</t>
        </is>
      </c>
      <c r="C17" s="20" t="inlineStr">
        <is>
          <t>Security &amp; Protection Services</t>
        </is>
      </c>
      <c r="D17" s="48" t="inlineStr">
        <is>
          <t>Small Cap</t>
        </is>
      </c>
      <c r="E17" s="48" t="inlineStr">
        <is>
          <t>50%</t>
        </is>
      </c>
      <c r="F17" s="48" t="inlineStr">
        <is>
          <t>74</t>
        </is>
      </c>
      <c r="G17" s="46" t="inlineStr">
        <is>
          <t>Healthy margins (GM 50%) indicate differentiated products with some pricing power above commodity levels. Solid revenue growth (34% YoY) suggests growing demand and competitive positioning in target markets. Revenue acceleration (7% QoQ) — growth is compounding, indicating an inflection point or expanding customer adoption. Fingerprint score of 74 — structural profile closely matches historical multi-bagger winners at their inflection points.</t>
        </is>
      </c>
    </row>
    <row r="18" ht="80" customHeight="1">
      <c r="A18" s="25" t="inlineStr">
        <is>
          <t>GHM</t>
        </is>
      </c>
      <c r="B18" s="26" t="inlineStr">
        <is>
          <t>Graham Corporation</t>
        </is>
      </c>
      <c r="C18" s="26" t="inlineStr">
        <is>
          <t>Industrial - Machinery</t>
        </is>
      </c>
      <c r="D18" s="49" t="inlineStr">
        <is>
          <t>Small Cap</t>
        </is>
      </c>
      <c r="E18" s="49" t="inlineStr">
        <is>
          <t>25%</t>
        </is>
      </c>
      <c r="F18" s="49" t="inlineStr">
        <is>
          <t>88</t>
        </is>
      </c>
      <c r="G18" s="50" t="inlineStr">
        <is>
          <t>Moderate margins (GM 25%) — competitive market, but cost structure supports reinvestment. Solid revenue growth (29% YoY) suggests growing demand and competitive positioning in target markets. Revenue acceleration (18% QoQ) — growth is compounding, indicating an inflection point or expanding customer adoption. Reasonable capital discipline (8% 3yr dilution) — moderate equity issuance suggests funded growth without excessive shareholder dilution. Fingerprint score of 88 — structural profile closely matches historical multi-bagger winners at their inflection points.</t>
        </is>
      </c>
    </row>
    <row r="19" ht="80" customHeight="1">
      <c r="A19" s="19" t="inlineStr">
        <is>
          <t>ADTN</t>
        </is>
      </c>
      <c r="B19" s="20" t="inlineStr">
        <is>
          <t>ADTRAN Holdings Inc.</t>
        </is>
      </c>
      <c r="C19" s="20" t="inlineStr">
        <is>
          <t>Communication Equipment</t>
        </is>
      </c>
      <c r="D19" s="48" t="inlineStr">
        <is>
          <t>Small Cap</t>
        </is>
      </c>
      <c r="E19" s="48" t="inlineStr">
        <is>
          <t>37%</t>
        </is>
      </c>
      <c r="F19" s="48" t="inlineStr">
        <is>
          <t>77</t>
        </is>
      </c>
      <c r="G19" s="46" t="inlineStr">
        <is>
          <t>Moderate margins (GM 37%) — competitive market, but cost structure supports reinvestment. Exceptional capital discipline (3% share growth over 3yr) — management avoids dilution, signaling confidence in organic cash generation. Networking/communications infrastructure — installed base and switching costs create customer lock-in. Fingerprint score of 77 — structural profile closely matches historical multi-bagger winners at their inflection points.</t>
        </is>
      </c>
    </row>
    <row r="20" ht="80" customHeight="1">
      <c r="A20" s="25" t="inlineStr">
        <is>
          <t>ARLO</t>
        </is>
      </c>
      <c r="B20" s="26" t="inlineStr">
        <is>
          <t>Arlo Technologies, Inc.</t>
        </is>
      </c>
      <c r="C20" s="26" t="inlineStr">
        <is>
          <t>Communication Equipment</t>
        </is>
      </c>
      <c r="D20" s="49" t="inlineStr">
        <is>
          <t>Small Cap</t>
        </is>
      </c>
      <c r="E20" s="49" t="inlineStr">
        <is>
          <t>48%</t>
        </is>
      </c>
      <c r="F20" s="49" t="inlineStr">
        <is>
          <t>73</t>
        </is>
      </c>
      <c r="G20" s="50" t="inlineStr">
        <is>
          <t>Healthy margins (GM 48%) indicate differentiated products with some pricing power above commodity levels. Revenue acceleration (19% QoQ) — growth is compounding, indicating an inflection point or expanding customer adoption. Networking/communications infrastructure — installed base and switching costs create customer lock-in. Fingerprint score of 73 — structural profile closely matches historical multi-bagger winners at their inflection points.</t>
        </is>
      </c>
    </row>
    <row r="21" ht="80" customHeight="1">
      <c r="A21" s="19" t="inlineStr">
        <is>
          <t>TRC</t>
        </is>
      </c>
      <c r="B21" s="20" t="inlineStr">
        <is>
          <t>Tejon Ranch Co.</t>
        </is>
      </c>
      <c r="C21" s="20" t="inlineStr">
        <is>
          <t>Conglomerates</t>
        </is>
      </c>
      <c r="D21" s="48" t="inlineStr">
        <is>
          <t>Small Cap</t>
        </is>
      </c>
      <c r="E21" s="48" t="inlineStr">
        <is>
          <t>22%</t>
        </is>
      </c>
      <c r="F21" s="48" t="inlineStr">
        <is>
          <t>69</t>
        </is>
      </c>
      <c r="G21" s="46" t="inlineStr">
        <is>
          <t>Rapid revenue growth (72% YoY) signals strong product-market fit and expanding TAM capture. Revenue acceleration (26% QoQ) — growth is compounding, indicating an inflection point or expanding customer adoption. Exceptional capital discipline (-1% share growth over 3yr) — management avoids dilution, signaling confidence in organic cash generation. Fingerprint score of 69 — structural profile closely matches historical multi-bagger winners at their inflection points.</t>
        </is>
      </c>
    </row>
    <row r="22" ht="80" customHeight="1">
      <c r="A22" s="25" t="inlineStr">
        <is>
          <t>INOD</t>
        </is>
      </c>
      <c r="B22" s="26" t="inlineStr">
        <is>
          <t>Innodata Inc.</t>
        </is>
      </c>
      <c r="C22" s="26" t="inlineStr">
        <is>
          <t>Information Technology Services</t>
        </is>
      </c>
      <c r="D22" s="49" t="inlineStr">
        <is>
          <t>Small Cap</t>
        </is>
      </c>
      <c r="E22" s="49" t="inlineStr">
        <is>
          <t>46%</t>
        </is>
      </c>
      <c r="F22" s="49" t="inlineStr">
        <is>
          <t>70</t>
        </is>
      </c>
      <c r="G22" s="50" t="inlineStr">
        <is>
          <t>Healthy margins (GM 46%) indicate differentiated products with some pricing power above commodity levels. Rapid revenue growth (58% YoY) signals strong product-market fit and expanding TAM capture. Fingerprint score of 70 — structural profile closely matches historical multi-bagger winners at their inflection points.</t>
        </is>
      </c>
    </row>
    <row r="23" ht="80" customHeight="1">
      <c r="A23" s="19" t="inlineStr">
        <is>
          <t>CDRE</t>
        </is>
      </c>
      <c r="B23" s="20" t="inlineStr">
        <is>
          <t>Cadre Holdings, Inc.</t>
        </is>
      </c>
      <c r="C23" s="20" t="inlineStr">
        <is>
          <t>Aerospace &amp; Defense</t>
        </is>
      </c>
      <c r="D23" s="48" t="inlineStr">
        <is>
          <t>Small Cap</t>
        </is>
      </c>
      <c r="E23" s="48" t="inlineStr">
        <is>
          <t>42%</t>
        </is>
      </c>
      <c r="F23" s="48" t="inlineStr">
        <is>
          <t>67</t>
        </is>
      </c>
      <c r="G23" s="46" t="inlineStr">
        <is>
          <t>Healthy margins (GM 42%) indicate differentiated products with some pricing power above commodity levels. Solid revenue growth (32% YoY) suggests growing demand and competitive positioning in target markets. Revenue acceleration (23% QoQ) — growth is compounding, indicating an inflection point or expanding customer adoption. High insider ownership (34%) — founder/management skin in the game strongly aligns incentives with shareholders. Defense/aerospace positioning creates high barriers to entry via security clearances, government contracts, and long procurement cycles. Fingerprint score of 67 — structural profile closely matches historical multi-bagger winners at their inflection points.</t>
        </is>
      </c>
    </row>
    <row r="24" ht="80" customHeight="1">
      <c r="A24" s="25" t="inlineStr">
        <is>
          <t>SHLS</t>
        </is>
      </c>
      <c r="B24" s="26" t="inlineStr">
        <is>
          <t>Shoals Technologies Group, Inc.</t>
        </is>
      </c>
      <c r="C24" s="26" t="inlineStr">
        <is>
          <t>Solar</t>
        </is>
      </c>
      <c r="D24" s="49" t="inlineStr">
        <is>
          <t>Small Cap</t>
        </is>
      </c>
      <c r="E24" s="49" t="inlineStr">
        <is>
          <t>30%</t>
        </is>
      </c>
      <c r="F24" s="49" t="inlineStr">
        <is>
          <t>74</t>
        </is>
      </c>
      <c r="G24" s="50" t="inlineStr">
        <is>
          <t>Moderate margins (GM 30%) — competitive market, but cost structure supports reinvestment. Solid revenue growth (47% YoY) suggests growing demand and competitive positioning in target markets. Revenue acceleration (36% QoQ) — growth is compounding, indicating an inflection point or expanding customer adoption. Exceptional capital discipline (-1% share growth over 3yr) — management avoids dilution, signaling confidence in organic cash generation. Fingerprint score of 74 — structural profile closely matches historical multi-bagger winners at their inflection points.</t>
        </is>
      </c>
    </row>
    <row r="25" ht="80" customHeight="1">
      <c r="A25" s="19" t="inlineStr">
        <is>
          <t>CALX</t>
        </is>
      </c>
      <c r="B25" s="20" t="inlineStr">
        <is>
          <t>Calix, Inc.</t>
        </is>
      </c>
      <c r="C25" s="20" t="inlineStr">
        <is>
          <t>Communication Equipment</t>
        </is>
      </c>
      <c r="D25" s="48" t="inlineStr">
        <is>
          <t>Breakout</t>
        </is>
      </c>
      <c r="E25" s="48" t="inlineStr">
        <is>
          <t>55%</t>
        </is>
      </c>
      <c r="F25" s="48" t="inlineStr">
        <is>
          <t>84</t>
        </is>
      </c>
      <c r="G25" s="46" t="inlineStr">
        <is>
          <t>Healthy margins (GM 55%) indicate differentiated products with some pricing power above commodity levels. Exceptional capital discipline (-4% share growth over 3yr) — management avoids dilution, signaling confidence in organic cash generation. Networking/communications infrastructure — installed base and switching costs create customer lock-in. Fingerprint score of 84 — structural profile closely matches historical multi-bagger winners at their inflection points.</t>
        </is>
      </c>
    </row>
    <row r="26" ht="80" customHeight="1">
      <c r="A26" s="25" t="inlineStr">
        <is>
          <t>ADEA</t>
        </is>
      </c>
      <c r="B26" s="26" t="inlineStr">
        <is>
          <t>Adeia Inc.</t>
        </is>
      </c>
      <c r="C26" s="26" t="inlineStr">
        <is>
          <t>Software - Application</t>
        </is>
      </c>
      <c r="D26" s="49" t="inlineStr">
        <is>
          <t>Breakout</t>
        </is>
      </c>
      <c r="E26" s="49" t="inlineStr">
        <is>
          <t>26%</t>
        </is>
      </c>
      <c r="F26" s="49" t="inlineStr">
        <is>
          <t>80</t>
        </is>
      </c>
      <c r="G26" s="50" t="inlineStr">
        <is>
          <t>Moderate margins (GM 26%) — competitive market, but cost structure supports reinvestment. Revenue acceleration (14% QoQ) — growth is compounding, indicating an inflection point or expanding customer adoption. Reasonable capital discipline (3% 3yr dilution) — moderate equity issuance suggests funded growth without excessive shareholder dilution. Fingerprint score of 80 — structural profile closely matches historical multi-bagger winners at their inflection points.</t>
        </is>
      </c>
    </row>
    <row r="27" ht="80" customHeight="1">
      <c r="A27" s="19" t="inlineStr">
        <is>
          <t>DCI</t>
        </is>
      </c>
      <c r="B27" s="20" t="inlineStr">
        <is>
          <t>Donaldson Company, Inc.</t>
        </is>
      </c>
      <c r="C27" s="20" t="inlineStr">
        <is>
          <t>Industrial - Machinery</t>
        </is>
      </c>
      <c r="D27" s="48" t="inlineStr">
        <is>
          <t>Breakout</t>
        </is>
      </c>
      <c r="E27" s="48" t="inlineStr">
        <is>
          <t>36%</t>
        </is>
      </c>
      <c r="F27" s="48" t="inlineStr">
        <is>
          <t>79</t>
        </is>
      </c>
      <c r="G27" s="46" t="inlineStr">
        <is>
          <t>Moderate margins (GM 36%) — competitive market, but cost structure supports reinvestment. Exceptional capital discipline (-4% share growth over 3yr) — management avoids dilution, signaling confidence in organic cash generation. Fingerprint score of 79 — structural profile closely matches historical multi-bagger winners at their inflection points.</t>
        </is>
      </c>
    </row>
    <row r="28" ht="80" customHeight="1">
      <c r="A28" s="25" t="inlineStr">
        <is>
          <t>CACI</t>
        </is>
      </c>
      <c r="B28" s="26" t="inlineStr">
        <is>
          <t>CACI International Inc</t>
        </is>
      </c>
      <c r="C28" s="26" t="inlineStr">
        <is>
          <t>Information Technology Services</t>
        </is>
      </c>
      <c r="D28" s="49" t="inlineStr">
        <is>
          <t>Breakout</t>
        </is>
      </c>
      <c r="E28" s="49" t="inlineStr">
        <is>
          <t>34%</t>
        </is>
      </c>
      <c r="F28" s="49" t="inlineStr">
        <is>
          <t>80</t>
        </is>
      </c>
      <c r="G28" s="50" t="inlineStr">
        <is>
          <t>Moderate margins (GM 34%) — competitive market, but cost structure supports reinvestment. Exceptional capital discipline (-2% share growth over 3yr) — management avoids dilution, signaling confidence in organic cash generation. Fingerprint score of 80 — structural profile closely matches historical multi-bagger winners at their inflection points.</t>
        </is>
      </c>
    </row>
    <row r="29" ht="80" customHeight="1">
      <c r="A29" s="19" t="inlineStr">
        <is>
          <t>MRCY</t>
        </is>
      </c>
      <c r="B29" s="20" t="inlineStr">
        <is>
          <t>Mercury Systems, Inc.</t>
        </is>
      </c>
      <c r="C29" s="20" t="inlineStr">
        <is>
          <t>Aerospace &amp; Defense</t>
        </is>
      </c>
      <c r="D29" s="48" t="inlineStr">
        <is>
          <t>Breakout</t>
        </is>
      </c>
      <c r="E29" s="48" t="inlineStr">
        <is>
          <t>27%</t>
        </is>
      </c>
      <c r="F29" s="48" t="inlineStr">
        <is>
          <t>71</t>
        </is>
      </c>
      <c r="G29" s="46" t="inlineStr">
        <is>
          <t>Moderate margins (GM 27%) — competitive market, but cost structure supports reinvestment. Reasonable capital discipline (4% 3yr dilution) — moderate equity issuance suggests funded growth without excessive shareholder dilution. Defense/aerospace positioning creates high barriers to entry via security clearances, government contracts, and long procurement cycles. Fingerprint score of 71 — structural profile closely matches historical multi-bagger winners at their inflection points.</t>
        </is>
      </c>
    </row>
    <row r="30" ht="80" customHeight="1">
      <c r="A30" s="25" t="inlineStr">
        <is>
          <t>BRC</t>
        </is>
      </c>
      <c r="B30" s="26" t="inlineStr">
        <is>
          <t>Brady Corporation</t>
        </is>
      </c>
      <c r="C30" s="26" t="inlineStr">
        <is>
          <t>Security &amp; Protection Services</t>
        </is>
      </c>
      <c r="D30" s="49" t="inlineStr">
        <is>
          <t>Breakout</t>
        </is>
      </c>
      <c r="E30" s="49" t="inlineStr">
        <is>
          <t>53%</t>
        </is>
      </c>
      <c r="F30" s="49" t="inlineStr">
        <is>
          <t>75</t>
        </is>
      </c>
      <c r="G30" s="50" t="inlineStr">
        <is>
          <t>Healthy margins (GM 53%) indicate differentiated products with some pricing power above commodity levels. Exceptional capital discipline (-2% share growth over 3yr) — management avoids dilution, signaling confidence in organic cash generation. Meaningful insider ownership (10%) — management has material personal stake in company performance. Fingerprint score of 75 — structural profile closely matches historical multi-bagger winners at their inflection points.</t>
        </is>
      </c>
    </row>
    <row r="31" ht="80" customHeight="1">
      <c r="A31" s="19" t="inlineStr">
        <is>
          <t>CE</t>
        </is>
      </c>
      <c r="B31" s="20" t="inlineStr">
        <is>
          <t>Celanese Corporation</t>
        </is>
      </c>
      <c r="C31" s="20" t="inlineStr">
        <is>
          <t>Chemicals</t>
        </is>
      </c>
      <c r="D31" s="48" t="inlineStr">
        <is>
          <t>Breakout</t>
        </is>
      </c>
      <c r="E31" s="48" t="inlineStr">
        <is>
          <t>22%</t>
        </is>
      </c>
      <c r="F31" s="48" t="inlineStr">
        <is>
          <t>74</t>
        </is>
      </c>
      <c r="G31" s="46" t="inlineStr">
        <is>
          <t>Revenue acceleration (13% QoQ) — growth is compounding, indicating an inflection point or expanding customer adoption. Exceptional capital discipline (1% share growth over 3yr) — management avoids dilution, signaling confidence in organic cash generation. Fingerprint score of 74 — structural profile closely matches historical multi-bagger winners at their inflection points.</t>
        </is>
      </c>
    </row>
    <row r="32" ht="80" customHeight="1">
      <c r="A32" s="25" t="inlineStr">
        <is>
          <t>LYFT</t>
        </is>
      </c>
      <c r="B32" s="26" t="inlineStr">
        <is>
          <t>Lyft, Inc.</t>
        </is>
      </c>
      <c r="C32" s="26" t="inlineStr">
        <is>
          <t>Software - Application</t>
        </is>
      </c>
      <c r="D32" s="49" t="inlineStr">
        <is>
          <t>Breakout</t>
        </is>
      </c>
      <c r="E32" s="49" t="inlineStr">
        <is>
          <t>50%</t>
        </is>
      </c>
      <c r="F32" s="49" t="inlineStr">
        <is>
          <t>78</t>
        </is>
      </c>
      <c r="G32" s="50" t="inlineStr">
        <is>
          <t>Healthy margins (GM 50%) indicate differentiated products with some pricing power above commodity levels. Revenue acceleration (6% QoQ) — growth is compounding, indicating an inflection point or expanding customer adoption. Exceptional capital discipline (-2% share growth over 3yr) — management avoids dilution, signaling confidence in organic cash generation. Meaningful insider ownership (10%) — management has material personal stake in company performance. Fingerprint score of 78 — structural profile closely matches historical multi-bagger winners at their inflection points.</t>
        </is>
      </c>
    </row>
    <row r="33" ht="80" customHeight="1">
      <c r="A33" s="19" t="inlineStr">
        <is>
          <t>RUN</t>
        </is>
      </c>
      <c r="B33" s="20" t="inlineStr">
        <is>
          <t>Sunrun Inc.</t>
        </is>
      </c>
      <c r="C33" s="20" t="inlineStr">
        <is>
          <t>Solar</t>
        </is>
      </c>
      <c r="D33" s="48" t="inlineStr">
        <is>
          <t>Breakout</t>
        </is>
      </c>
      <c r="E33" s="48" t="inlineStr">
        <is>
          <t>38%</t>
        </is>
      </c>
      <c r="F33" s="48" t="inlineStr">
        <is>
          <t>71</t>
        </is>
      </c>
      <c r="G33" s="46" t="inlineStr">
        <is>
          <t>Moderate margins (GM 38%) — competitive market, but cost structure supports reinvestment. Rapid revenue growth (53% YoY) signals strong product-market fit and expanding TAM capture. Revenue acceleration (44% QoQ) — growth is compounding, indicating an inflection point or expanding customer adoption. Reasonable capital discipline (10% 3yr dilution) — moderate equity issuance suggests funded growth without excessive shareholder dilution. Fingerprint score of 71 — structural profile closely matches historical multi-bagger winners at their inflection points.</t>
        </is>
      </c>
    </row>
    <row r="34" ht="80" customHeight="1">
      <c r="A34" s="25" t="inlineStr">
        <is>
          <t>ITRI</t>
        </is>
      </c>
      <c r="B34" s="26" t="inlineStr">
        <is>
          <t>Itron, Inc.</t>
        </is>
      </c>
      <c r="C34" s="26" t="inlineStr">
        <is>
          <t>Hardware, Equipment &amp; Parts</t>
        </is>
      </c>
      <c r="D34" s="49" t="inlineStr">
        <is>
          <t>Breakout</t>
        </is>
      </c>
      <c r="E34" s="49" t="inlineStr">
        <is>
          <t>41%</t>
        </is>
      </c>
      <c r="F34" s="49" t="inlineStr">
        <is>
          <t>74</t>
        </is>
      </c>
      <c r="G34" s="50" t="inlineStr">
        <is>
          <t>Healthy margins (GM 41%) indicate differentiated products with some pricing power above commodity levels. Exceptional capital discipline (-2% share growth over 3yr) — management avoids dilution, signaling confidence in organic cash generation. Fingerprint score of 74 — structural profile closely matches historical multi-bagger winners at their inflection points.</t>
        </is>
      </c>
    </row>
  </sheetData>
  <autoFilter ref="A4:G34"/>
  <mergeCells count="2">
    <mergeCell ref="A2:G2"/>
    <mergeCell ref="A1:G1"/>
  </mergeCells>
  <pageMargins left="0.75" right="0.75" top="1" bottom="1" header="0.5" footer="0.5"/>
  <pageSetup orientation="landscape" fitToWidth="1"/>
</worksheet>
</file>

<file path=xl/worksheets/sheet8.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0" t="inlineStr">
        <is>
          <t>CROSS-TIER STANDOUTS</t>
        </is>
      </c>
      <c r="B1" s="11" t="n"/>
      <c r="C1" s="11" t="n"/>
      <c r="D1" s="11" t="n"/>
      <c r="E1" s="11" t="n"/>
      <c r="F1" s="11" t="n"/>
      <c r="G1" s="11" t="n"/>
      <c r="H1" s="11" t="n"/>
      <c r="I1" s="11" t="n"/>
      <c r="J1" s="11" t="n"/>
      <c r="K1" s="11" t="n"/>
      <c r="L1" s="11" t="n"/>
      <c r="M1" s="11" t="n"/>
      <c r="N1" s="11" t="n"/>
    </row>
    <row r="2" ht="22" customHeight="1">
      <c r="A2" s="31" t="inlineStr">
        <is>
          <t>Top performers across all metrics  |  September 08, 2026</t>
        </is>
      </c>
      <c r="B2" s="12" t="n"/>
      <c r="C2" s="12" t="n"/>
      <c r="D2" s="12" t="n"/>
      <c r="E2" s="12" t="n"/>
      <c r="F2" s="12" t="n"/>
      <c r="G2" s="12" t="n"/>
      <c r="H2" s="12" t="n"/>
      <c r="I2" s="12" t="n"/>
      <c r="J2" s="12" t="n"/>
      <c r="K2" s="12" t="n"/>
      <c r="L2" s="12" t="n"/>
      <c r="M2" s="12" t="n"/>
      <c r="N2" s="12" t="n"/>
    </row>
    <row r="3" ht="8" customHeight="1"/>
    <row r="4" ht="22" customHeight="1">
      <c r="B4" s="54" t="inlineStr">
        <is>
          <t>🏆 Highest Score</t>
        </is>
      </c>
      <c r="C4" s="17" t="n"/>
      <c r="D4" s="17" t="n"/>
      <c r="E4" s="17" t="n"/>
      <c r="F4" s="17" t="n"/>
      <c r="G4" s="55" t="n"/>
      <c r="I4" s="54" t="inlineStr">
        <is>
          <t>🔒 Lowest Dilution</t>
        </is>
      </c>
      <c r="J4" s="17" t="n"/>
      <c r="K4" s="17" t="n"/>
      <c r="L4" s="17" t="n"/>
      <c r="M4" s="17" t="n"/>
      <c r="N4" s="55" t="n"/>
    </row>
    <row r="5" ht="18" customHeight="1">
      <c r="B5" s="56" t="inlineStr">
        <is>
          <t>Rank</t>
        </is>
      </c>
      <c r="C5" s="18" t="inlineStr">
        <is>
          <t>Ticker</t>
        </is>
      </c>
      <c r="D5" s="18" t="inlineStr">
        <is>
          <t>Company</t>
        </is>
      </c>
      <c r="E5" s="18" t="inlineStr">
        <is>
          <t>Score</t>
        </is>
      </c>
      <c r="F5" s="18" t="inlineStr">
        <is>
          <t>Tier</t>
        </is>
      </c>
      <c r="G5" s="57" t="inlineStr">
        <is>
          <t>Score</t>
        </is>
      </c>
      <c r="I5" s="56" t="inlineStr">
        <is>
          <t>Rank</t>
        </is>
      </c>
      <c r="J5" s="18" t="inlineStr">
        <is>
          <t>Ticker</t>
        </is>
      </c>
      <c r="K5" s="18" t="inlineStr">
        <is>
          <t>Company</t>
        </is>
      </c>
      <c r="L5" s="18" t="inlineStr">
        <is>
          <t>Dil %</t>
        </is>
      </c>
      <c r="M5" s="18" t="inlineStr">
        <is>
          <t>Tier</t>
        </is>
      </c>
      <c r="N5" s="57" t="inlineStr">
        <is>
          <t>Score</t>
        </is>
      </c>
    </row>
    <row r="6" ht="16" customHeight="1">
      <c r="B6" s="58" t="inlineStr">
        <is>
          <t>🥇</t>
        </is>
      </c>
      <c r="C6" s="19" t="inlineStr">
        <is>
          <t>SWBI</t>
        </is>
      </c>
      <c r="D6" s="20" t="inlineStr">
        <is>
          <t>Smith &amp; Wesson Brands, Inc.</t>
        </is>
      </c>
      <c r="E6" s="35" t="n">
        <v>79.40000000000001</v>
      </c>
      <c r="F6" s="48" t="inlineStr">
        <is>
          <t>Small Cap</t>
        </is>
      </c>
      <c r="G6" s="59" t="n">
        <v>79.40000000000001</v>
      </c>
      <c r="I6" s="58" t="inlineStr">
        <is>
          <t>🥇</t>
        </is>
      </c>
      <c r="J6" s="19" t="inlineStr">
        <is>
          <t>RELL</t>
        </is>
      </c>
      <c r="K6" s="20" t="inlineStr">
        <is>
          <t>Richardson Electronics, Ltd.</t>
        </is>
      </c>
      <c r="L6" s="35" t="n">
        <v>-7.9</v>
      </c>
      <c r="M6" s="48" t="inlineStr">
        <is>
          <t>Nano Cap</t>
        </is>
      </c>
      <c r="N6" s="59" t="n">
        <v>69.59999999999999</v>
      </c>
    </row>
    <row r="7" ht="16" customHeight="1">
      <c r="B7" s="60" t="inlineStr">
        <is>
          <t>🥈</t>
        </is>
      </c>
      <c r="C7" s="25" t="inlineStr">
        <is>
          <t>PKE</t>
        </is>
      </c>
      <c r="D7" s="26" t="inlineStr">
        <is>
          <t>Park Aerospace Corp.</t>
        </is>
      </c>
      <c r="E7" s="41" t="n">
        <v>78.5</v>
      </c>
      <c r="F7" s="49" t="inlineStr">
        <is>
          <t>Small Cap</t>
        </is>
      </c>
      <c r="G7" s="61" t="n">
        <v>78.5</v>
      </c>
      <c r="I7" s="60" t="inlineStr">
        <is>
          <t>🥈</t>
        </is>
      </c>
      <c r="J7" s="25" t="inlineStr">
        <is>
          <t>CALX</t>
        </is>
      </c>
      <c r="K7" s="26" t="inlineStr">
        <is>
          <t>Calix, Inc.</t>
        </is>
      </c>
      <c r="L7" s="41" t="n">
        <v>-4.2</v>
      </c>
      <c r="M7" s="49" t="inlineStr">
        <is>
          <t>Breakout</t>
        </is>
      </c>
      <c r="N7" s="61" t="n">
        <v>77.5</v>
      </c>
    </row>
    <row r="8" ht="16" customHeight="1">
      <c r="B8" s="58" t="inlineStr">
        <is>
          <t>🥉</t>
        </is>
      </c>
      <c r="C8" s="19" t="inlineStr">
        <is>
          <t>CALX</t>
        </is>
      </c>
      <c r="D8" s="20" t="inlineStr">
        <is>
          <t>Calix, Inc.</t>
        </is>
      </c>
      <c r="E8" s="35" t="n">
        <v>77.5</v>
      </c>
      <c r="F8" s="48" t="inlineStr">
        <is>
          <t>Breakout</t>
        </is>
      </c>
      <c r="G8" s="59" t="n">
        <v>77.5</v>
      </c>
      <c r="I8" s="58" t="inlineStr">
        <is>
          <t>🥉</t>
        </is>
      </c>
      <c r="J8" s="19" t="inlineStr">
        <is>
          <t>DCI</t>
        </is>
      </c>
      <c r="K8" s="20" t="inlineStr">
        <is>
          <t>Donaldson Company, Inc.</t>
        </is>
      </c>
      <c r="L8" s="35" t="n">
        <v>-4.2</v>
      </c>
      <c r="M8" s="48" t="inlineStr">
        <is>
          <t>Breakout</t>
        </is>
      </c>
      <c r="N8" s="59" t="n">
        <v>73.09999999999999</v>
      </c>
    </row>
    <row r="9" ht="16" customHeight="1">
      <c r="B9" s="60" t="inlineStr">
        <is>
          <t>4th</t>
        </is>
      </c>
      <c r="C9" s="25" t="inlineStr">
        <is>
          <t>ADEA</t>
        </is>
      </c>
      <c r="D9" s="26" t="inlineStr">
        <is>
          <t>Adeia Inc.</t>
        </is>
      </c>
      <c r="E9" s="41" t="n">
        <v>73.40000000000001</v>
      </c>
      <c r="F9" s="49" t="inlineStr">
        <is>
          <t>Breakout</t>
        </is>
      </c>
      <c r="G9" s="61" t="n">
        <v>73.40000000000001</v>
      </c>
      <c r="I9" s="60" t="inlineStr">
        <is>
          <t>4th</t>
        </is>
      </c>
      <c r="J9" s="25" t="inlineStr">
        <is>
          <t>SWBI</t>
        </is>
      </c>
      <c r="K9" s="26" t="inlineStr">
        <is>
          <t>Smith &amp; Wesson Brands, Inc.</t>
        </is>
      </c>
      <c r="L9" s="41" t="n">
        <v>-2.6</v>
      </c>
      <c r="M9" s="49" t="inlineStr">
        <is>
          <t>Small Cap</t>
        </is>
      </c>
      <c r="N9" s="61" t="n">
        <v>79.40000000000001</v>
      </c>
    </row>
    <row r="10" ht="16" customHeight="1">
      <c r="B10" s="58" t="inlineStr">
        <is>
          <t>5th</t>
        </is>
      </c>
      <c r="C10" s="19" t="inlineStr">
        <is>
          <t>DCI</t>
        </is>
      </c>
      <c r="D10" s="20" t="inlineStr">
        <is>
          <t>Donaldson Company, Inc.</t>
        </is>
      </c>
      <c r="E10" s="35" t="n">
        <v>73.09999999999999</v>
      </c>
      <c r="F10" s="48" t="inlineStr">
        <is>
          <t>Breakout</t>
        </is>
      </c>
      <c r="G10" s="59" t="n">
        <v>73.09999999999999</v>
      </c>
      <c r="I10" s="58" t="inlineStr">
        <is>
          <t>5th</t>
        </is>
      </c>
      <c r="J10" s="19" t="inlineStr">
        <is>
          <t>BRC</t>
        </is>
      </c>
      <c r="K10" s="20" t="inlineStr">
        <is>
          <t>Brady Corporation</t>
        </is>
      </c>
      <c r="L10" s="35" t="n">
        <v>-2.5</v>
      </c>
      <c r="M10" s="48" t="inlineStr">
        <is>
          <t>Breakout</t>
        </is>
      </c>
      <c r="N10" s="59" t="n">
        <v>69.7</v>
      </c>
    </row>
    <row r="12" ht="22" customHeight="1">
      <c r="B12" s="54" t="inlineStr">
        <is>
          <t>🧬 Best Fingerprint</t>
        </is>
      </c>
      <c r="C12" s="17" t="n"/>
      <c r="D12" s="17" t="n"/>
      <c r="E12" s="17" t="n"/>
      <c r="F12" s="17" t="n"/>
      <c r="G12" s="55" t="n"/>
      <c r="I12" s="54" t="inlineStr">
        <is>
          <t>👤 Highest Insider</t>
        </is>
      </c>
      <c r="J12" s="17" t="n"/>
      <c r="K12" s="17" t="n"/>
      <c r="L12" s="17" t="n"/>
      <c r="M12" s="17" t="n"/>
      <c r="N12" s="55" t="n"/>
    </row>
    <row r="13" ht="18" customHeight="1">
      <c r="B13" s="56" t="inlineStr">
        <is>
          <t>Rank</t>
        </is>
      </c>
      <c r="C13" s="18" t="inlineStr">
        <is>
          <t>Ticker</t>
        </is>
      </c>
      <c r="D13" s="18" t="inlineStr">
        <is>
          <t>Company</t>
        </is>
      </c>
      <c r="E13" s="18" t="inlineStr">
        <is>
          <t>FP Score</t>
        </is>
      </c>
      <c r="F13" s="18" t="inlineStr">
        <is>
          <t>Tier</t>
        </is>
      </c>
      <c r="G13" s="57" t="inlineStr">
        <is>
          <t>Score</t>
        </is>
      </c>
      <c r="I13" s="56" t="inlineStr">
        <is>
          <t>Rank</t>
        </is>
      </c>
      <c r="J13" s="18" t="inlineStr">
        <is>
          <t>Ticker</t>
        </is>
      </c>
      <c r="K13" s="18" t="inlineStr">
        <is>
          <t>Company</t>
        </is>
      </c>
      <c r="L13" s="18" t="inlineStr">
        <is>
          <t>Insider %</t>
        </is>
      </c>
      <c r="M13" s="18" t="inlineStr">
        <is>
          <t>Tier</t>
        </is>
      </c>
      <c r="N13" s="57" t="inlineStr">
        <is>
          <t>Score</t>
        </is>
      </c>
    </row>
    <row r="14" ht="16" customHeight="1">
      <c r="B14" s="58" t="inlineStr">
        <is>
          <t>🥇</t>
        </is>
      </c>
      <c r="C14" s="19" t="inlineStr">
        <is>
          <t>GHM</t>
        </is>
      </c>
      <c r="D14" s="20" t="inlineStr">
        <is>
          <t>Graham Corporation</t>
        </is>
      </c>
      <c r="E14" s="35" t="n">
        <v>88.40000000000001</v>
      </c>
      <c r="F14" s="48" t="inlineStr">
        <is>
          <t>Small Cap</t>
        </is>
      </c>
      <c r="G14" s="59" t="n">
        <v>70.8</v>
      </c>
      <c r="I14" s="58" t="inlineStr">
        <is>
          <t>🥇</t>
        </is>
      </c>
      <c r="J14" s="19" t="inlineStr">
        <is>
          <t>ROC</t>
        </is>
      </c>
      <c r="K14" s="20" t="inlineStr">
        <is>
          <t>Rank One Computing Corp.</t>
        </is>
      </c>
      <c r="L14" s="35" t="n">
        <v>71.8</v>
      </c>
      <c r="M14" s="48" t="inlineStr">
        <is>
          <t>Nano Cap</t>
        </is>
      </c>
      <c r="N14" s="59" t="n">
        <v>54.9</v>
      </c>
    </row>
    <row r="15" ht="16" customHeight="1">
      <c r="B15" s="60" t="inlineStr">
        <is>
          <t>🥈</t>
        </is>
      </c>
      <c r="C15" s="25" t="inlineStr">
        <is>
          <t>SWBI</t>
        </is>
      </c>
      <c r="D15" s="26" t="inlineStr">
        <is>
          <t>Smith &amp; Wesson Brands, Inc.</t>
        </is>
      </c>
      <c r="E15" s="41" t="n">
        <v>85.40000000000001</v>
      </c>
      <c r="F15" s="49" t="inlineStr">
        <is>
          <t>Small Cap</t>
        </is>
      </c>
      <c r="G15" s="61" t="n">
        <v>79.40000000000001</v>
      </c>
      <c r="I15" s="60" t="inlineStr">
        <is>
          <t>🥈</t>
        </is>
      </c>
      <c r="J15" s="25" t="inlineStr">
        <is>
          <t>KVHI</t>
        </is>
      </c>
      <c r="K15" s="26" t="inlineStr">
        <is>
          <t>KVH Industries, Inc.</t>
        </is>
      </c>
      <c r="L15" s="41" t="n">
        <v>35</v>
      </c>
      <c r="M15" s="49" t="inlineStr">
        <is>
          <t>Nano Cap</t>
        </is>
      </c>
      <c r="N15" s="61" t="n">
        <v>59.4</v>
      </c>
    </row>
    <row r="16" ht="16" customHeight="1">
      <c r="B16" s="58" t="inlineStr">
        <is>
          <t>🥉</t>
        </is>
      </c>
      <c r="C16" s="19" t="inlineStr">
        <is>
          <t>PKE</t>
        </is>
      </c>
      <c r="D16" s="20" t="inlineStr">
        <is>
          <t>Park Aerospace Corp.</t>
        </is>
      </c>
      <c r="E16" s="35" t="n">
        <v>85.40000000000001</v>
      </c>
      <c r="F16" s="48" t="inlineStr">
        <is>
          <t>Small Cap</t>
        </is>
      </c>
      <c r="G16" s="59" t="n">
        <v>78.5</v>
      </c>
      <c r="I16" s="58" t="inlineStr">
        <is>
          <t>🥉</t>
        </is>
      </c>
      <c r="J16" s="19" t="inlineStr">
        <is>
          <t>CDRE</t>
        </is>
      </c>
      <c r="K16" s="20" t="inlineStr">
        <is>
          <t>Cadre Holdings, Inc.</t>
        </is>
      </c>
      <c r="L16" s="35" t="n">
        <v>34.3</v>
      </c>
      <c r="M16" s="48" t="inlineStr">
        <is>
          <t>Small Cap</t>
        </is>
      </c>
      <c r="N16" s="59" t="n">
        <v>67</v>
      </c>
    </row>
    <row r="17" ht="16" customHeight="1">
      <c r="B17" s="60" t="inlineStr">
        <is>
          <t>4th</t>
        </is>
      </c>
      <c r="C17" s="25" t="inlineStr">
        <is>
          <t>CALX</t>
        </is>
      </c>
      <c r="D17" s="26" t="inlineStr">
        <is>
          <t>Calix, Inc.</t>
        </is>
      </c>
      <c r="E17" s="41" t="n">
        <v>83.90000000000001</v>
      </c>
      <c r="F17" s="49" t="inlineStr">
        <is>
          <t>Breakout</t>
        </is>
      </c>
      <c r="G17" s="61" t="n">
        <v>77.5</v>
      </c>
      <c r="I17" s="60" t="inlineStr">
        <is>
          <t>4th</t>
        </is>
      </c>
      <c r="J17" s="25" t="inlineStr">
        <is>
          <t>ESP</t>
        </is>
      </c>
      <c r="K17" s="26" t="inlineStr">
        <is>
          <t>Espey Mfg. &amp; Electronics Corp.</t>
        </is>
      </c>
      <c r="L17" s="41" t="n">
        <v>29</v>
      </c>
      <c r="M17" s="49" t="inlineStr">
        <is>
          <t>Nano Cap</t>
        </is>
      </c>
      <c r="N17" s="61" t="n">
        <v>57.9</v>
      </c>
    </row>
    <row r="18" ht="16" customHeight="1">
      <c r="B18" s="58" t="inlineStr">
        <is>
          <t>5th</t>
        </is>
      </c>
      <c r="C18" s="19" t="inlineStr">
        <is>
          <t>CACI</t>
        </is>
      </c>
      <c r="D18" s="20" t="inlineStr">
        <is>
          <t>CACI International Inc</t>
        </is>
      </c>
      <c r="E18" s="35" t="n">
        <v>79.59999999999999</v>
      </c>
      <c r="F18" s="48" t="inlineStr">
        <is>
          <t>Breakout</t>
        </is>
      </c>
      <c r="G18" s="59" t="n">
        <v>71.59999999999999</v>
      </c>
      <c r="I18" s="58" t="inlineStr">
        <is>
          <t>5th</t>
        </is>
      </c>
      <c r="J18" s="19" t="inlineStr">
        <is>
          <t>ASYS</t>
        </is>
      </c>
      <c r="K18" s="20" t="inlineStr">
        <is>
          <t>Amtech Systems, Inc.</t>
        </is>
      </c>
      <c r="L18" s="35" t="n">
        <v>26.3</v>
      </c>
      <c r="M18" s="48" t="inlineStr">
        <is>
          <t>Nano Cap</t>
        </is>
      </c>
      <c r="N18" s="59" t="n">
        <v>61.6</v>
      </c>
    </row>
    <row r="20" ht="22" customHeight="1">
      <c r="B20" s="54" t="inlineStr">
        <is>
          <t>🚀 Fastest Growth</t>
        </is>
      </c>
      <c r="C20" s="17" t="n"/>
      <c r="D20" s="17" t="n"/>
      <c r="E20" s="17" t="n"/>
      <c r="F20" s="17" t="n"/>
      <c r="G20" s="55" t="n"/>
      <c r="I20" s="54" t="inlineStr">
        <is>
          <t>🔬 Smallest Cap</t>
        </is>
      </c>
      <c r="J20" s="17" t="n"/>
      <c r="K20" s="17" t="n"/>
      <c r="L20" s="17" t="n"/>
      <c r="M20" s="17" t="n"/>
      <c r="N20" s="55" t="n"/>
    </row>
    <row r="21" ht="18" customHeight="1">
      <c r="B21" s="56" t="inlineStr">
        <is>
          <t>Rank</t>
        </is>
      </c>
      <c r="C21" s="18" t="inlineStr">
        <is>
          <t>Ticker</t>
        </is>
      </c>
      <c r="D21" s="18" t="inlineStr">
        <is>
          <t>Company</t>
        </is>
      </c>
      <c r="E21" s="18" t="inlineStr">
        <is>
          <t>Rev Gr %</t>
        </is>
      </c>
      <c r="F21" s="18" t="inlineStr">
        <is>
          <t>Tier</t>
        </is>
      </c>
      <c r="G21" s="57" t="inlineStr">
        <is>
          <t>Score</t>
        </is>
      </c>
      <c r="I21" s="56" t="inlineStr">
        <is>
          <t>Rank</t>
        </is>
      </c>
      <c r="J21" s="18" t="inlineStr">
        <is>
          <t>Ticker</t>
        </is>
      </c>
      <c r="K21" s="18" t="inlineStr">
        <is>
          <t>Company</t>
        </is>
      </c>
      <c r="L21" s="18" t="inlineStr">
        <is>
          <t>Mkt Cap</t>
        </is>
      </c>
      <c r="M21" s="18" t="inlineStr">
        <is>
          <t>Tier</t>
        </is>
      </c>
      <c r="N21" s="57" t="inlineStr">
        <is>
          <t>Score</t>
        </is>
      </c>
    </row>
    <row r="22" ht="16" customHeight="1">
      <c r="B22" s="58" t="inlineStr">
        <is>
          <t>🥇</t>
        </is>
      </c>
      <c r="C22" s="19" t="inlineStr">
        <is>
          <t>ROC</t>
        </is>
      </c>
      <c r="D22" s="20" t="inlineStr">
        <is>
          <t>Rank One Computing Corp.</t>
        </is>
      </c>
      <c r="E22" s="35" t="n">
        <v>92.7</v>
      </c>
      <c r="F22" s="48" t="inlineStr">
        <is>
          <t>Nano Cap</t>
        </is>
      </c>
      <c r="G22" s="59" t="n">
        <v>54.9</v>
      </c>
      <c r="I22" s="58" t="inlineStr">
        <is>
          <t>🥇</t>
        </is>
      </c>
      <c r="J22" s="19" t="inlineStr">
        <is>
          <t>OPXS</t>
        </is>
      </c>
      <c r="K22" s="20" t="inlineStr">
        <is>
          <t>Optex Systems Holdings, Inc</t>
        </is>
      </c>
      <c r="L22" s="21" t="n">
        <v>71.59999999999999</v>
      </c>
      <c r="M22" s="48" t="inlineStr">
        <is>
          <t>Nano Cap</t>
        </is>
      </c>
      <c r="N22" s="59" t="n">
        <v>64.09999999999999</v>
      </c>
    </row>
    <row r="23" ht="16" customHeight="1">
      <c r="B23" s="60" t="inlineStr">
        <is>
          <t>🥈</t>
        </is>
      </c>
      <c r="C23" s="25" t="inlineStr">
        <is>
          <t>TRC</t>
        </is>
      </c>
      <c r="D23" s="26" t="inlineStr">
        <is>
          <t>Tejon Ranch Co.</t>
        </is>
      </c>
      <c r="E23" s="41" t="n">
        <v>71.7</v>
      </c>
      <c r="F23" s="49" t="inlineStr">
        <is>
          <t>Small Cap</t>
        </is>
      </c>
      <c r="G23" s="61" t="n">
        <v>69.3</v>
      </c>
      <c r="I23" s="60" t="inlineStr">
        <is>
          <t>🥈</t>
        </is>
      </c>
      <c r="J23" s="25" t="inlineStr">
        <is>
          <t>ROC</t>
        </is>
      </c>
      <c r="K23" s="26" t="inlineStr">
        <is>
          <t>Rank One Computing Corp.</t>
        </is>
      </c>
      <c r="L23" s="27" t="n">
        <v>79.8</v>
      </c>
      <c r="M23" s="49" t="inlineStr">
        <is>
          <t>Nano Cap</t>
        </is>
      </c>
      <c r="N23" s="61" t="n">
        <v>54.9</v>
      </c>
    </row>
    <row r="24" ht="16" customHeight="1">
      <c r="B24" s="58" t="inlineStr">
        <is>
          <t>🥉</t>
        </is>
      </c>
      <c r="C24" s="19" t="inlineStr">
        <is>
          <t>INOD</t>
        </is>
      </c>
      <c r="D24" s="20" t="inlineStr">
        <is>
          <t>Innodata Inc.</t>
        </is>
      </c>
      <c r="E24" s="35" t="n">
        <v>57.8</v>
      </c>
      <c r="F24" s="48" t="inlineStr">
        <is>
          <t>Small Cap</t>
        </is>
      </c>
      <c r="G24" s="59" t="n">
        <v>68.2</v>
      </c>
      <c r="I24" s="58" t="inlineStr">
        <is>
          <t>🥉</t>
        </is>
      </c>
      <c r="J24" s="19" t="inlineStr">
        <is>
          <t>RFIL</t>
        </is>
      </c>
      <c r="K24" s="20" t="inlineStr">
        <is>
          <t>RF Industries, Ltd.</t>
        </is>
      </c>
      <c r="L24" s="21" t="n">
        <v>117.2</v>
      </c>
      <c r="M24" s="48" t="inlineStr">
        <is>
          <t>Nano Cap</t>
        </is>
      </c>
      <c r="N24" s="59" t="n">
        <v>67.09999999999999</v>
      </c>
    </row>
    <row r="25" ht="16" customHeight="1">
      <c r="B25" s="60" t="inlineStr">
        <is>
          <t>4th</t>
        </is>
      </c>
      <c r="C25" s="25" t="inlineStr">
        <is>
          <t>RUN</t>
        </is>
      </c>
      <c r="D25" s="26" t="inlineStr">
        <is>
          <t>Sunrun Inc.</t>
        </is>
      </c>
      <c r="E25" s="41" t="n">
        <v>52.8</v>
      </c>
      <c r="F25" s="49" t="inlineStr">
        <is>
          <t>Breakout</t>
        </is>
      </c>
      <c r="G25" s="61" t="n">
        <v>68.90000000000001</v>
      </c>
      <c r="I25" s="60" t="inlineStr">
        <is>
          <t>4th</t>
        </is>
      </c>
      <c r="J25" s="25" t="inlineStr">
        <is>
          <t>KVHI</t>
        </is>
      </c>
      <c r="K25" s="26" t="inlineStr">
        <is>
          <t>KVH Industries, Inc.</t>
        </is>
      </c>
      <c r="L25" s="27" t="n">
        <v>138.8</v>
      </c>
      <c r="M25" s="49" t="inlineStr">
        <is>
          <t>Nano Cap</t>
        </is>
      </c>
      <c r="N25" s="61" t="n">
        <v>59.4</v>
      </c>
    </row>
    <row r="26" ht="16" customHeight="1">
      <c r="B26" s="58" t="inlineStr">
        <is>
          <t>5th</t>
        </is>
      </c>
      <c r="C26" s="19" t="inlineStr">
        <is>
          <t>SHLS</t>
        </is>
      </c>
      <c r="D26" s="20" t="inlineStr">
        <is>
          <t>Shoals Technologies Group, Inc.</t>
        </is>
      </c>
      <c r="E26" s="35" t="n">
        <v>47.4</v>
      </c>
      <c r="F26" s="48" t="inlineStr">
        <is>
          <t>Small Cap</t>
        </is>
      </c>
      <c r="G26" s="59" t="n">
        <v>66.40000000000001</v>
      </c>
      <c r="I26" s="58" t="inlineStr">
        <is>
          <t>5th</t>
        </is>
      </c>
      <c r="J26" s="19" t="inlineStr">
        <is>
          <t>INTT</t>
        </is>
      </c>
      <c r="K26" s="20" t="inlineStr">
        <is>
          <t>inTEST Corporation</t>
        </is>
      </c>
      <c r="L26" s="21" t="n">
        <v>146.3</v>
      </c>
      <c r="M26" s="48" t="inlineStr">
        <is>
          <t>Nano Cap</t>
        </is>
      </c>
      <c r="N26" s="59" t="n">
        <v>70.2</v>
      </c>
    </row>
    <row r="28" ht="22" customHeight="1">
      <c r="B28" s="54" t="inlineStr">
        <is>
          <t>📈 Best Momentum</t>
        </is>
      </c>
      <c r="C28" s="17" t="n"/>
      <c r="D28" s="17" t="n"/>
      <c r="E28" s="17" t="n"/>
      <c r="F28" s="17" t="n"/>
      <c r="G28" s="55" t="n"/>
    </row>
    <row r="29" ht="18" customHeight="1">
      <c r="B29" s="56" t="inlineStr">
        <is>
          <t>Rank</t>
        </is>
      </c>
      <c r="C29" s="18" t="inlineStr">
        <is>
          <t>Ticker</t>
        </is>
      </c>
      <c r="D29" s="18" t="inlineStr">
        <is>
          <t>Company</t>
        </is>
      </c>
      <c r="E29" s="18" t="inlineStr">
        <is>
          <t>3M %</t>
        </is>
      </c>
      <c r="F29" s="18" t="inlineStr">
        <is>
          <t>Tier</t>
        </is>
      </c>
      <c r="G29" s="57" t="inlineStr">
        <is>
          <t>Score</t>
        </is>
      </c>
    </row>
    <row r="30" ht="16" customHeight="1">
      <c r="B30" s="58" t="inlineStr">
        <is>
          <t>🥇</t>
        </is>
      </c>
      <c r="C30" s="19" t="inlineStr">
        <is>
          <t>CACI</t>
        </is>
      </c>
      <c r="D30" s="20" t="inlineStr">
        <is>
          <t>CACI International Inc</t>
        </is>
      </c>
      <c r="E30" s="35" t="n">
        <v>18.83114</v>
      </c>
      <c r="F30" s="48" t="inlineStr">
        <is>
          <t>Breakout</t>
        </is>
      </c>
      <c r="G30" s="59" t="n">
        <v>71.59999999999999</v>
      </c>
    </row>
    <row r="31" ht="16" customHeight="1">
      <c r="B31" s="60" t="inlineStr">
        <is>
          <t>🥈</t>
        </is>
      </c>
      <c r="C31" s="25" t="inlineStr">
        <is>
          <t>ITRI</t>
        </is>
      </c>
      <c r="D31" s="26" t="inlineStr">
        <is>
          <t>Itron, Inc.</t>
        </is>
      </c>
      <c r="E31" s="41" t="n">
        <v>17.44499</v>
      </c>
      <c r="F31" s="49" t="inlineStr">
        <is>
          <t>Breakout</t>
        </is>
      </c>
      <c r="G31" s="61" t="n">
        <v>68.2</v>
      </c>
    </row>
    <row r="32" ht="16" customHeight="1">
      <c r="B32" s="58" t="inlineStr">
        <is>
          <t>🥉</t>
        </is>
      </c>
      <c r="C32" s="19" t="inlineStr">
        <is>
          <t>BRC</t>
        </is>
      </c>
      <c r="D32" s="20" t="inlineStr">
        <is>
          <t>Brady Corporation</t>
        </is>
      </c>
      <c r="E32" s="35" t="n">
        <v>16.73751</v>
      </c>
      <c r="F32" s="48" t="inlineStr">
        <is>
          <t>Breakout</t>
        </is>
      </c>
      <c r="G32" s="59" t="n">
        <v>69.7</v>
      </c>
    </row>
    <row r="33" ht="16" customHeight="1">
      <c r="B33" s="60" t="inlineStr">
        <is>
          <t>4th</t>
        </is>
      </c>
      <c r="C33" s="25" t="inlineStr">
        <is>
          <t>ESP</t>
        </is>
      </c>
      <c r="D33" s="26" t="inlineStr">
        <is>
          <t>Espey Mfg. &amp; Electronics Corp.</t>
        </is>
      </c>
      <c r="E33" s="41" t="n">
        <v>15.5098</v>
      </c>
      <c r="F33" s="49" t="inlineStr">
        <is>
          <t>Nano Cap</t>
        </is>
      </c>
      <c r="G33" s="61" t="n">
        <v>57.9</v>
      </c>
    </row>
    <row r="34" ht="16" customHeight="1">
      <c r="B34" s="58" t="inlineStr">
        <is>
          <t>5th</t>
        </is>
      </c>
      <c r="C34" s="19" t="inlineStr">
        <is>
          <t>LYFT</t>
        </is>
      </c>
      <c r="D34" s="20" t="inlineStr">
        <is>
          <t>Lyft, Inc.</t>
        </is>
      </c>
      <c r="E34" s="35" t="n">
        <v>15.12126</v>
      </c>
      <c r="F34" s="48" t="inlineStr">
        <is>
          <t>Breakout</t>
        </is>
      </c>
      <c r="G34" s="59" t="n">
        <v>69</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9.xml><?xml version="1.0" encoding="utf-8"?>
<worksheet xmlns="http://schemas.openxmlformats.org/spreadsheetml/2006/main">
  <sheetPr>
    <tabColor rgb="002A9D8F"/>
    <outlinePr summaryBelow="1" summaryRight="1"/>
    <pageSetUpPr fitToPage="1"/>
  </sheetPr>
  <dimension ref="A1:I4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0" t="inlineStr">
        <is>
          <t>INVESTMENT RECOMMENDATIONS</t>
        </is>
      </c>
      <c r="B1" s="11" t="n"/>
      <c r="C1" s="11" t="n"/>
      <c r="D1" s="11" t="n"/>
      <c r="E1" s="11" t="n"/>
      <c r="F1" s="11" t="n"/>
      <c r="G1" s="11" t="n"/>
      <c r="H1" s="11" t="n"/>
      <c r="I1" s="11" t="n"/>
    </row>
    <row r="2" ht="22" customHeight="1">
      <c r="A2" s="31" t="inlineStr">
        <is>
          <t>Conviction levels based on combined scoring, fundamentals, and risk profile  |  September 08, 2026</t>
        </is>
      </c>
      <c r="B2" s="12" t="n"/>
      <c r="C2" s="12" t="n"/>
      <c r="D2" s="12" t="n"/>
      <c r="E2" s="12" t="n"/>
      <c r="F2" s="12" t="n"/>
      <c r="G2" s="12" t="n"/>
      <c r="H2" s="12" t="n"/>
      <c r="I2" s="12" t="n"/>
    </row>
    <row r="3" ht="8" customHeight="1"/>
    <row r="4" ht="22" customHeight="1">
      <c r="A4" s="62" t="inlineStr">
        <is>
          <t>▼ Filter:</t>
        </is>
      </c>
      <c r="B4" s="63" t="inlineStr">
        <is>
          <t>All</t>
        </is>
      </c>
      <c r="C4" s="63" t="inlineStr">
        <is>
          <t>All</t>
        </is>
      </c>
      <c r="D4" s="63"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SWBI</t>
        </is>
      </c>
      <c r="B6" s="20" t="inlineStr">
        <is>
          <t>Smith &amp; Wesson Brands, Inc.</t>
        </is>
      </c>
      <c r="C6" s="48" t="inlineStr">
        <is>
          <t>Small Cap</t>
        </is>
      </c>
      <c r="D6" s="24" t="inlineStr">
        <is>
          <t>Medium-High</t>
        </is>
      </c>
      <c r="E6" s="20" t="inlineStr">
        <is>
          <t>Fingerprint Match</t>
        </is>
      </c>
      <c r="F6" s="35" t="n">
        <v>79.40000000000001</v>
      </c>
      <c r="G6" s="46" t="inlineStr">
        <is>
          <t>Strengths: solid revenue growth, minimal dilution, strong fingerprint match. Risks: thin margins, low insider ownership.</t>
        </is>
      </c>
      <c r="H6" s="64" t="inlineStr">
        <is>
          <t>✓ solid revenue growth
✓ minimal dilution
✓ strong fingerprint match</t>
        </is>
      </c>
      <c r="I6" s="65" t="inlineStr">
        <is>
          <t>⚠ thin margins
⚠ low insider ownership</t>
        </is>
      </c>
    </row>
    <row r="7" ht="40" customHeight="1">
      <c r="A7" s="25" t="inlineStr">
        <is>
          <t>PKE</t>
        </is>
      </c>
      <c r="B7" s="26" t="inlineStr">
        <is>
          <t>Park Aerospace Corp.</t>
        </is>
      </c>
      <c r="C7" s="49" t="inlineStr">
        <is>
          <t>Small Cap</t>
        </is>
      </c>
      <c r="D7" s="24" t="inlineStr">
        <is>
          <t>Medium-High</t>
        </is>
      </c>
      <c r="E7" s="26" t="inlineStr">
        <is>
          <t>Emerging Watch</t>
        </is>
      </c>
      <c r="F7" s="41" t="n">
        <v>78.5</v>
      </c>
      <c r="G7" s="50" t="inlineStr">
        <is>
          <t>Strengths: minimal dilution, strong fingerprint match. Risks: none significant.</t>
        </is>
      </c>
      <c r="H7" s="64" t="inlineStr">
        <is>
          <t>✓ minimal dilution
✓ strong fingerprint match</t>
        </is>
      </c>
      <c r="I7" s="65" t="inlineStr">
        <is>
          <t>—</t>
        </is>
      </c>
    </row>
    <row r="8" ht="40" customHeight="1">
      <c r="A8" s="19" t="inlineStr">
        <is>
          <t>CALX</t>
        </is>
      </c>
      <c r="B8" s="20" t="inlineStr">
        <is>
          <t>Calix, Inc.</t>
        </is>
      </c>
      <c r="C8" s="48" t="inlineStr">
        <is>
          <t>Breakout</t>
        </is>
      </c>
      <c r="D8" s="24" t="inlineStr">
        <is>
          <t>Medium-High</t>
        </is>
      </c>
      <c r="E8" s="20" t="inlineStr">
        <is>
          <t>Fingerprint Match</t>
        </is>
      </c>
      <c r="F8" s="35" t="n">
        <v>77.5</v>
      </c>
      <c r="G8" s="46" t="inlineStr">
        <is>
          <t>Strengths: solid revenue growth, high-margin business, minimal dilution, strong fingerprint match. Risks: none significant.</t>
        </is>
      </c>
      <c r="H8" s="64" t="inlineStr">
        <is>
          <t>✓ solid revenue growth
✓ high-margin business
✓ minimal dilution
✓ strong fingerprint match</t>
        </is>
      </c>
      <c r="I8" s="65" t="inlineStr">
        <is>
          <t>—</t>
        </is>
      </c>
    </row>
    <row r="9" ht="40" customHeight="1">
      <c r="A9" s="25" t="inlineStr">
        <is>
          <t>ADEA</t>
        </is>
      </c>
      <c r="B9" s="26" t="inlineStr">
        <is>
          <t>Adeia Inc.</t>
        </is>
      </c>
      <c r="C9" s="49" t="inlineStr">
        <is>
          <t>Breakout</t>
        </is>
      </c>
      <c r="D9" s="23" t="inlineStr">
        <is>
          <t>Medium</t>
        </is>
      </c>
      <c r="E9" s="26" t="inlineStr">
        <is>
          <t>Emerging Watch</t>
        </is>
      </c>
      <c r="F9" s="41" t="n">
        <v>73.40000000000001</v>
      </c>
      <c r="G9" s="50" t="inlineStr">
        <is>
          <t>Strengths: minimal dilution. Risks: thin margins, low insider ownership, modest growth.</t>
        </is>
      </c>
      <c r="H9" s="64" t="inlineStr">
        <is>
          <t>✓ minimal dilution</t>
        </is>
      </c>
      <c r="I9" s="65" t="inlineStr">
        <is>
          <t>⚠ thin margins
⚠ low insider ownership
⚠ modest growth</t>
        </is>
      </c>
    </row>
    <row r="10" ht="40" customHeight="1">
      <c r="A10" s="19" t="inlineStr">
        <is>
          <t>DCI</t>
        </is>
      </c>
      <c r="B10" s="20" t="inlineStr">
        <is>
          <t>Donaldson Company, Inc.</t>
        </is>
      </c>
      <c r="C10" s="48" t="inlineStr">
        <is>
          <t>Breakout</t>
        </is>
      </c>
      <c r="D10" s="23" t="inlineStr">
        <is>
          <t>Medium</t>
        </is>
      </c>
      <c r="E10" s="20" t="inlineStr">
        <is>
          <t>Emerging Watch</t>
        </is>
      </c>
      <c r="F10" s="35" t="n">
        <v>73.09999999999999</v>
      </c>
      <c r="G10" s="46" t="inlineStr">
        <is>
          <t>Strengths: healthy margins, minimal dilution. Risks: low insider ownership, modest growth.</t>
        </is>
      </c>
      <c r="H10" s="64" t="inlineStr">
        <is>
          <t>✓ healthy margins
✓ minimal dilution</t>
        </is>
      </c>
      <c r="I10" s="65" t="inlineStr">
        <is>
          <t>⚠ low insider ownership
⚠ modest growth</t>
        </is>
      </c>
    </row>
    <row r="11" ht="40" customHeight="1">
      <c r="A11" s="25" t="inlineStr">
        <is>
          <t>EVLV</t>
        </is>
      </c>
      <c r="B11" s="26" t="inlineStr">
        <is>
          <t>Evolv Technologies Holdings, Inc.</t>
        </is>
      </c>
      <c r="C11" s="49" t="inlineStr">
        <is>
          <t>Small Cap</t>
        </is>
      </c>
      <c r="D11" s="23" t="inlineStr">
        <is>
          <t>Medium</t>
        </is>
      </c>
      <c r="E11" s="26" t="inlineStr">
        <is>
          <t>Growth Inflection</t>
        </is>
      </c>
      <c r="F11" s="41" t="n">
        <v>72.09999999999999</v>
      </c>
      <c r="G11" s="50" t="inlineStr">
        <is>
          <t>Strengths: solid revenue growth, high-margin business. Risks: significant dilution.</t>
        </is>
      </c>
      <c r="H11" s="64" t="inlineStr">
        <is>
          <t>✓ solid revenue growth
✓ high-margin business</t>
        </is>
      </c>
      <c r="I11" s="65" t="inlineStr">
        <is>
          <t>⚠ significant dilution</t>
        </is>
      </c>
    </row>
    <row r="12" ht="40" customHeight="1">
      <c r="A12" s="19" t="inlineStr">
        <is>
          <t>CACI</t>
        </is>
      </c>
      <c r="B12" s="20" t="inlineStr">
        <is>
          <t>CACI International Inc</t>
        </is>
      </c>
      <c r="C12" s="48" t="inlineStr">
        <is>
          <t>Breakout</t>
        </is>
      </c>
      <c r="D12" s="23" t="inlineStr">
        <is>
          <t>Medium</t>
        </is>
      </c>
      <c r="E12" s="20" t="inlineStr">
        <is>
          <t>Emerging Watch</t>
        </is>
      </c>
      <c r="F12" s="35" t="n">
        <v>71.59999999999999</v>
      </c>
      <c r="G12" s="46" t="inlineStr">
        <is>
          <t>Strengths: minimal dilution. Risks: low insider ownership.</t>
        </is>
      </c>
      <c r="H12" s="64" t="inlineStr">
        <is>
          <t>✓ minimal dilution</t>
        </is>
      </c>
      <c r="I12" s="65" t="inlineStr">
        <is>
          <t>⚠ low insider ownership</t>
        </is>
      </c>
    </row>
    <row r="13" ht="40" customHeight="1">
      <c r="A13" s="25" t="inlineStr">
        <is>
          <t>GHM</t>
        </is>
      </c>
      <c r="B13" s="26" t="inlineStr">
        <is>
          <t>Graham Corporation</t>
        </is>
      </c>
      <c r="C13" s="49" t="inlineStr">
        <is>
          <t>Small Cap</t>
        </is>
      </c>
      <c r="D13" s="23" t="inlineStr">
        <is>
          <t>Medium</t>
        </is>
      </c>
      <c r="E13" s="26" t="inlineStr">
        <is>
          <t>Fingerprint Match</t>
        </is>
      </c>
      <c r="F13" s="41" t="n">
        <v>70.8</v>
      </c>
      <c r="G13" s="50" t="inlineStr">
        <is>
          <t>Strengths: solid revenue growth, strong fingerprint match. Risks: thin margins.</t>
        </is>
      </c>
      <c r="H13" s="64" t="inlineStr">
        <is>
          <t>✓ solid revenue growth
✓ strong fingerprint match</t>
        </is>
      </c>
      <c r="I13" s="65" t="inlineStr">
        <is>
          <t>⚠ thin margins</t>
        </is>
      </c>
    </row>
    <row r="14" ht="40" customHeight="1">
      <c r="A14" s="19" t="inlineStr">
        <is>
          <t>ADTN</t>
        </is>
      </c>
      <c r="B14" s="20" t="inlineStr">
        <is>
          <t>ADTRAN Holdings Inc.</t>
        </is>
      </c>
      <c r="C14" s="48" t="inlineStr">
        <is>
          <t>Small Cap</t>
        </is>
      </c>
      <c r="D14" s="23" t="inlineStr">
        <is>
          <t>Medium</t>
        </is>
      </c>
      <c r="E14" s="20" t="inlineStr">
        <is>
          <t>Emerging Watch</t>
        </is>
      </c>
      <c r="F14" s="35" t="n">
        <v>70.5</v>
      </c>
      <c r="G14" s="46" t="inlineStr">
        <is>
          <t>Strengths: healthy margins, minimal dilution. Risks: low insider ownership, negative momentum, modest growth.</t>
        </is>
      </c>
      <c r="H14" s="64" t="inlineStr">
        <is>
          <t>✓ healthy margins
✓ minimal dilution</t>
        </is>
      </c>
      <c r="I14" s="65" t="inlineStr">
        <is>
          <t>⚠ low insider ownership
⚠ negative momentum
⚠ modest growth</t>
        </is>
      </c>
    </row>
    <row r="15" ht="40" customHeight="1">
      <c r="A15" s="25" t="inlineStr">
        <is>
          <t>INTT</t>
        </is>
      </c>
      <c r="B15" s="26" t="inlineStr">
        <is>
          <t>inTEST Corporation</t>
        </is>
      </c>
      <c r="C15" s="49" t="inlineStr">
        <is>
          <t>Nano Cap</t>
        </is>
      </c>
      <c r="D15" s="23" t="inlineStr">
        <is>
          <t>Medium</t>
        </is>
      </c>
      <c r="E15" s="26" t="inlineStr">
        <is>
          <t>Emerging Watch</t>
        </is>
      </c>
      <c r="F15" s="41" t="n">
        <v>70.2</v>
      </c>
      <c r="G15" s="50" t="inlineStr">
        <is>
          <t>Strengths: solid revenue growth, healthy margins, minimal dilution. Risks: none significant.</t>
        </is>
      </c>
      <c r="H15" s="64" t="inlineStr">
        <is>
          <t>✓ solid revenue growth
✓ healthy margins
✓ minimal dilution</t>
        </is>
      </c>
      <c r="I15" s="65" t="inlineStr">
        <is>
          <t>—</t>
        </is>
      </c>
    </row>
    <row r="16" ht="40" customHeight="1">
      <c r="A16" s="19" t="inlineStr">
        <is>
          <t>MRCY</t>
        </is>
      </c>
      <c r="B16" s="20" t="inlineStr">
        <is>
          <t>Mercury Systems, Inc.</t>
        </is>
      </c>
      <c r="C16" s="48" t="inlineStr">
        <is>
          <t>Breakout</t>
        </is>
      </c>
      <c r="D16" s="23" t="inlineStr">
        <is>
          <t>Medium</t>
        </is>
      </c>
      <c r="E16" s="20" t="inlineStr">
        <is>
          <t>Emerging Watch</t>
        </is>
      </c>
      <c r="F16" s="35" t="n">
        <v>69.8</v>
      </c>
      <c r="G16" s="46" t="inlineStr">
        <is>
          <t>Strengths: minimal dilution. Risks: thin margins, modest growth.</t>
        </is>
      </c>
      <c r="H16" s="64" t="inlineStr">
        <is>
          <t>✓ minimal dilution</t>
        </is>
      </c>
      <c r="I16" s="65" t="inlineStr">
        <is>
          <t>⚠ thin margins
⚠ modest growth</t>
        </is>
      </c>
    </row>
    <row r="17" ht="40" customHeight="1">
      <c r="A17" s="25" t="inlineStr">
        <is>
          <t>BRC</t>
        </is>
      </c>
      <c r="B17" s="26" t="inlineStr">
        <is>
          <t>Brady Corporation</t>
        </is>
      </c>
      <c r="C17" s="49" t="inlineStr">
        <is>
          <t>Breakout</t>
        </is>
      </c>
      <c r="D17" s="23" t="inlineStr">
        <is>
          <t>Medium</t>
        </is>
      </c>
      <c r="E17" s="26" t="inlineStr">
        <is>
          <t>Emerging Watch</t>
        </is>
      </c>
      <c r="F17" s="41" t="n">
        <v>69.7</v>
      </c>
      <c r="G17" s="50" t="inlineStr">
        <is>
          <t>Strengths: high-margin business, minimal dilution. Risks: modest growth.</t>
        </is>
      </c>
      <c r="H17" s="64" t="inlineStr">
        <is>
          <t>✓ high-margin business
✓ minimal dilution</t>
        </is>
      </c>
      <c r="I17" s="65" t="inlineStr">
        <is>
          <t>⚠ modest growth</t>
        </is>
      </c>
    </row>
    <row r="18" ht="40" customHeight="1">
      <c r="A18" s="19" t="inlineStr">
        <is>
          <t>RELL</t>
        </is>
      </c>
      <c r="B18" s="20" t="inlineStr">
        <is>
          <t>Richardson Electronics, Ltd.</t>
        </is>
      </c>
      <c r="C18" s="48" t="inlineStr">
        <is>
          <t>Nano Cap</t>
        </is>
      </c>
      <c r="D18" s="23" t="inlineStr">
        <is>
          <t>Medium</t>
        </is>
      </c>
      <c r="E18" s="20" t="inlineStr">
        <is>
          <t>Emerging Watch</t>
        </is>
      </c>
      <c r="F18" s="35" t="n">
        <v>69.59999999999999</v>
      </c>
      <c r="G18" s="46" t="inlineStr">
        <is>
          <t>Strengths: solid revenue growth, high insider alignment, minimal dilution. Risks: none significant.</t>
        </is>
      </c>
      <c r="H18" s="64" t="inlineStr">
        <is>
          <t>✓ solid revenue growth
✓ high insider alignment
✓ minimal dilution</t>
        </is>
      </c>
      <c r="I18" s="65" t="inlineStr">
        <is>
          <t>—</t>
        </is>
      </c>
    </row>
    <row r="19" ht="40" customHeight="1">
      <c r="A19" s="25" t="inlineStr">
        <is>
          <t>ARLO</t>
        </is>
      </c>
      <c r="B19" s="26" t="inlineStr">
        <is>
          <t>Arlo Technologies, Inc.</t>
        </is>
      </c>
      <c r="C19" s="49" t="inlineStr">
        <is>
          <t>Small Cap</t>
        </is>
      </c>
      <c r="D19" s="23" t="inlineStr">
        <is>
          <t>Medium</t>
        </is>
      </c>
      <c r="E19" s="26" t="inlineStr">
        <is>
          <t>Emerging Watch</t>
        </is>
      </c>
      <c r="F19" s="41" t="n">
        <v>69.59999999999999</v>
      </c>
      <c r="G19" s="50" t="inlineStr">
        <is>
          <t>Strengths: solid revenue growth, healthy margins. Risks: low insider ownership.</t>
        </is>
      </c>
      <c r="H19" s="64" t="inlineStr">
        <is>
          <t>✓ solid revenue growth
✓ healthy margins</t>
        </is>
      </c>
      <c r="I19" s="65" t="inlineStr">
        <is>
          <t>⚠ low insider ownership</t>
        </is>
      </c>
    </row>
    <row r="20" ht="40" customHeight="1">
      <c r="A20" s="19" t="inlineStr">
        <is>
          <t>CE</t>
        </is>
      </c>
      <c r="B20" s="20" t="inlineStr">
        <is>
          <t>Celanese Corporation</t>
        </is>
      </c>
      <c r="C20" s="48" t="inlineStr">
        <is>
          <t>Breakout</t>
        </is>
      </c>
      <c r="D20" s="23" t="inlineStr">
        <is>
          <t>Medium</t>
        </is>
      </c>
      <c r="E20" s="20" t="inlineStr">
        <is>
          <t>Emerging Watch</t>
        </is>
      </c>
      <c r="F20" s="35" t="n">
        <v>69.5</v>
      </c>
      <c r="G20" s="46" t="inlineStr">
        <is>
          <t>Strengths: minimal dilution. Risks: thin margins, modest growth.</t>
        </is>
      </c>
      <c r="H20" s="64" t="inlineStr">
        <is>
          <t>✓ minimal dilution</t>
        </is>
      </c>
      <c r="I20" s="65" t="inlineStr">
        <is>
          <t>⚠ thin margins
⚠ modest growth</t>
        </is>
      </c>
    </row>
    <row r="21" ht="40" customHeight="1">
      <c r="A21" s="25" t="inlineStr">
        <is>
          <t>TRC</t>
        </is>
      </c>
      <c r="B21" s="26" t="inlineStr">
        <is>
          <t>Tejon Ranch Co.</t>
        </is>
      </c>
      <c r="C21" s="49" t="inlineStr">
        <is>
          <t>Small Cap</t>
        </is>
      </c>
      <c r="D21" s="23" t="inlineStr">
        <is>
          <t>Medium</t>
        </is>
      </c>
      <c r="E21" s="26" t="inlineStr">
        <is>
          <t>Growth Inflection</t>
        </is>
      </c>
      <c r="F21" s="41" t="n">
        <v>69.3</v>
      </c>
      <c r="G21" s="50" t="inlineStr">
        <is>
          <t>Strengths: strong revenue growth, minimal dilution. Risks: thin margins.</t>
        </is>
      </c>
      <c r="H21" s="64" t="inlineStr">
        <is>
          <t>✓ strong revenue growth
✓ minimal dilution</t>
        </is>
      </c>
      <c r="I21" s="65" t="inlineStr">
        <is>
          <t>⚠ thin margins</t>
        </is>
      </c>
    </row>
    <row r="22" ht="40" customHeight="1">
      <c r="A22" s="19" t="inlineStr">
        <is>
          <t>LYFT</t>
        </is>
      </c>
      <c r="B22" s="20" t="inlineStr">
        <is>
          <t>Lyft, Inc.</t>
        </is>
      </c>
      <c r="C22" s="48" t="inlineStr">
        <is>
          <t>Breakout</t>
        </is>
      </c>
      <c r="D22" s="23" t="inlineStr">
        <is>
          <t>Medium</t>
        </is>
      </c>
      <c r="E22" s="20" t="inlineStr">
        <is>
          <t>Emerging Watch</t>
        </is>
      </c>
      <c r="F22" s="35" t="n">
        <v>69</v>
      </c>
      <c r="G22" s="46" t="inlineStr">
        <is>
          <t>Strengths: healthy margins, minimal dilution. Risks: none significant.</t>
        </is>
      </c>
      <c r="H22" s="64" t="inlineStr">
        <is>
          <t>✓ healthy margins
✓ minimal dilution</t>
        </is>
      </c>
      <c r="I22" s="65" t="inlineStr">
        <is>
          <t>—</t>
        </is>
      </c>
    </row>
    <row r="23" ht="40" customHeight="1">
      <c r="A23" s="25" t="inlineStr">
        <is>
          <t>RUN</t>
        </is>
      </c>
      <c r="B23" s="26" t="inlineStr">
        <is>
          <t>Sunrun Inc.</t>
        </is>
      </c>
      <c r="C23" s="49" t="inlineStr">
        <is>
          <t>Breakout</t>
        </is>
      </c>
      <c r="D23" s="23" t="inlineStr">
        <is>
          <t>Medium</t>
        </is>
      </c>
      <c r="E23" s="26" t="inlineStr">
        <is>
          <t>Growth Inflection</t>
        </is>
      </c>
      <c r="F23" s="41" t="n">
        <v>68.90000000000001</v>
      </c>
      <c r="G23" s="50" t="inlineStr">
        <is>
          <t>Strengths: strong revenue growth, healthy margins. Risks: low insider ownership, negative momentum.</t>
        </is>
      </c>
      <c r="H23" s="64" t="inlineStr">
        <is>
          <t>✓ strong revenue growth
✓ healthy margins</t>
        </is>
      </c>
      <c r="I23" s="65" t="inlineStr">
        <is>
          <t>⚠ low insider ownership
⚠ negative momentum</t>
        </is>
      </c>
    </row>
    <row r="24" ht="40" customHeight="1">
      <c r="A24" s="19" t="inlineStr">
        <is>
          <t>INOD</t>
        </is>
      </c>
      <c r="B24" s="20" t="inlineStr">
        <is>
          <t>Innodata Inc.</t>
        </is>
      </c>
      <c r="C24" s="48" t="inlineStr">
        <is>
          <t>Small Cap</t>
        </is>
      </c>
      <c r="D24" s="23" t="inlineStr">
        <is>
          <t>Medium</t>
        </is>
      </c>
      <c r="E24" s="20" t="inlineStr">
        <is>
          <t>High-Growth Quality</t>
        </is>
      </c>
      <c r="F24" s="35" t="n">
        <v>68.2</v>
      </c>
      <c r="G24" s="46" t="inlineStr">
        <is>
          <t>Strengths: strong revenue growth, healthy margins. Risks: significant dilution, negative momentum.</t>
        </is>
      </c>
      <c r="H24" s="64" t="inlineStr">
        <is>
          <t>✓ strong revenue growth
✓ healthy margins</t>
        </is>
      </c>
      <c r="I24" s="65" t="inlineStr">
        <is>
          <t>⚠ significant dilution
⚠ negative momentum</t>
        </is>
      </c>
    </row>
    <row r="25" ht="40" customHeight="1">
      <c r="A25" s="25" t="inlineStr">
        <is>
          <t>ITRI</t>
        </is>
      </c>
      <c r="B25" s="26" t="inlineStr">
        <is>
          <t>Itron, Inc.</t>
        </is>
      </c>
      <c r="C25" s="49" t="inlineStr">
        <is>
          <t>Breakout</t>
        </is>
      </c>
      <c r="D25" s="23" t="inlineStr">
        <is>
          <t>Medium</t>
        </is>
      </c>
      <c r="E25" s="26" t="inlineStr">
        <is>
          <t>Emerging Watch</t>
        </is>
      </c>
      <c r="F25" s="41" t="n">
        <v>68.2</v>
      </c>
      <c r="G25" s="50" t="inlineStr">
        <is>
          <t>Strengths: healthy margins, minimal dilution. Risks: low insider ownership, modest growth.</t>
        </is>
      </c>
      <c r="H25" s="64" t="inlineStr">
        <is>
          <t>✓ healthy margins
✓ minimal dilution</t>
        </is>
      </c>
      <c r="I25" s="65" t="inlineStr">
        <is>
          <t>⚠ low insider ownership
⚠ modest growth</t>
        </is>
      </c>
    </row>
    <row r="26" ht="40" customHeight="1">
      <c r="A26" s="19" t="inlineStr">
        <is>
          <t>RFIL</t>
        </is>
      </c>
      <c r="B26" s="20" t="inlineStr">
        <is>
          <t>RF Industries, Ltd.</t>
        </is>
      </c>
      <c r="C26" s="48" t="inlineStr">
        <is>
          <t>Nano Cap</t>
        </is>
      </c>
      <c r="D26" s="23" t="inlineStr">
        <is>
          <t>Medium</t>
        </is>
      </c>
      <c r="E26" s="20" t="inlineStr">
        <is>
          <t>Insider Conviction</t>
        </is>
      </c>
      <c r="F26" s="35" t="n">
        <v>67.09999999999999</v>
      </c>
      <c r="G26" s="46" t="inlineStr">
        <is>
          <t>Strengths: healthy margins, high insider alignment, minimal dilution. Risks: negative momentum, modest growth.</t>
        </is>
      </c>
      <c r="H26" s="64" t="inlineStr">
        <is>
          <t>✓ healthy margins
✓ high insider alignment
✓ minimal dilution</t>
        </is>
      </c>
      <c r="I26" s="65" t="inlineStr">
        <is>
          <t>⚠ negative momentum
⚠ modest growth</t>
        </is>
      </c>
    </row>
    <row r="27" ht="40" customHeight="1">
      <c r="A27" s="25" t="inlineStr">
        <is>
          <t>CDRE</t>
        </is>
      </c>
      <c r="B27" s="26" t="inlineStr">
        <is>
          <t>Cadre Holdings, Inc.</t>
        </is>
      </c>
      <c r="C27" s="49" t="inlineStr">
        <is>
          <t>Small Cap</t>
        </is>
      </c>
      <c r="D27" s="23" t="inlineStr">
        <is>
          <t>Medium</t>
        </is>
      </c>
      <c r="E27" s="26" t="inlineStr">
        <is>
          <t>Growth Inflection</t>
        </is>
      </c>
      <c r="F27" s="41" t="n">
        <v>67</v>
      </c>
      <c r="G27" s="50" t="inlineStr">
        <is>
          <t>Strengths: solid revenue growth, healthy margins, high insider alignment. Risks: none significant.</t>
        </is>
      </c>
      <c r="H27" s="64" t="inlineStr">
        <is>
          <t>✓ solid revenue growth
✓ healthy margins
✓ high insider alignment</t>
        </is>
      </c>
      <c r="I27" s="65" t="inlineStr">
        <is>
          <t>—</t>
        </is>
      </c>
    </row>
    <row r="28" ht="40" customHeight="1">
      <c r="A28" s="19" t="inlineStr">
        <is>
          <t>SHLS</t>
        </is>
      </c>
      <c r="B28" s="20" t="inlineStr">
        <is>
          <t>Shoals Technologies Group, Inc.</t>
        </is>
      </c>
      <c r="C28" s="48" t="inlineStr">
        <is>
          <t>Small Cap</t>
        </is>
      </c>
      <c r="D28" s="23" t="inlineStr">
        <is>
          <t>Medium</t>
        </is>
      </c>
      <c r="E28" s="20" t="inlineStr">
        <is>
          <t>Growth Inflection</t>
        </is>
      </c>
      <c r="F28" s="35" t="n">
        <v>66.40000000000001</v>
      </c>
      <c r="G28" s="46" t="inlineStr">
        <is>
          <t>Strengths: strong revenue growth, minimal dilution. Risks: low insider ownership, negative momentum.</t>
        </is>
      </c>
      <c r="H28" s="64" t="inlineStr">
        <is>
          <t>✓ strong revenue growth
✓ minimal dilution</t>
        </is>
      </c>
      <c r="I28" s="65" t="inlineStr">
        <is>
          <t>⚠ low insider ownership
⚠ negative momentum</t>
        </is>
      </c>
    </row>
    <row r="29" ht="40" customHeight="1">
      <c r="A29" s="25" t="inlineStr">
        <is>
          <t>LTRX</t>
        </is>
      </c>
      <c r="B29" s="26" t="inlineStr">
        <is>
          <t>Lantronix, Inc.</t>
        </is>
      </c>
      <c r="C29" s="49" t="inlineStr">
        <is>
          <t>Nano Cap</t>
        </is>
      </c>
      <c r="D29" s="23" t="inlineStr">
        <is>
          <t>Medium</t>
        </is>
      </c>
      <c r="E29" s="26" t="inlineStr">
        <is>
          <t>Emerging Watch</t>
        </is>
      </c>
      <c r="F29" s="41" t="n">
        <v>66</v>
      </c>
      <c r="G29" s="50" t="inlineStr">
        <is>
          <t>Strengths: healthy margins, high insider alignment. Risks: modest growth.</t>
        </is>
      </c>
      <c r="H29" s="64" t="inlineStr">
        <is>
          <t>✓ healthy margins
✓ high insider alignment</t>
        </is>
      </c>
      <c r="I29" s="65" t="inlineStr">
        <is>
          <t>⚠ modest growth</t>
        </is>
      </c>
    </row>
    <row r="30" ht="40" customHeight="1">
      <c r="A30" s="19" t="inlineStr">
        <is>
          <t>OPXS</t>
        </is>
      </c>
      <c r="B30" s="20" t="inlineStr">
        <is>
          <t>Optex Systems Holdings, Inc</t>
        </is>
      </c>
      <c r="C30" s="48" t="inlineStr">
        <is>
          <t>Nano Cap</t>
        </is>
      </c>
      <c r="D30" s="28" t="inlineStr">
        <is>
          <t>Speculative</t>
        </is>
      </c>
      <c r="E30" s="20" t="inlineStr">
        <is>
          <t>Insider Conviction</t>
        </is>
      </c>
      <c r="F30" s="35" t="n">
        <v>64.09999999999999</v>
      </c>
      <c r="G30" s="46" t="inlineStr">
        <is>
          <t>Strengths: high insider alignment, minimal dilution. Risks: modest growth.</t>
        </is>
      </c>
      <c r="H30" s="64" t="inlineStr">
        <is>
          <t>✓ high insider alignment
✓ minimal dilution</t>
        </is>
      </c>
      <c r="I30" s="65" t="inlineStr">
        <is>
          <t>⚠ modest growth</t>
        </is>
      </c>
    </row>
    <row r="31" ht="40" customHeight="1">
      <c r="A31" s="25" t="inlineStr">
        <is>
          <t>BKTI</t>
        </is>
      </c>
      <c r="B31" s="26" t="inlineStr">
        <is>
          <t>BK Technologies Corporation</t>
        </is>
      </c>
      <c r="C31" s="49" t="inlineStr">
        <is>
          <t>Nano Cap</t>
        </is>
      </c>
      <c r="D31" s="28" t="inlineStr">
        <is>
          <t>Speculative</t>
        </is>
      </c>
      <c r="E31" s="26" t="inlineStr">
        <is>
          <t>Emerging Watch</t>
        </is>
      </c>
      <c r="F31" s="41" t="n">
        <v>63.1</v>
      </c>
      <c r="G31" s="50" t="inlineStr">
        <is>
          <t>Strengths: high-margin business, high insider alignment. Risks: modest growth.</t>
        </is>
      </c>
      <c r="H31" s="64" t="inlineStr">
        <is>
          <t>✓ high-margin business
✓ high insider alignment</t>
        </is>
      </c>
      <c r="I31" s="65" t="inlineStr">
        <is>
          <t>⚠ modest growth</t>
        </is>
      </c>
    </row>
    <row r="32" ht="40" customHeight="1">
      <c r="A32" s="19" t="inlineStr">
        <is>
          <t>ASYS</t>
        </is>
      </c>
      <c r="B32" s="20" t="inlineStr">
        <is>
          <t>Amtech Systems, Inc.</t>
        </is>
      </c>
      <c r="C32" s="48" t="inlineStr">
        <is>
          <t>Nano Cap</t>
        </is>
      </c>
      <c r="D32" s="28" t="inlineStr">
        <is>
          <t>Speculative</t>
        </is>
      </c>
      <c r="E32" s="20" t="inlineStr">
        <is>
          <t>Emerging Watch</t>
        </is>
      </c>
      <c r="F32" s="35" t="n">
        <v>61.6</v>
      </c>
      <c r="G32" s="46" t="inlineStr">
        <is>
          <t>Strengths: high-margin business, high insider alignment. Risks: modest growth.</t>
        </is>
      </c>
      <c r="H32" s="64" t="inlineStr">
        <is>
          <t>✓ high-margin business
✓ high insider alignment</t>
        </is>
      </c>
      <c r="I32" s="65" t="inlineStr">
        <is>
          <t>⚠ modest growth</t>
        </is>
      </c>
    </row>
    <row r="33" ht="40" customHeight="1">
      <c r="A33" s="25" t="inlineStr">
        <is>
          <t>KVHI</t>
        </is>
      </c>
      <c r="B33" s="26" t="inlineStr">
        <is>
          <t>KVH Industries, Inc.</t>
        </is>
      </c>
      <c r="C33" s="49" t="inlineStr">
        <is>
          <t>Nano Cap</t>
        </is>
      </c>
      <c r="D33" s="28" t="inlineStr">
        <is>
          <t>Speculative</t>
        </is>
      </c>
      <c r="E33" s="26" t="inlineStr">
        <is>
          <t>Insider Conviction</t>
        </is>
      </c>
      <c r="F33" s="41" t="n">
        <v>59.4</v>
      </c>
      <c r="G33" s="50" t="inlineStr">
        <is>
          <t>Strengths: solid revenue growth, high insider alignment, minimal dilution. Risks: none significant.</t>
        </is>
      </c>
      <c r="H33" s="64" t="inlineStr">
        <is>
          <t>✓ solid revenue growth
✓ high insider alignment
✓ minimal dilution</t>
        </is>
      </c>
      <c r="I33" s="65" t="inlineStr">
        <is>
          <t>—</t>
        </is>
      </c>
    </row>
    <row r="34" ht="40" customHeight="1">
      <c r="A34" s="19" t="inlineStr">
        <is>
          <t>ESP</t>
        </is>
      </c>
      <c r="B34" s="20" t="inlineStr">
        <is>
          <t>Espey Mfg. &amp; Electronics Corp.</t>
        </is>
      </c>
      <c r="C34" s="48" t="inlineStr">
        <is>
          <t>Nano Cap</t>
        </is>
      </c>
      <c r="D34" s="28" t="inlineStr">
        <is>
          <t>Speculative</t>
        </is>
      </c>
      <c r="E34" s="20" t="inlineStr">
        <is>
          <t>Emerging Watch</t>
        </is>
      </c>
      <c r="F34" s="35" t="n">
        <v>57.9</v>
      </c>
      <c r="G34" s="46" t="inlineStr">
        <is>
          <t>Strengths: healthy margins, high insider alignment. Risks: modest growth.</t>
        </is>
      </c>
      <c r="H34" s="64" t="inlineStr">
        <is>
          <t>✓ healthy margins
✓ high insider alignment</t>
        </is>
      </c>
      <c r="I34" s="65" t="inlineStr">
        <is>
          <t>⚠ modest growth</t>
        </is>
      </c>
    </row>
    <row r="35" ht="40" customHeight="1">
      <c r="A35" s="25" t="inlineStr">
        <is>
          <t>ROC</t>
        </is>
      </c>
      <c r="B35" s="26" t="inlineStr">
        <is>
          <t>Rank One Computing Corp.</t>
        </is>
      </c>
      <c r="C35" s="49" t="inlineStr">
        <is>
          <t>Nano Cap</t>
        </is>
      </c>
      <c r="D35" s="28" t="inlineStr">
        <is>
          <t>Speculative</t>
        </is>
      </c>
      <c r="E35" s="26" t="inlineStr">
        <is>
          <t>High-Growth Quality</t>
        </is>
      </c>
      <c r="F35" s="41" t="n">
        <v>54.9</v>
      </c>
      <c r="G35" s="50" t="inlineStr">
        <is>
          <t>Strengths: strong revenue growth, high-margin business, high insider alignment, minimal dilution. Risks: none significant.</t>
        </is>
      </c>
      <c r="H35" s="64" t="inlineStr">
        <is>
          <t>✓ strong revenue growth
✓ high-margin business
✓ high insider alignment
✓ minimal dilution</t>
        </is>
      </c>
      <c r="I35" s="65" t="inlineStr">
        <is>
          <t>—</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0</v>
      </c>
      <c r="C40" t="n">
        <v>0</v>
      </c>
      <c r="D40" t="n">
        <v>4</v>
      </c>
      <c r="E40" t="n">
        <v>6</v>
      </c>
    </row>
    <row r="41">
      <c r="A41" t="inlineStr">
        <is>
          <t>Small Cap</t>
        </is>
      </c>
      <c r="B41" t="n">
        <v>0</v>
      </c>
      <c r="C41" t="n">
        <v>2</v>
      </c>
      <c r="D41" t="n">
        <v>8</v>
      </c>
      <c r="E41" t="n">
        <v>0</v>
      </c>
    </row>
    <row r="42">
      <c r="A42" t="inlineStr">
        <is>
          <t>Breakout</t>
        </is>
      </c>
      <c r="B42" t="n">
        <v>0</v>
      </c>
      <c r="C42" t="n">
        <v>1</v>
      </c>
      <c r="D42" t="n">
        <v>9</v>
      </c>
      <c r="E42" t="n">
        <v>0</v>
      </c>
    </row>
    <row r="43">
      <c r="A43" t="inlineStr">
        <is>
          <t>Vital Link</t>
        </is>
      </c>
      <c r="B43" t="n">
        <v>0</v>
      </c>
      <c r="C43" t="n">
        <v>0</v>
      </c>
      <c r="D43" t="n">
        <v>0</v>
      </c>
      <c r="E43"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"All,Nano,Small,Breakout,Vital Link"</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1A6B3C"/>
    <outlinePr summaryBelow="1" summaryRight="1"/>
    <pageSetUpPr fitToPage="1"/>
  </sheetPr>
  <dimension ref="A1:N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0" t="inlineStr">
        <is>
          <t>MODEL PORTFOLIO CONSTRUCTION &amp; RISK METRICS</t>
        </is>
      </c>
      <c r="B1" s="11" t="n"/>
      <c r="C1" s="11" t="n"/>
      <c r="D1" s="11" t="n"/>
      <c r="E1" s="11" t="n"/>
      <c r="F1" s="11" t="n"/>
      <c r="G1" s="11" t="n"/>
      <c r="H1" s="11" t="n"/>
      <c r="I1" s="11" t="n"/>
      <c r="J1" s="11" t="n"/>
      <c r="K1" s="11" t="n"/>
      <c r="L1" s="11" t="n"/>
      <c r="M1" s="11" t="n"/>
      <c r="N1" s="11" t="n"/>
    </row>
    <row r="2" ht="22" customHeight="1">
      <c r="A2" s="31" t="inlineStr">
        <is>
          <t>Position sizing, risk categorization, and portfolio analytics  |  September 08,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6" t="inlineStr">
        <is>
          <t>Portfolio Size ($)</t>
        </is>
      </c>
      <c r="C5" s="67" t="n">
        <v>100000</v>
      </c>
      <c r="D5" s="68" t="inlineStr">
        <is>
          <t>← Input</t>
        </is>
      </c>
    </row>
    <row r="6" ht="18" customHeight="1">
      <c r="B6" s="66" t="inlineStr">
        <is>
          <t>Max Single Position %</t>
        </is>
      </c>
      <c r="C6" s="69" t="n">
        <v>0.08</v>
      </c>
      <c r="D6" s="68" t="inlineStr">
        <is>
          <t>← Input</t>
        </is>
      </c>
    </row>
    <row r="7" ht="18" customHeight="1">
      <c r="B7" s="66" t="inlineStr">
        <is>
          <t>Nano Cap Risk Multiplier</t>
        </is>
      </c>
      <c r="C7" s="70" t="n">
        <v>0.6</v>
      </c>
      <c r="D7" s="68" t="inlineStr">
        <is>
          <t>← Input</t>
        </is>
      </c>
    </row>
    <row r="8" ht="18" customHeight="1">
      <c r="B8" s="66" t="inlineStr">
        <is>
          <t>Breakout Cap Multiplier</t>
        </is>
      </c>
      <c r="C8" s="70" t="n">
        <v>1.2</v>
      </c>
      <c r="D8" s="68" t="inlineStr">
        <is>
          <t>← Input</t>
        </is>
      </c>
    </row>
    <row r="9" ht="18" customHeight="1">
      <c r="B9" s="66" t="inlineStr">
        <is>
          <t>Vital Link Multiplier</t>
        </is>
      </c>
      <c r="C9" s="70" t="n">
        <v>1.4</v>
      </c>
      <c r="D9" s="68" t="inlineStr">
        <is>
          <t>← Input</t>
        </is>
      </c>
    </row>
    <row r="10" ht="18" customHeight="1">
      <c r="B10" s="66" t="inlineStr">
        <is>
          <t>Cash Reserve Target %</t>
        </is>
      </c>
      <c r="C10" s="69" t="n">
        <v>0.1</v>
      </c>
      <c r="D10" s="68" t="inlineStr">
        <is>
          <t>← Input</t>
        </is>
      </c>
    </row>
    <row r="11" ht="8" customHeight="1"/>
    <row r="12" ht="22" customHeight="1">
      <c r="B12" s="16" t="inlineStr">
        <is>
          <t>POSITION SIZING</t>
        </is>
      </c>
      <c r="C12" s="17" t="n"/>
      <c r="D12" s="17" t="n"/>
      <c r="E12" s="17" t="n"/>
      <c r="F12" s="17" t="n"/>
      <c r="G12" s="17" t="n"/>
      <c r="H12" s="17" t="n"/>
      <c r="I12" s="17" t="n"/>
      <c r="J12" s="17" t="n"/>
    </row>
    <row r="13" ht="18" customHeight="1">
      <c r="B13" s="18" t="inlineStr">
        <is>
          <t>Ticker</t>
        </is>
      </c>
      <c r="C13" s="18" t="inlineStr">
        <is>
          <t>Name</t>
        </is>
      </c>
      <c r="D13" s="18" t="inlineStr">
        <is>
          <t>Tier</t>
        </is>
      </c>
      <c r="E13" s="18" t="inlineStr">
        <is>
          <t>Conviction</t>
        </is>
      </c>
      <c r="F13" s="18" t="inlineStr">
        <is>
          <t>Base Wt %</t>
        </is>
      </c>
      <c r="G13" s="18" t="inlineStr">
        <is>
          <t>Risk-Adj Wt %</t>
        </is>
      </c>
      <c r="H13" s="18" t="inlineStr">
        <is>
          <t>Dollar Amt</t>
        </is>
      </c>
      <c r="I13" s="18" t="inlineStr">
        <is>
          <t>Share Ct</t>
        </is>
      </c>
      <c r="J13" s="18" t="inlineStr">
        <is>
          <t>Notes</t>
        </is>
      </c>
    </row>
    <row r="14" ht="16" customHeight="1">
      <c r="B14" s="19" t="inlineStr">
        <is>
          <t>SWBI</t>
        </is>
      </c>
      <c r="C14" s="20" t="inlineStr">
        <is>
          <t>Smith &amp; Wesson Brands, Inc.</t>
        </is>
      </c>
      <c r="D14" s="48" t="inlineStr">
        <is>
          <t>Small Cap</t>
        </is>
      </c>
      <c r="E14" s="24" t="inlineStr">
        <is>
          <t>Medium-High</t>
        </is>
      </c>
      <c r="F14" s="34" t="n">
        <v>0.05</v>
      </c>
      <c r="G14" s="71" t="n">
        <v>0.05</v>
      </c>
      <c r="H14" s="72" t="n">
        <v>5000</v>
      </c>
      <c r="I14" s="73" t="n">
        <v>379</v>
      </c>
      <c r="J14" s="74" t="inlineStr">
        <is>
          <t>Medium-High risk</t>
        </is>
      </c>
    </row>
    <row r="15" ht="16" customHeight="1">
      <c r="B15" s="25" t="inlineStr">
        <is>
          <t>PKE</t>
        </is>
      </c>
      <c r="C15" s="26" t="inlineStr">
        <is>
          <t>Park Aerospace Corp.</t>
        </is>
      </c>
      <c r="D15" s="49" t="inlineStr">
        <is>
          <t>Small Cap</t>
        </is>
      </c>
      <c r="E15" s="24" t="inlineStr">
        <is>
          <t>Medium-High</t>
        </is>
      </c>
      <c r="F15" s="40" t="n">
        <v>0.05</v>
      </c>
      <c r="G15" s="75" t="n">
        <v>0.05</v>
      </c>
      <c r="H15" s="76" t="n">
        <v>5000</v>
      </c>
      <c r="I15" s="77" t="n">
        <v>159</v>
      </c>
      <c r="J15" s="78" t="inlineStr">
        <is>
          <t>Medium-High risk</t>
        </is>
      </c>
    </row>
    <row r="16" ht="16" customHeight="1">
      <c r="B16" s="19" t="inlineStr">
        <is>
          <t>CALX</t>
        </is>
      </c>
      <c r="C16" s="20" t="inlineStr">
        <is>
          <t>Calix, Inc.</t>
        </is>
      </c>
      <c r="D16" s="48" t="inlineStr">
        <is>
          <t>Breakout</t>
        </is>
      </c>
      <c r="E16" s="24" t="inlineStr">
        <is>
          <t>Medium-High</t>
        </is>
      </c>
      <c r="F16" s="34" t="n">
        <v>0.05</v>
      </c>
      <c r="G16" s="71" t="n">
        <v>0.06</v>
      </c>
      <c r="H16" s="72" t="n">
        <v>6000</v>
      </c>
      <c r="I16" s="73" t="n">
        <v>170</v>
      </c>
      <c r="J16" s="74" t="inlineStr">
        <is>
          <t>Medium-Low risk</t>
        </is>
      </c>
    </row>
    <row r="17" ht="16" customHeight="1">
      <c r="B17" s="25" t="inlineStr">
        <is>
          <t>ADEA</t>
        </is>
      </c>
      <c r="C17" s="26" t="inlineStr">
        <is>
          <t>Adeia Inc.</t>
        </is>
      </c>
      <c r="D17" s="49" t="inlineStr">
        <is>
          <t>Breakout</t>
        </is>
      </c>
      <c r="E17" s="23" t="inlineStr">
        <is>
          <t>Medium</t>
        </is>
      </c>
      <c r="F17" s="40" t="n">
        <v>0.03</v>
      </c>
      <c r="G17" s="75" t="n">
        <v>0.036</v>
      </c>
      <c r="H17" s="76" t="n">
        <v>3600</v>
      </c>
      <c r="I17" s="77" t="n">
        <v>132</v>
      </c>
      <c r="J17" s="78" t="inlineStr">
        <is>
          <t>Medium-High risk</t>
        </is>
      </c>
    </row>
    <row r="18" ht="16" customHeight="1">
      <c r="B18" s="19" t="inlineStr">
        <is>
          <t>DCI</t>
        </is>
      </c>
      <c r="C18" s="20" t="inlineStr">
        <is>
          <t>Donaldson Company, Inc.</t>
        </is>
      </c>
      <c r="D18" s="48" t="inlineStr">
        <is>
          <t>Breakout</t>
        </is>
      </c>
      <c r="E18" s="23" t="inlineStr">
        <is>
          <t>Medium</t>
        </is>
      </c>
      <c r="F18" s="34" t="n">
        <v>0.03</v>
      </c>
      <c r="G18" s="71" t="n">
        <v>0.036</v>
      </c>
      <c r="H18" s="72" t="n">
        <v>3600</v>
      </c>
      <c r="I18" s="73" t="n">
        <v>39</v>
      </c>
      <c r="J18" s="74" t="inlineStr">
        <is>
          <t>Medium-Low risk</t>
        </is>
      </c>
    </row>
    <row r="19" ht="16" customHeight="1">
      <c r="B19" s="25" t="inlineStr">
        <is>
          <t>EVLV</t>
        </is>
      </c>
      <c r="C19" s="26" t="inlineStr">
        <is>
          <t>Evolv Technologies Holdings, Inc.</t>
        </is>
      </c>
      <c r="D19" s="49" t="inlineStr">
        <is>
          <t>Small Cap</t>
        </is>
      </c>
      <c r="E19" s="23" t="inlineStr">
        <is>
          <t>Medium</t>
        </is>
      </c>
      <c r="F19" s="40" t="n">
        <v>0.03</v>
      </c>
      <c r="G19" s="75" t="n">
        <v>0.03</v>
      </c>
      <c r="H19" s="76" t="n">
        <v>3000</v>
      </c>
      <c r="I19" s="77" t="n">
        <v>589</v>
      </c>
      <c r="J19" s="78" t="inlineStr">
        <is>
          <t>Medium-High risk</t>
        </is>
      </c>
    </row>
    <row r="20" ht="16" customHeight="1">
      <c r="B20" s="19" t="inlineStr">
        <is>
          <t>CACI</t>
        </is>
      </c>
      <c r="C20" s="20" t="inlineStr">
        <is>
          <t>CACI International Inc</t>
        </is>
      </c>
      <c r="D20" s="48" t="inlineStr">
        <is>
          <t>Breakout</t>
        </is>
      </c>
      <c r="E20" s="23" t="inlineStr">
        <is>
          <t>Medium</t>
        </is>
      </c>
      <c r="F20" s="34" t="n">
        <v>0.03</v>
      </c>
      <c r="G20" s="71" t="n">
        <v>0.036</v>
      </c>
      <c r="H20" s="72" t="n">
        <v>3600</v>
      </c>
      <c r="I20" s="73" t="n">
        <v>5</v>
      </c>
      <c r="J20" s="74" t="inlineStr">
        <is>
          <t>Medium-High risk</t>
        </is>
      </c>
    </row>
    <row r="21" ht="16" customHeight="1">
      <c r="B21" s="25" t="inlineStr">
        <is>
          <t>GHM</t>
        </is>
      </c>
      <c r="C21" s="26" t="inlineStr">
        <is>
          <t>Graham Corporation</t>
        </is>
      </c>
      <c r="D21" s="49" t="inlineStr">
        <is>
          <t>Small Cap</t>
        </is>
      </c>
      <c r="E21" s="23" t="inlineStr">
        <is>
          <t>Medium</t>
        </is>
      </c>
      <c r="F21" s="40" t="n">
        <v>0.03</v>
      </c>
      <c r="G21" s="75" t="n">
        <v>0.03</v>
      </c>
      <c r="H21" s="76" t="n">
        <v>3000</v>
      </c>
      <c r="I21" s="77" t="n">
        <v>33</v>
      </c>
      <c r="J21" s="78" t="inlineStr">
        <is>
          <t>Medium-High risk</t>
        </is>
      </c>
    </row>
    <row r="22" ht="16" customHeight="1">
      <c r="B22" s="19" t="inlineStr">
        <is>
          <t>ADTN</t>
        </is>
      </c>
      <c r="C22" s="20" t="inlineStr">
        <is>
          <t>ADTRAN Holdings Inc.</t>
        </is>
      </c>
      <c r="D22" s="48" t="inlineStr">
        <is>
          <t>Small Cap</t>
        </is>
      </c>
      <c r="E22" s="23" t="inlineStr">
        <is>
          <t>Medium</t>
        </is>
      </c>
      <c r="F22" s="34" t="n">
        <v>0.03</v>
      </c>
      <c r="G22" s="71" t="n">
        <v>0.03</v>
      </c>
      <c r="H22" s="72" t="n">
        <v>3000</v>
      </c>
      <c r="I22" s="73" t="n">
        <v>398</v>
      </c>
      <c r="J22" s="74" t="inlineStr"/>
    </row>
    <row r="23" ht="16" customHeight="1">
      <c r="B23" s="25" t="inlineStr">
        <is>
          <t>INTT</t>
        </is>
      </c>
      <c r="C23" s="26" t="inlineStr">
        <is>
          <t>inTEST Corporation</t>
        </is>
      </c>
      <c r="D23" s="49" t="inlineStr">
        <is>
          <t>Nano Cap</t>
        </is>
      </c>
      <c r="E23" s="23" t="inlineStr">
        <is>
          <t>Medium</t>
        </is>
      </c>
      <c r="F23" s="40" t="n">
        <v>0.03</v>
      </c>
      <c r="G23" s="75" t="n">
        <v>0.018</v>
      </c>
      <c r="H23" s="76" t="n">
        <v>1800</v>
      </c>
      <c r="I23" s="77" t="n">
        <v>155</v>
      </c>
      <c r="J23" s="78" t="inlineStr">
        <is>
          <t>Medium-High risk</t>
        </is>
      </c>
    </row>
    <row r="24" ht="16" customHeight="1">
      <c r="B24" s="19" t="inlineStr">
        <is>
          <t>MRCY</t>
        </is>
      </c>
      <c r="C24" s="20" t="inlineStr">
        <is>
          <t>Mercury Systems, Inc.</t>
        </is>
      </c>
      <c r="D24" s="48" t="inlineStr">
        <is>
          <t>Breakout</t>
        </is>
      </c>
      <c r="E24" s="23" t="inlineStr">
        <is>
          <t>Medium</t>
        </is>
      </c>
      <c r="F24" s="34" t="n">
        <v>0.03</v>
      </c>
      <c r="G24" s="71" t="n">
        <v>0.036</v>
      </c>
      <c r="H24" s="72" t="n">
        <v>3600</v>
      </c>
      <c r="I24" s="73" t="n">
        <v>42</v>
      </c>
      <c r="J24" s="74" t="inlineStr">
        <is>
          <t>Medium-High risk</t>
        </is>
      </c>
    </row>
    <row r="25" ht="16" customHeight="1">
      <c r="B25" s="25" t="inlineStr">
        <is>
          <t>BRC</t>
        </is>
      </c>
      <c r="C25" s="26" t="inlineStr">
        <is>
          <t>Brady Corporation</t>
        </is>
      </c>
      <c r="D25" s="49" t="inlineStr">
        <is>
          <t>Breakout</t>
        </is>
      </c>
      <c r="E25" s="23" t="inlineStr">
        <is>
          <t>Medium</t>
        </is>
      </c>
      <c r="F25" s="40" t="n">
        <v>0.03</v>
      </c>
      <c r="G25" s="75" t="n">
        <v>0.036</v>
      </c>
      <c r="H25" s="76" t="n">
        <v>3600</v>
      </c>
      <c r="I25" s="77" t="n">
        <v>40</v>
      </c>
      <c r="J25" s="78" t="inlineStr">
        <is>
          <t>Medium-Low risk</t>
        </is>
      </c>
    </row>
    <row r="26" ht="16" customHeight="1">
      <c r="B26" s="19" t="inlineStr">
        <is>
          <t>RELL</t>
        </is>
      </c>
      <c r="C26" s="20" t="inlineStr">
        <is>
          <t>Richardson Electronics, Ltd.</t>
        </is>
      </c>
      <c r="D26" s="48" t="inlineStr">
        <is>
          <t>Nano Cap</t>
        </is>
      </c>
      <c r="E26" s="23" t="inlineStr">
        <is>
          <t>Medium</t>
        </is>
      </c>
      <c r="F26" s="34" t="n">
        <v>0.03</v>
      </c>
      <c r="G26" s="71" t="n">
        <v>0.018</v>
      </c>
      <c r="H26" s="72" t="n">
        <v>1800</v>
      </c>
      <c r="I26" s="73" t="n">
        <v>102</v>
      </c>
      <c r="J26" s="74" t="inlineStr">
        <is>
          <t>Medium-High risk</t>
        </is>
      </c>
    </row>
    <row r="27" ht="16" customHeight="1">
      <c r="B27" s="25" t="inlineStr">
        <is>
          <t>ARLO</t>
        </is>
      </c>
      <c r="C27" s="26" t="inlineStr">
        <is>
          <t>Arlo Technologies, Inc.</t>
        </is>
      </c>
      <c r="D27" s="49" t="inlineStr">
        <is>
          <t>Small Cap</t>
        </is>
      </c>
      <c r="E27" s="23" t="inlineStr">
        <is>
          <t>Medium</t>
        </is>
      </c>
      <c r="F27" s="40" t="n">
        <v>0.03</v>
      </c>
      <c r="G27" s="75" t="n">
        <v>0.03</v>
      </c>
      <c r="H27" s="76" t="n">
        <v>3000</v>
      </c>
      <c r="I27" s="77" t="n">
        <v>215</v>
      </c>
      <c r="J27" s="78" t="inlineStr">
        <is>
          <t>Medium-High risk</t>
        </is>
      </c>
    </row>
    <row r="28" ht="16" customHeight="1">
      <c r="B28" s="19" t="inlineStr">
        <is>
          <t>CE</t>
        </is>
      </c>
      <c r="C28" s="20" t="inlineStr">
        <is>
          <t>Celanese Corporation</t>
        </is>
      </c>
      <c r="D28" s="48" t="inlineStr">
        <is>
          <t>Breakout</t>
        </is>
      </c>
      <c r="E28" s="23" t="inlineStr">
        <is>
          <t>Medium</t>
        </is>
      </c>
      <c r="F28" s="34" t="n">
        <v>0.03</v>
      </c>
      <c r="G28" s="71" t="n">
        <v>0.036</v>
      </c>
      <c r="H28" s="72" t="n">
        <v>3600</v>
      </c>
      <c r="I28" s="73" t="n">
        <v>80</v>
      </c>
      <c r="J28" s="74" t="inlineStr">
        <is>
          <t>High risk</t>
        </is>
      </c>
    </row>
    <row r="29" ht="16" customHeight="1">
      <c r="B29" s="25" t="inlineStr">
        <is>
          <t>TRC</t>
        </is>
      </c>
      <c r="C29" s="26" t="inlineStr">
        <is>
          <t>Tejon Ranch Co.</t>
        </is>
      </c>
      <c r="D29" s="49" t="inlineStr">
        <is>
          <t>Small Cap</t>
        </is>
      </c>
      <c r="E29" s="23" t="inlineStr">
        <is>
          <t>Medium</t>
        </is>
      </c>
      <c r="F29" s="40" t="n">
        <v>0.03</v>
      </c>
      <c r="G29" s="75" t="n">
        <v>0.03</v>
      </c>
      <c r="H29" s="76" t="n">
        <v>3000</v>
      </c>
      <c r="I29" s="77" t="n">
        <v>181</v>
      </c>
      <c r="J29" s="78" t="inlineStr">
        <is>
          <t>High risk</t>
        </is>
      </c>
    </row>
    <row r="30" ht="16" customHeight="1">
      <c r="B30" s="19" t="inlineStr">
        <is>
          <t>LYFT</t>
        </is>
      </c>
      <c r="C30" s="20" t="inlineStr">
        <is>
          <t>Lyft, Inc.</t>
        </is>
      </c>
      <c r="D30" s="48" t="inlineStr">
        <is>
          <t>Breakout</t>
        </is>
      </c>
      <c r="E30" s="23" t="inlineStr">
        <is>
          <t>Medium</t>
        </is>
      </c>
      <c r="F30" s="34" t="n">
        <v>0.03</v>
      </c>
      <c r="G30" s="71" t="n">
        <v>0.036</v>
      </c>
      <c r="H30" s="72" t="n">
        <v>3600</v>
      </c>
      <c r="I30" s="73" t="n">
        <v>223</v>
      </c>
      <c r="J30" s="74" t="inlineStr">
        <is>
          <t>Medium-Low risk</t>
        </is>
      </c>
    </row>
    <row r="31" ht="16" customHeight="1">
      <c r="B31" s="25" t="inlineStr">
        <is>
          <t>RUN</t>
        </is>
      </c>
      <c r="C31" s="26" t="inlineStr">
        <is>
          <t>Sunrun Inc.</t>
        </is>
      </c>
      <c r="D31" s="49" t="inlineStr">
        <is>
          <t>Breakout</t>
        </is>
      </c>
      <c r="E31" s="23" t="inlineStr">
        <is>
          <t>Medium</t>
        </is>
      </c>
      <c r="F31" s="40" t="n">
        <v>0.03</v>
      </c>
      <c r="G31" s="75" t="n">
        <v>0.036</v>
      </c>
      <c r="H31" s="76" t="n">
        <v>3600</v>
      </c>
      <c r="I31" s="77" t="n">
        <v>392</v>
      </c>
      <c r="J31" s="78" t="inlineStr">
        <is>
          <t>Medium-Low risk</t>
        </is>
      </c>
    </row>
    <row r="32" ht="16" customHeight="1">
      <c r="B32" s="19" t="inlineStr">
        <is>
          <t>INOD</t>
        </is>
      </c>
      <c r="C32" s="20" t="inlineStr">
        <is>
          <t>Innodata Inc.</t>
        </is>
      </c>
      <c r="D32" s="48" t="inlineStr">
        <is>
          <t>Small Cap</t>
        </is>
      </c>
      <c r="E32" s="23" t="inlineStr">
        <is>
          <t>Medium</t>
        </is>
      </c>
      <c r="F32" s="34" t="n">
        <v>0.03</v>
      </c>
      <c r="G32" s="71" t="n">
        <v>0.03</v>
      </c>
      <c r="H32" s="72" t="n">
        <v>3000</v>
      </c>
      <c r="I32" s="73" t="n">
        <v>53</v>
      </c>
      <c r="J32" s="74" t="inlineStr">
        <is>
          <t>Medium-High risk</t>
        </is>
      </c>
    </row>
    <row r="33" ht="16" customHeight="1">
      <c r="B33" s="25" t="inlineStr">
        <is>
          <t>ITRI</t>
        </is>
      </c>
      <c r="C33" s="26" t="inlineStr">
        <is>
          <t>Itron, Inc.</t>
        </is>
      </c>
      <c r="D33" s="49" t="inlineStr">
        <is>
          <t>Breakout</t>
        </is>
      </c>
      <c r="E33" s="23" t="inlineStr">
        <is>
          <t>Medium</t>
        </is>
      </c>
      <c r="F33" s="40" t="n">
        <v>0.03</v>
      </c>
      <c r="G33" s="75" t="n">
        <v>0.036</v>
      </c>
      <c r="H33" s="76" t="n">
        <v>3600</v>
      </c>
      <c r="I33" s="77" t="n">
        <v>37</v>
      </c>
      <c r="J33" s="78" t="inlineStr">
        <is>
          <t>Medium-Low risk</t>
        </is>
      </c>
    </row>
    <row r="34" ht="16" customHeight="1">
      <c r="B34" s="19" t="inlineStr">
        <is>
          <t>RFIL</t>
        </is>
      </c>
      <c r="C34" s="20" t="inlineStr">
        <is>
          <t>RF Industries, Ltd.</t>
        </is>
      </c>
      <c r="D34" s="48" t="inlineStr">
        <is>
          <t>Nano Cap</t>
        </is>
      </c>
      <c r="E34" s="23" t="inlineStr">
        <is>
          <t>Medium</t>
        </is>
      </c>
      <c r="F34" s="34" t="n">
        <v>0.03</v>
      </c>
      <c r="G34" s="71" t="n">
        <v>0.018</v>
      </c>
      <c r="H34" s="72" t="n">
        <v>1800</v>
      </c>
      <c r="I34" s="73" t="n">
        <v>165</v>
      </c>
      <c r="J34" s="74" t="inlineStr">
        <is>
          <t>Medium-High risk</t>
        </is>
      </c>
    </row>
    <row r="35" ht="16" customHeight="1">
      <c r="B35" s="25" t="inlineStr">
        <is>
          <t>CDRE</t>
        </is>
      </c>
      <c r="C35" s="26" t="inlineStr">
        <is>
          <t>Cadre Holdings, Inc.</t>
        </is>
      </c>
      <c r="D35" s="49" t="inlineStr">
        <is>
          <t>Small Cap</t>
        </is>
      </c>
      <c r="E35" s="23" t="inlineStr">
        <is>
          <t>Medium</t>
        </is>
      </c>
      <c r="F35" s="40" t="n">
        <v>0.03</v>
      </c>
      <c r="G35" s="75" t="n">
        <v>0.03</v>
      </c>
      <c r="H35" s="76" t="n">
        <v>3000</v>
      </c>
      <c r="I35" s="77" t="n">
        <v>100</v>
      </c>
      <c r="J35" s="78" t="inlineStr">
        <is>
          <t>Medium-High risk</t>
        </is>
      </c>
    </row>
    <row r="36" ht="16" customHeight="1">
      <c r="B36" s="19" t="inlineStr">
        <is>
          <t>SHLS</t>
        </is>
      </c>
      <c r="C36" s="20" t="inlineStr">
        <is>
          <t>Shoals Technologies Group, Inc.</t>
        </is>
      </c>
      <c r="D36" s="48" t="inlineStr">
        <is>
          <t>Small Cap</t>
        </is>
      </c>
      <c r="E36" s="23" t="inlineStr">
        <is>
          <t>Medium</t>
        </is>
      </c>
      <c r="F36" s="34" t="n">
        <v>0.03</v>
      </c>
      <c r="G36" s="71" t="n">
        <v>0.03</v>
      </c>
      <c r="H36" s="72" t="n">
        <v>3000</v>
      </c>
      <c r="I36" s="73" t="n">
        <v>398</v>
      </c>
      <c r="J36" s="74" t="inlineStr">
        <is>
          <t>Medium-High risk</t>
        </is>
      </c>
    </row>
    <row r="37" ht="16" customHeight="1">
      <c r="B37" s="25" t="inlineStr">
        <is>
          <t>LTRX</t>
        </is>
      </c>
      <c r="C37" s="26" t="inlineStr">
        <is>
          <t>Lantronix, Inc.</t>
        </is>
      </c>
      <c r="D37" s="49" t="inlineStr">
        <is>
          <t>Nano Cap</t>
        </is>
      </c>
      <c r="E37" s="23" t="inlineStr">
        <is>
          <t>Medium</t>
        </is>
      </c>
      <c r="F37" s="40" t="n">
        <v>0.03</v>
      </c>
      <c r="G37" s="75" t="n">
        <v>0.018</v>
      </c>
      <c r="H37" s="76" t="n">
        <v>1800</v>
      </c>
      <c r="I37" s="77" t="n">
        <v>337</v>
      </c>
      <c r="J37" s="78" t="inlineStr">
        <is>
          <t>Medium-High risk</t>
        </is>
      </c>
    </row>
    <row r="38" ht="16" customHeight="1">
      <c r="B38" s="19" t="inlineStr">
        <is>
          <t>OPXS</t>
        </is>
      </c>
      <c r="C38" s="20" t="inlineStr">
        <is>
          <t>Optex Systems Holdings, Inc</t>
        </is>
      </c>
      <c r="D38" s="48" t="inlineStr">
        <is>
          <t>Nano Cap</t>
        </is>
      </c>
      <c r="E38" s="28" t="inlineStr">
        <is>
          <t>Speculative</t>
        </is>
      </c>
      <c r="F38" s="34" t="n">
        <v>0.015</v>
      </c>
      <c r="G38" s="71" t="n">
        <v>0.009000000000000001</v>
      </c>
      <c r="H38" s="72" t="n">
        <v>900</v>
      </c>
      <c r="I38" s="73" t="n">
        <v>88</v>
      </c>
      <c r="J38" s="74" t="inlineStr">
        <is>
          <t>High risk</t>
        </is>
      </c>
    </row>
    <row r="39" ht="16" customHeight="1">
      <c r="B39" s="25" t="inlineStr">
        <is>
          <t>BKTI</t>
        </is>
      </c>
      <c r="C39" s="26" t="inlineStr">
        <is>
          <t>BK Technologies Corporation</t>
        </is>
      </c>
      <c r="D39" s="49" t="inlineStr">
        <is>
          <t>Nano Cap</t>
        </is>
      </c>
      <c r="E39" s="28" t="inlineStr">
        <is>
          <t>Speculative</t>
        </is>
      </c>
      <c r="F39" s="40" t="n">
        <v>0.015</v>
      </c>
      <c r="G39" s="75" t="n">
        <v>0.009000000000000001</v>
      </c>
      <c r="H39" s="76" t="n">
        <v>900</v>
      </c>
      <c r="I39" s="77" t="n">
        <v>12</v>
      </c>
      <c r="J39" s="78" t="inlineStr">
        <is>
          <t>Medium-High risk</t>
        </is>
      </c>
    </row>
    <row r="40" ht="16" customHeight="1">
      <c r="B40" s="19" t="inlineStr">
        <is>
          <t>ASYS</t>
        </is>
      </c>
      <c r="C40" s="20" t="inlineStr">
        <is>
          <t>Amtech Systems, Inc.</t>
        </is>
      </c>
      <c r="D40" s="48" t="inlineStr">
        <is>
          <t>Nano Cap</t>
        </is>
      </c>
      <c r="E40" s="28" t="inlineStr">
        <is>
          <t>Speculative</t>
        </is>
      </c>
      <c r="F40" s="34" t="n">
        <v>0.015</v>
      </c>
      <c r="G40" s="71" t="n">
        <v>0.009000000000000001</v>
      </c>
      <c r="H40" s="72" t="n">
        <v>900</v>
      </c>
      <c r="I40" s="73" t="n">
        <v>58</v>
      </c>
      <c r="J40" s="74" t="inlineStr">
        <is>
          <t>Medium-High risk</t>
        </is>
      </c>
    </row>
    <row r="41" ht="16" customHeight="1">
      <c r="B41" s="25" t="inlineStr">
        <is>
          <t>KVHI</t>
        </is>
      </c>
      <c r="C41" s="26" t="inlineStr">
        <is>
          <t>KVH Industries, Inc.</t>
        </is>
      </c>
      <c r="D41" s="49" t="inlineStr">
        <is>
          <t>Nano Cap</t>
        </is>
      </c>
      <c r="E41" s="28" t="inlineStr">
        <is>
          <t>Speculative</t>
        </is>
      </c>
      <c r="F41" s="40" t="n">
        <v>0.015</v>
      </c>
      <c r="G41" s="75" t="n">
        <v>0.009000000000000001</v>
      </c>
      <c r="H41" s="76" t="n">
        <v>900</v>
      </c>
      <c r="I41" s="77" t="n">
        <v>126</v>
      </c>
      <c r="J41" s="78" t="inlineStr">
        <is>
          <t>Medium-High risk</t>
        </is>
      </c>
    </row>
    <row r="42" ht="16" customHeight="1">
      <c r="B42" s="19" t="inlineStr">
        <is>
          <t>ESP</t>
        </is>
      </c>
      <c r="C42" s="20" t="inlineStr">
        <is>
          <t>Espey Mfg. &amp; Electronics Corp.</t>
        </is>
      </c>
      <c r="D42" s="48" t="inlineStr">
        <is>
          <t>Nano Cap</t>
        </is>
      </c>
      <c r="E42" s="28" t="inlineStr">
        <is>
          <t>Speculative</t>
        </is>
      </c>
      <c r="F42" s="34" t="n">
        <v>0.015</v>
      </c>
      <c r="G42" s="71" t="n">
        <v>0.009000000000000001</v>
      </c>
      <c r="H42" s="72" t="n">
        <v>900</v>
      </c>
      <c r="I42" s="73" t="n">
        <v>14</v>
      </c>
      <c r="J42" s="74" t="inlineStr">
        <is>
          <t>Medium-High risk</t>
        </is>
      </c>
    </row>
    <row r="43" ht="16" customHeight="1">
      <c r="B43" s="25" t="inlineStr">
        <is>
          <t>ROC</t>
        </is>
      </c>
      <c r="C43" s="26" t="inlineStr">
        <is>
          <t>Rank One Computing Corp.</t>
        </is>
      </c>
      <c r="D43" s="49" t="inlineStr">
        <is>
          <t>Nano Cap</t>
        </is>
      </c>
      <c r="E43" s="28" t="inlineStr">
        <is>
          <t>Speculative</t>
        </is>
      </c>
      <c r="F43" s="40" t="n">
        <v>0.015</v>
      </c>
      <c r="G43" s="75" t="n">
        <v>0.009000000000000001</v>
      </c>
      <c r="H43" s="76" t="n">
        <v>900</v>
      </c>
      <c r="I43" s="77" t="n">
        <v>209</v>
      </c>
      <c r="J43" s="78" t="inlineStr">
        <is>
          <t>High risk</t>
        </is>
      </c>
    </row>
    <row r="45">
      <c r="B45" s="79" t="inlineStr">
        <is>
          <t>TOTAL ALLOCATED</t>
        </is>
      </c>
      <c r="C45" s="80" t="n"/>
      <c r="D45" s="80" t="n"/>
      <c r="E45" s="80" t="n"/>
      <c r="F45" s="80" t="n"/>
      <c r="G45" s="81" t="n">
        <v>0.8500000000000003</v>
      </c>
      <c r="H45" s="82" t="n">
        <v>85000</v>
      </c>
    </row>
    <row r="46">
      <c r="B46" s="79" t="inlineStr">
        <is>
          <t>CASH RESERVE</t>
        </is>
      </c>
      <c r="C46" s="80" t="n"/>
      <c r="D46" s="80" t="n"/>
      <c r="E46" s="80" t="n"/>
      <c r="F46" s="80" t="n"/>
      <c r="G46" s="83" t="n">
        <v>0.1499999999999997</v>
      </c>
      <c r="H46" s="84" t="n">
        <v>15000</v>
      </c>
    </row>
    <row r="49" ht="22" customHeight="1">
      <c r="B49" s="16" t="inlineStr">
        <is>
          <t>SENSITIVITY TO PORTFOLIO SIZE</t>
        </is>
      </c>
      <c r="C49" s="17" t="n"/>
      <c r="D49" s="17" t="n"/>
      <c r="E49" s="17" t="n"/>
      <c r="F49" s="17" t="n"/>
      <c r="G49" s="17" t="n"/>
      <c r="H49" s="17" t="n"/>
      <c r="I49" s="17" t="n"/>
      <c r="J49" s="17" t="n"/>
    </row>
    <row r="50" ht="18" customHeight="1">
      <c r="B50" s="18" t="inlineStr">
        <is>
          <t>Ticker</t>
        </is>
      </c>
      <c r="C50" s="18" t="inlineStr">
        <is>
          <t>$50K</t>
        </is>
      </c>
      <c r="D50" s="18" t="inlineStr">
        <is>
          <t>$100K</t>
        </is>
      </c>
      <c r="E50" s="18" t="inlineStr">
        <is>
          <t>$250K</t>
        </is>
      </c>
      <c r="F50" s="18" t="inlineStr">
        <is>
          <t>$500K</t>
        </is>
      </c>
      <c r="G50" s="18" t="inlineStr">
        <is>
          <t>$1M</t>
        </is>
      </c>
      <c r="L50" t="inlineStr">
        <is>
          <t>Tier</t>
        </is>
      </c>
      <c r="M50" t="inlineStr">
        <is>
          <t>Allocation %</t>
        </is>
      </c>
    </row>
    <row r="51" ht="16" customHeight="1">
      <c r="B51" s="19" t="inlineStr">
        <is>
          <t>SWBI</t>
        </is>
      </c>
      <c r="C51" s="21" t="n">
        <v>2500</v>
      </c>
      <c r="D51" s="85" t="n">
        <v>5000</v>
      </c>
      <c r="E51" s="21" t="n">
        <v>12500</v>
      </c>
      <c r="F51" s="21" t="n">
        <v>25000</v>
      </c>
      <c r="G51" s="21" t="n">
        <v>50000</v>
      </c>
      <c r="L51" t="inlineStr">
        <is>
          <t>Small Cap</t>
        </is>
      </c>
      <c r="M51" t="n">
        <v>34</v>
      </c>
    </row>
    <row r="52" ht="16" customHeight="1">
      <c r="B52" s="25" t="inlineStr">
        <is>
          <t>PKE</t>
        </is>
      </c>
      <c r="C52" s="27" t="n">
        <v>2500</v>
      </c>
      <c r="D52" s="85" t="n">
        <v>5000</v>
      </c>
      <c r="E52" s="27" t="n">
        <v>12500</v>
      </c>
      <c r="F52" s="27" t="n">
        <v>25000</v>
      </c>
      <c r="G52" s="27" t="n">
        <v>50000</v>
      </c>
      <c r="L52" t="inlineStr">
        <is>
          <t>Breakout</t>
        </is>
      </c>
      <c r="M52" t="n">
        <v>38.40000000000001</v>
      </c>
    </row>
    <row r="53" ht="16" customHeight="1">
      <c r="B53" s="19" t="inlineStr">
        <is>
          <t>CALX</t>
        </is>
      </c>
      <c r="C53" s="21" t="n">
        <v>3000</v>
      </c>
      <c r="D53" s="85" t="n">
        <v>6000</v>
      </c>
      <c r="E53" s="21" t="n">
        <v>15000</v>
      </c>
      <c r="F53" s="21" t="n">
        <v>30000</v>
      </c>
      <c r="G53" s="21" t="n">
        <v>60000</v>
      </c>
      <c r="L53" t="inlineStr">
        <is>
          <t>Nano Cap</t>
        </is>
      </c>
      <c r="M53" t="n">
        <v>12.6</v>
      </c>
    </row>
    <row r="54" ht="16" customHeight="1">
      <c r="B54" s="25" t="inlineStr">
        <is>
          <t>ADEA</t>
        </is>
      </c>
      <c r="C54" s="27" t="n">
        <v>1800</v>
      </c>
      <c r="D54" s="85" t="n">
        <v>3600</v>
      </c>
      <c r="E54" s="27" t="n">
        <v>9000.000000000002</v>
      </c>
      <c r="F54" s="27" t="n">
        <v>18000</v>
      </c>
      <c r="G54" s="27" t="n">
        <v>36000.00000000001</v>
      </c>
      <c r="L54" t="inlineStr">
        <is>
          <t>Cash</t>
        </is>
      </c>
      <c r="M54" t="n">
        <v>14.99999999999997</v>
      </c>
    </row>
    <row r="55" ht="16" customHeight="1">
      <c r="B55" s="19" t="inlineStr">
        <is>
          <t>DCI</t>
        </is>
      </c>
      <c r="C55" s="21" t="n">
        <v>1800</v>
      </c>
      <c r="D55" s="85" t="n">
        <v>3600</v>
      </c>
      <c r="E55" s="21" t="n">
        <v>9000.000000000002</v>
      </c>
      <c r="F55" s="21" t="n">
        <v>18000</v>
      </c>
      <c r="G55" s="21" t="n">
        <v>36000.00000000001</v>
      </c>
    </row>
    <row r="56" ht="16" customHeight="1">
      <c r="B56" s="25" t="inlineStr">
        <is>
          <t>EVLV</t>
        </is>
      </c>
      <c r="C56" s="27" t="n">
        <v>1500</v>
      </c>
      <c r="D56" s="85" t="n">
        <v>3000</v>
      </c>
      <c r="E56" s="27" t="n">
        <v>7500</v>
      </c>
      <c r="F56" s="27" t="n">
        <v>15000</v>
      </c>
      <c r="G56" s="27" t="n">
        <v>30000</v>
      </c>
    </row>
    <row r="57" ht="16" customHeight="1">
      <c r="B57" s="19" t="inlineStr">
        <is>
          <t>CACI</t>
        </is>
      </c>
      <c r="C57" s="21" t="n">
        <v>1800</v>
      </c>
      <c r="D57" s="85" t="n">
        <v>3600</v>
      </c>
      <c r="E57" s="21" t="n">
        <v>9000.000000000002</v>
      </c>
      <c r="F57" s="21" t="n">
        <v>18000</v>
      </c>
      <c r="G57" s="21" t="n">
        <v>36000.00000000001</v>
      </c>
    </row>
    <row r="58" ht="16" customHeight="1">
      <c r="B58" s="25" t="inlineStr">
        <is>
          <t>GHM</t>
        </is>
      </c>
      <c r="C58" s="27" t="n">
        <v>1500</v>
      </c>
      <c r="D58" s="85" t="n">
        <v>3000</v>
      </c>
      <c r="E58" s="27" t="n">
        <v>7500</v>
      </c>
      <c r="F58" s="27" t="n">
        <v>15000</v>
      </c>
      <c r="G58" s="27" t="n">
        <v>30000</v>
      </c>
    </row>
    <row r="59" ht="16" customHeight="1">
      <c r="B59" s="19" t="inlineStr">
        <is>
          <t>ADTN</t>
        </is>
      </c>
      <c r="C59" s="21" t="n">
        <v>1500</v>
      </c>
      <c r="D59" s="85" t="n">
        <v>3000</v>
      </c>
      <c r="E59" s="21" t="n">
        <v>7500</v>
      </c>
      <c r="F59" s="21" t="n">
        <v>15000</v>
      </c>
      <c r="G59" s="21" t="n">
        <v>30000</v>
      </c>
    </row>
    <row r="60" ht="16" customHeight="1">
      <c r="B60" s="25" t="inlineStr">
        <is>
          <t>INTT</t>
        </is>
      </c>
      <c r="C60" s="27" t="n">
        <v>900.0000000000001</v>
      </c>
      <c r="D60" s="85" t="n">
        <v>1800</v>
      </c>
      <c r="E60" s="27" t="n">
        <v>4500.000000000001</v>
      </c>
      <c r="F60" s="27" t="n">
        <v>9000.000000000002</v>
      </c>
      <c r="G60" s="27" t="n">
        <v>18000</v>
      </c>
    </row>
  </sheetData>
  <mergeCells count="5">
    <mergeCell ref="A2:N2"/>
    <mergeCell ref="B49:J49"/>
    <mergeCell ref="B4:J4"/>
    <mergeCell ref="B12:J12"/>
    <mergeCell ref="A1:N1"/>
  </mergeCell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E76F51"/>
    <outlinePr summaryBelow="1" summaryRight="1"/>
    <pageSetUpPr fitToPage="1"/>
  </sheetPr>
  <dimension ref="A1:M5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0" t="inlineStr">
        <is>
          <t>SENSITIVITY ANALYSIS — WEIGHT PROFILE COMPARISON</t>
        </is>
      </c>
      <c r="B1" s="11" t="n"/>
      <c r="C1" s="11" t="n"/>
      <c r="D1" s="11" t="n"/>
      <c r="E1" s="11" t="n"/>
      <c r="F1" s="11" t="n"/>
      <c r="G1" s="11" t="n"/>
      <c r="H1" s="11" t="n"/>
      <c r="I1" s="11" t="n"/>
      <c r="J1" s="11" t="n"/>
      <c r="K1" s="11" t="n"/>
      <c r="L1" s="11" t="n"/>
      <c r="M1" s="11" t="n"/>
    </row>
    <row r="2" ht="22" customHeight="1">
      <c r="A2" s="31"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6" t="inlineStr">
        <is>
          <t>Active Scenario:</t>
        </is>
      </c>
      <c r="C5" s="63" t="inlineStr">
        <is>
          <t>Baseline</t>
        </is>
      </c>
    </row>
    <row r="7" ht="18" customHeight="1">
      <c r="B7" s="18" t="inlineStr">
        <is>
          <t>Weight</t>
        </is>
      </c>
      <c r="C7" s="18" t="inlineStr">
        <is>
          <t>Baseline</t>
        </is>
      </c>
      <c r="D7" s="18" t="inlineStr">
        <is>
          <t>Fingerprint Only</t>
        </is>
      </c>
      <c r="E7" s="18" t="inlineStr">
        <is>
          <t>More Tail (WPS)</t>
        </is>
      </c>
      <c r="F7" s="18" t="inlineStr">
        <is>
          <t>Legacy 35/25/40</t>
        </is>
      </c>
      <c r="G7" s="18" t="inlineStr">
        <is>
          <t>Custom</t>
        </is>
      </c>
    </row>
    <row r="8" ht="16" customHeight="1">
      <c r="B8" s="20" t="inlineStr">
        <is>
          <t>Composite</t>
        </is>
      </c>
      <c r="C8" s="87" t="n">
        <v>0</v>
      </c>
      <c r="D8" s="88" t="n">
        <v>0</v>
      </c>
      <c r="E8" s="88" t="n">
        <v>0</v>
      </c>
      <c r="F8" s="88" t="n">
        <v>0.35</v>
      </c>
      <c r="G8" s="89" t="n">
        <v>0</v>
      </c>
    </row>
    <row r="9" ht="16" customHeight="1">
      <c r="B9" s="20" t="inlineStr">
        <is>
          <t>Fingerprint</t>
        </is>
      </c>
      <c r="C9" s="87" t="n">
        <v>0.75</v>
      </c>
      <c r="D9" s="88" t="n">
        <v>1</v>
      </c>
      <c r="E9" s="88" t="n">
        <v>0.6</v>
      </c>
      <c r="F9" s="88" t="n">
        <v>0.25</v>
      </c>
      <c r="G9" s="89" t="n">
        <v>0.75</v>
      </c>
    </row>
    <row r="10" ht="16" customHeight="1">
      <c r="B10" s="20" t="inlineStr">
        <is>
          <t>WPS</t>
        </is>
      </c>
      <c r="C10" s="87" t="n">
        <v>0.25</v>
      </c>
      <c r="D10" s="88" t="n">
        <v>0</v>
      </c>
      <c r="E10" s="88" t="n">
        <v>0.4</v>
      </c>
      <c r="F10" s="88" t="n">
        <v>0.4</v>
      </c>
      <c r="G10" s="89" t="n">
        <v>0.25</v>
      </c>
    </row>
    <row r="12" ht="22" customHeight="1">
      <c r="B12" s="16" t="inlineStr">
        <is>
          <t>COMBINED SCORES UNDER EACH PROFILE</t>
        </is>
      </c>
      <c r="C12" s="17" t="n"/>
      <c r="D12" s="17" t="n"/>
      <c r="E12" s="17" t="n"/>
      <c r="F12" s="17" t="n"/>
      <c r="G12" s="17" t="n"/>
      <c r="H12" s="17" t="n"/>
      <c r="I12" s="17" t="n"/>
      <c r="J12" s="17" t="n"/>
      <c r="K12" s="17" t="n"/>
      <c r="L12" s="17" t="n"/>
      <c r="M12" s="17" t="n"/>
    </row>
    <row r="13" ht="18" customHeight="1">
      <c r="B13" s="18" t="inlineStr">
        <is>
          <t>Ticker</t>
        </is>
      </c>
      <c r="C13" s="18" t="inlineStr">
        <is>
          <t>Name</t>
        </is>
      </c>
      <c r="D13" s="18" t="inlineStr">
        <is>
          <t>Tier</t>
        </is>
      </c>
      <c r="E13" s="18" t="inlineStr">
        <is>
          <t>Baseline</t>
        </is>
      </c>
      <c r="F13" s="18" t="inlineStr">
        <is>
          <t>Fingerprint Only</t>
        </is>
      </c>
      <c r="G13" s="18" t="inlineStr">
        <is>
          <t>More Tail (WPS)</t>
        </is>
      </c>
      <c r="H13" s="18" t="inlineStr">
        <is>
          <t>Legacy 35/25/40</t>
        </is>
      </c>
      <c r="I13" s="18" t="inlineStr">
        <is>
          <t>Max Score</t>
        </is>
      </c>
      <c r="J13" s="18" t="inlineStr">
        <is>
          <t>Min Score</t>
        </is>
      </c>
      <c r="K13" s="18" t="inlineStr">
        <is>
          <t>Score Range</t>
        </is>
      </c>
      <c r="L13" s="18" t="inlineStr">
        <is>
          <t>Rank Stability</t>
        </is>
      </c>
    </row>
    <row r="14" ht="16" customHeight="1">
      <c r="B14" s="19" t="inlineStr">
        <is>
          <t>SWBI</t>
        </is>
      </c>
      <c r="C14" s="20" t="inlineStr">
        <is>
          <t>Smith &amp; Wesson Brands, Inc.</t>
        </is>
      </c>
      <c r="D14" s="48" t="inlineStr">
        <is>
          <t>Small Cap</t>
        </is>
      </c>
      <c r="E14" s="35" t="n">
        <v>79.40000000000001</v>
      </c>
      <c r="F14" s="35" t="n">
        <v>85.40000000000001</v>
      </c>
      <c r="G14" s="35" t="n">
        <v>75.8</v>
      </c>
      <c r="H14" s="35" t="n">
        <v>71.7</v>
      </c>
      <c r="I14" s="35" t="n">
        <v>85.40000000000001</v>
      </c>
      <c r="J14" s="35" t="n">
        <v>71.7</v>
      </c>
      <c r="K14" s="35" t="n">
        <v>13.7</v>
      </c>
      <c r="L14" s="23" t="inlineStr">
        <is>
          <t>Moderate</t>
        </is>
      </c>
    </row>
    <row r="15" ht="16" customHeight="1">
      <c r="B15" s="25" t="inlineStr">
        <is>
          <t>PKE</t>
        </is>
      </c>
      <c r="C15" s="26" t="inlineStr">
        <is>
          <t>Park Aerospace Corp.</t>
        </is>
      </c>
      <c r="D15" s="49" t="inlineStr">
        <is>
          <t>Small Cap</t>
        </is>
      </c>
      <c r="E15" s="41" t="n">
        <v>78.5</v>
      </c>
      <c r="F15" s="41" t="n">
        <v>85.40000000000001</v>
      </c>
      <c r="G15" s="41" t="n">
        <v>74.40000000000001</v>
      </c>
      <c r="H15" s="41" t="n">
        <v>69.59999999999999</v>
      </c>
      <c r="I15" s="41" t="n">
        <v>85.40000000000001</v>
      </c>
      <c r="J15" s="41" t="n">
        <v>69.59999999999999</v>
      </c>
      <c r="K15" s="41" t="n">
        <v>15.80000000000001</v>
      </c>
      <c r="L15" s="23" t="inlineStr">
        <is>
          <t>Moderate</t>
        </is>
      </c>
    </row>
    <row r="16" ht="16" customHeight="1">
      <c r="B16" s="19" t="inlineStr">
        <is>
          <t>CALX</t>
        </is>
      </c>
      <c r="C16" s="20" t="inlineStr">
        <is>
          <t>Calix, Inc.</t>
        </is>
      </c>
      <c r="D16" s="48" t="inlineStr">
        <is>
          <t>Breakout</t>
        </is>
      </c>
      <c r="E16" s="35" t="n">
        <v>77.5</v>
      </c>
      <c r="F16" s="35" t="n">
        <v>83.90000000000001</v>
      </c>
      <c r="G16" s="35" t="n">
        <v>73.7</v>
      </c>
      <c r="H16" s="35" t="n">
        <v>70.3</v>
      </c>
      <c r="I16" s="35" t="n">
        <v>83.90000000000001</v>
      </c>
      <c r="J16" s="35" t="n">
        <v>70.3</v>
      </c>
      <c r="K16" s="35" t="n">
        <v>13.60000000000001</v>
      </c>
      <c r="L16" s="23" t="inlineStr">
        <is>
          <t>Moderate</t>
        </is>
      </c>
    </row>
    <row r="17" ht="16" customHeight="1">
      <c r="B17" s="25" t="inlineStr">
        <is>
          <t>ADEA</t>
        </is>
      </c>
      <c r="C17" s="26" t="inlineStr">
        <is>
          <t>Adeia Inc.</t>
        </is>
      </c>
      <c r="D17" s="49" t="inlineStr">
        <is>
          <t>Breakout</t>
        </is>
      </c>
      <c r="E17" s="41" t="n">
        <v>73.40000000000001</v>
      </c>
      <c r="F17" s="41" t="n">
        <v>75.09999999999999</v>
      </c>
      <c r="G17" s="41" t="n">
        <v>72.40000000000001</v>
      </c>
      <c r="H17" s="41" t="n">
        <v>64.90000000000001</v>
      </c>
      <c r="I17" s="41" t="n">
        <v>75.09999999999999</v>
      </c>
      <c r="J17" s="41" t="n">
        <v>64.90000000000001</v>
      </c>
      <c r="K17" s="41" t="n">
        <v>10.19999999999999</v>
      </c>
      <c r="L17" s="23" t="inlineStr">
        <is>
          <t>Moderate</t>
        </is>
      </c>
    </row>
    <row r="18" ht="16" customHeight="1">
      <c r="B18" s="19" t="inlineStr">
        <is>
          <t>DCI</t>
        </is>
      </c>
      <c r="C18" s="20" t="inlineStr">
        <is>
          <t>Donaldson Company, Inc.</t>
        </is>
      </c>
      <c r="D18" s="48" t="inlineStr">
        <is>
          <t>Breakout</t>
        </is>
      </c>
      <c r="E18" s="35" t="n">
        <v>73.09999999999999</v>
      </c>
      <c r="F18" s="35" t="n">
        <v>79.40000000000001</v>
      </c>
      <c r="G18" s="35" t="n">
        <v>69.2</v>
      </c>
      <c r="H18" s="35" t="n">
        <v>59.9</v>
      </c>
      <c r="I18" s="35" t="n">
        <v>79.40000000000001</v>
      </c>
      <c r="J18" s="35" t="n">
        <v>59.9</v>
      </c>
      <c r="K18" s="35" t="n">
        <v>19.50000000000001</v>
      </c>
      <c r="L18" s="23" t="inlineStr">
        <is>
          <t>Moderate</t>
        </is>
      </c>
    </row>
    <row r="19" ht="16" customHeight="1">
      <c r="B19" s="25" t="inlineStr">
        <is>
          <t>EVLV</t>
        </is>
      </c>
      <c r="C19" s="26" t="inlineStr">
        <is>
          <t>Evolv Technologies Holdings, Inc.</t>
        </is>
      </c>
      <c r="D19" s="49" t="inlineStr">
        <is>
          <t>Small Cap</t>
        </is>
      </c>
      <c r="E19" s="41" t="n">
        <v>72.09999999999999</v>
      </c>
      <c r="F19" s="41" t="n">
        <v>74</v>
      </c>
      <c r="G19" s="41" t="n">
        <v>71</v>
      </c>
      <c r="H19" s="41" t="n">
        <v>68.40000000000001</v>
      </c>
      <c r="I19" s="41" t="n">
        <v>74</v>
      </c>
      <c r="J19" s="41" t="n">
        <v>68.40000000000001</v>
      </c>
      <c r="K19" s="41" t="n">
        <v>5.599999999999994</v>
      </c>
      <c r="L19" s="90" t="inlineStr">
        <is>
          <t>Stable</t>
        </is>
      </c>
    </row>
    <row r="20" ht="16" customHeight="1">
      <c r="B20" s="19" t="inlineStr">
        <is>
          <t>CACI</t>
        </is>
      </c>
      <c r="C20" s="20" t="inlineStr">
        <is>
          <t>CACI International Inc</t>
        </is>
      </c>
      <c r="D20" s="48" t="inlineStr">
        <is>
          <t>Breakout</t>
        </is>
      </c>
      <c r="E20" s="35" t="n">
        <v>71.59999999999999</v>
      </c>
      <c r="F20" s="35" t="n">
        <v>76.90000000000001</v>
      </c>
      <c r="G20" s="35" t="n">
        <v>68.5</v>
      </c>
      <c r="H20" s="35" t="n">
        <v>61.3</v>
      </c>
      <c r="I20" s="35" t="n">
        <v>76.90000000000001</v>
      </c>
      <c r="J20" s="35" t="n">
        <v>61.3</v>
      </c>
      <c r="K20" s="35" t="n">
        <v>15.60000000000001</v>
      </c>
      <c r="L20" s="23" t="inlineStr">
        <is>
          <t>Moderate</t>
        </is>
      </c>
    </row>
    <row r="21" ht="16" customHeight="1">
      <c r="B21" s="25" t="inlineStr">
        <is>
          <t>GHM</t>
        </is>
      </c>
      <c r="C21" s="26" t="inlineStr">
        <is>
          <t>Graham Corporation</t>
        </is>
      </c>
      <c r="D21" s="49" t="inlineStr">
        <is>
          <t>Small Cap</t>
        </is>
      </c>
      <c r="E21" s="41" t="n">
        <v>70.7</v>
      </c>
      <c r="F21" s="41" t="n">
        <v>77</v>
      </c>
      <c r="G21" s="41" t="n">
        <v>67</v>
      </c>
      <c r="H21" s="41" t="n">
        <v>61</v>
      </c>
      <c r="I21" s="41" t="n">
        <v>77</v>
      </c>
      <c r="J21" s="41" t="n">
        <v>61</v>
      </c>
      <c r="K21" s="41" t="n">
        <v>16</v>
      </c>
      <c r="L21" s="23" t="inlineStr">
        <is>
          <t>Moderate</t>
        </is>
      </c>
    </row>
    <row r="22" ht="16" customHeight="1">
      <c r="B22" s="19" t="inlineStr">
        <is>
          <t>ADTN</t>
        </is>
      </c>
      <c r="C22" s="20" t="inlineStr">
        <is>
          <t>ADTRAN Holdings Inc.</t>
        </is>
      </c>
      <c r="D22" s="48" t="inlineStr">
        <is>
          <t>Small Cap</t>
        </is>
      </c>
      <c r="E22" s="35" t="n">
        <v>70.5</v>
      </c>
      <c r="F22" s="35" t="n">
        <v>76.7</v>
      </c>
      <c r="G22" s="35" t="n">
        <v>66.8</v>
      </c>
      <c r="H22" s="35" t="n">
        <v>56.8</v>
      </c>
      <c r="I22" s="35" t="n">
        <v>76.7</v>
      </c>
      <c r="J22" s="35" t="n">
        <v>56.8</v>
      </c>
      <c r="K22" s="35" t="n">
        <v>19.90000000000001</v>
      </c>
      <c r="L22" s="23" t="inlineStr">
        <is>
          <t>Moderate</t>
        </is>
      </c>
    </row>
    <row r="23" ht="16" customHeight="1">
      <c r="B23" s="25" t="inlineStr">
        <is>
          <t>INTT</t>
        </is>
      </c>
      <c r="C23" s="26" t="inlineStr">
        <is>
          <t>inTEST Corporation</t>
        </is>
      </c>
      <c r="D23" s="49" t="inlineStr">
        <is>
          <t>Nano Cap</t>
        </is>
      </c>
      <c r="E23" s="41" t="n">
        <v>70.2</v>
      </c>
      <c r="F23" s="41" t="n">
        <v>71.2</v>
      </c>
      <c r="G23" s="41" t="n">
        <v>69.59999999999999</v>
      </c>
      <c r="H23" s="41" t="n">
        <v>74.5</v>
      </c>
      <c r="I23" s="41" t="n">
        <v>74.5</v>
      </c>
      <c r="J23" s="41" t="n">
        <v>69.59999999999999</v>
      </c>
      <c r="K23" s="41" t="n">
        <v>4.900000000000006</v>
      </c>
      <c r="L23" s="90" t="inlineStr">
        <is>
          <t>Stable</t>
        </is>
      </c>
    </row>
    <row r="24" ht="16" customHeight="1">
      <c r="B24" s="19" t="inlineStr">
        <is>
          <t>MRCY</t>
        </is>
      </c>
      <c r="C24" s="20" t="inlineStr">
        <is>
          <t>Mercury Systems, Inc.</t>
        </is>
      </c>
      <c r="D24" s="48" t="inlineStr">
        <is>
          <t>Breakout</t>
        </is>
      </c>
      <c r="E24" s="35" t="n">
        <v>69.8</v>
      </c>
      <c r="F24" s="35" t="n">
        <v>71.2</v>
      </c>
      <c r="G24" s="35" t="n">
        <v>69</v>
      </c>
      <c r="H24" s="35" t="n">
        <v>63.1</v>
      </c>
      <c r="I24" s="35" t="n">
        <v>71.2</v>
      </c>
      <c r="J24" s="35" t="n">
        <v>63.1</v>
      </c>
      <c r="K24" s="35" t="n">
        <v>8.100000000000001</v>
      </c>
      <c r="L24" s="90" t="inlineStr">
        <is>
          <t>Stable</t>
        </is>
      </c>
    </row>
    <row r="25" ht="16" customHeight="1">
      <c r="B25" s="25" t="inlineStr">
        <is>
          <t>BRC</t>
        </is>
      </c>
      <c r="C25" s="26" t="inlineStr">
        <is>
          <t>Brady Corporation</t>
        </is>
      </c>
      <c r="D25" s="49" t="inlineStr">
        <is>
          <t>Breakout</t>
        </is>
      </c>
      <c r="E25" s="41" t="n">
        <v>69.7</v>
      </c>
      <c r="F25" s="41" t="n">
        <v>75.2</v>
      </c>
      <c r="G25" s="41" t="n">
        <v>66.40000000000001</v>
      </c>
      <c r="H25" s="41" t="n">
        <v>63.3</v>
      </c>
      <c r="I25" s="41" t="n">
        <v>75.2</v>
      </c>
      <c r="J25" s="41" t="n">
        <v>63.3</v>
      </c>
      <c r="K25" s="41" t="n">
        <v>11.90000000000001</v>
      </c>
      <c r="L25" s="23" t="inlineStr">
        <is>
          <t>Moderate</t>
        </is>
      </c>
    </row>
    <row r="26" ht="16" customHeight="1">
      <c r="B26" s="19" t="inlineStr">
        <is>
          <t>RELL</t>
        </is>
      </c>
      <c r="C26" s="20" t="inlineStr">
        <is>
          <t>Richardson Electronics, Ltd.</t>
        </is>
      </c>
      <c r="D26" s="48" t="inlineStr">
        <is>
          <t>Nano Cap</t>
        </is>
      </c>
      <c r="E26" s="35" t="n">
        <v>69.59999999999999</v>
      </c>
      <c r="F26" s="35" t="n">
        <v>67.90000000000001</v>
      </c>
      <c r="G26" s="35" t="n">
        <v>70.59999999999999</v>
      </c>
      <c r="H26" s="35" t="n">
        <v>75</v>
      </c>
      <c r="I26" s="35" t="n">
        <v>75</v>
      </c>
      <c r="J26" s="35" t="n">
        <v>67.90000000000001</v>
      </c>
      <c r="K26" s="35" t="n">
        <v>7.099999999999994</v>
      </c>
      <c r="L26" s="90" t="inlineStr">
        <is>
          <t>Stable</t>
        </is>
      </c>
    </row>
    <row r="27" ht="16" customHeight="1">
      <c r="B27" s="25" t="inlineStr">
        <is>
          <t>ARLO</t>
        </is>
      </c>
      <c r="C27" s="26" t="inlineStr">
        <is>
          <t>Arlo Technologies, Inc.</t>
        </is>
      </c>
      <c r="D27" s="49" t="inlineStr">
        <is>
          <t>Small Cap</t>
        </is>
      </c>
      <c r="E27" s="41" t="n">
        <v>69.59999999999999</v>
      </c>
      <c r="F27" s="41" t="n">
        <v>73.2</v>
      </c>
      <c r="G27" s="41" t="n">
        <v>67.40000000000001</v>
      </c>
      <c r="H27" s="41" t="n">
        <v>64.09999999999999</v>
      </c>
      <c r="I27" s="41" t="n">
        <v>73.2</v>
      </c>
      <c r="J27" s="41" t="n">
        <v>64.09999999999999</v>
      </c>
      <c r="K27" s="41" t="n">
        <v>9.100000000000009</v>
      </c>
      <c r="L27" s="90" t="inlineStr">
        <is>
          <t>Stable</t>
        </is>
      </c>
    </row>
    <row r="28" ht="16" customHeight="1">
      <c r="B28" s="19" t="inlineStr">
        <is>
          <t>CE</t>
        </is>
      </c>
      <c r="C28" s="20" t="inlineStr">
        <is>
          <t>Celanese Corporation</t>
        </is>
      </c>
      <c r="D28" s="48" t="inlineStr">
        <is>
          <t>Breakout</t>
        </is>
      </c>
      <c r="E28" s="35" t="n">
        <v>69.5</v>
      </c>
      <c r="F28" s="35" t="n">
        <v>73.5</v>
      </c>
      <c r="G28" s="35" t="n">
        <v>67.2</v>
      </c>
      <c r="H28" s="35" t="n">
        <v>62.2</v>
      </c>
      <c r="I28" s="35" t="n">
        <v>73.5</v>
      </c>
      <c r="J28" s="35" t="n">
        <v>62.2</v>
      </c>
      <c r="K28" s="35" t="n">
        <v>11.3</v>
      </c>
      <c r="L28" s="23" t="inlineStr">
        <is>
          <t>Moderate</t>
        </is>
      </c>
    </row>
    <row r="29" ht="16" customHeight="1">
      <c r="B29" s="25" t="inlineStr">
        <is>
          <t>TRC</t>
        </is>
      </c>
      <c r="C29" s="26" t="inlineStr">
        <is>
          <t>Tejon Ranch Co.</t>
        </is>
      </c>
      <c r="D29" s="49" t="inlineStr">
        <is>
          <t>Small Cap</t>
        </is>
      </c>
      <c r="E29" s="41" t="n">
        <v>69.3</v>
      </c>
      <c r="F29" s="41" t="n">
        <v>69.40000000000001</v>
      </c>
      <c r="G29" s="41" t="n">
        <v>69.2</v>
      </c>
      <c r="H29" s="41" t="n">
        <v>75.90000000000001</v>
      </c>
      <c r="I29" s="41" t="n">
        <v>75.90000000000001</v>
      </c>
      <c r="J29" s="41" t="n">
        <v>69.2</v>
      </c>
      <c r="K29" s="41" t="n">
        <v>6.700000000000003</v>
      </c>
      <c r="L29" s="90" t="inlineStr">
        <is>
          <t>Stable</t>
        </is>
      </c>
    </row>
    <row r="30" ht="16" customHeight="1">
      <c r="B30" s="19" t="inlineStr">
        <is>
          <t>LYFT</t>
        </is>
      </c>
      <c r="C30" s="20" t="inlineStr">
        <is>
          <t>Lyft, Inc.</t>
        </is>
      </c>
      <c r="D30" s="48" t="inlineStr">
        <is>
          <t>Breakout</t>
        </is>
      </c>
      <c r="E30" s="35" t="n">
        <v>69</v>
      </c>
      <c r="F30" s="35" t="n">
        <v>77.59999999999999</v>
      </c>
      <c r="G30" s="35" t="n">
        <v>63.8</v>
      </c>
      <c r="H30" s="35" t="n">
        <v>62.6</v>
      </c>
      <c r="I30" s="35" t="n">
        <v>77.59999999999999</v>
      </c>
      <c r="J30" s="35" t="n">
        <v>62.6</v>
      </c>
      <c r="K30" s="35" t="n">
        <v>14.99999999999999</v>
      </c>
      <c r="L30" s="23" t="inlineStr">
        <is>
          <t>Moderate</t>
        </is>
      </c>
    </row>
    <row r="31" ht="16" customHeight="1">
      <c r="B31" s="25" t="inlineStr">
        <is>
          <t>RUN</t>
        </is>
      </c>
      <c r="C31" s="26" t="inlineStr">
        <is>
          <t>Sunrun Inc.</t>
        </is>
      </c>
      <c r="D31" s="49" t="inlineStr">
        <is>
          <t>Breakout</t>
        </is>
      </c>
      <c r="E31" s="41" t="n">
        <v>68.90000000000001</v>
      </c>
      <c r="F31" s="41" t="n">
        <v>71.09999999999999</v>
      </c>
      <c r="G31" s="41" t="n">
        <v>67.7</v>
      </c>
      <c r="H31" s="41" t="n">
        <v>72.59999999999999</v>
      </c>
      <c r="I31" s="41" t="n">
        <v>72.59999999999999</v>
      </c>
      <c r="J31" s="41" t="n">
        <v>67.7</v>
      </c>
      <c r="K31" s="41" t="n">
        <v>4.899999999999991</v>
      </c>
      <c r="L31" s="90" t="inlineStr">
        <is>
          <t>Stable</t>
        </is>
      </c>
    </row>
    <row r="32" ht="16" customHeight="1">
      <c r="B32" s="19" t="inlineStr">
        <is>
          <t>INOD</t>
        </is>
      </c>
      <c r="C32" s="20" t="inlineStr">
        <is>
          <t>Innodata Inc.</t>
        </is>
      </c>
      <c r="D32" s="48" t="inlineStr">
        <is>
          <t>Small Cap</t>
        </is>
      </c>
      <c r="E32" s="35" t="n">
        <v>68.2</v>
      </c>
      <c r="F32" s="35" t="n">
        <v>70.40000000000001</v>
      </c>
      <c r="G32" s="35" t="n">
        <v>66.90000000000001</v>
      </c>
      <c r="H32" s="35" t="n">
        <v>65.90000000000001</v>
      </c>
      <c r="I32" s="35" t="n">
        <v>70.40000000000001</v>
      </c>
      <c r="J32" s="35" t="n">
        <v>65.90000000000001</v>
      </c>
      <c r="K32" s="35" t="n">
        <v>4.5</v>
      </c>
      <c r="L32" s="90" t="inlineStr">
        <is>
          <t>Stable</t>
        </is>
      </c>
    </row>
    <row r="33" ht="16" customHeight="1">
      <c r="B33" s="25" t="inlineStr">
        <is>
          <t>ITRI</t>
        </is>
      </c>
      <c r="C33" s="26" t="inlineStr">
        <is>
          <t>Itron, Inc.</t>
        </is>
      </c>
      <c r="D33" s="49" t="inlineStr">
        <is>
          <t>Breakout</t>
        </is>
      </c>
      <c r="E33" s="41" t="n">
        <v>68.2</v>
      </c>
      <c r="F33" s="41" t="n">
        <v>73.7</v>
      </c>
      <c r="G33" s="41" t="n">
        <v>64.8</v>
      </c>
      <c r="H33" s="41" t="n">
        <v>60.9</v>
      </c>
      <c r="I33" s="41" t="n">
        <v>73.7</v>
      </c>
      <c r="J33" s="41" t="n">
        <v>60.9</v>
      </c>
      <c r="K33" s="41" t="n">
        <v>12.8</v>
      </c>
      <c r="L33" s="23" t="inlineStr">
        <is>
          <t>Moderate</t>
        </is>
      </c>
    </row>
    <row r="34" ht="16" customHeight="1">
      <c r="B34" s="19" t="inlineStr">
        <is>
          <t>RFIL</t>
        </is>
      </c>
      <c r="C34" s="20" t="inlineStr">
        <is>
          <t>RF Industries, Ltd.</t>
        </is>
      </c>
      <c r="D34" s="48" t="inlineStr">
        <is>
          <t>Nano Cap</t>
        </is>
      </c>
      <c r="E34" s="35" t="n">
        <v>67.09999999999999</v>
      </c>
      <c r="F34" s="35" t="n">
        <v>65.7</v>
      </c>
      <c r="G34" s="35" t="n">
        <v>67.90000000000001</v>
      </c>
      <c r="H34" s="35" t="n">
        <v>66.8</v>
      </c>
      <c r="I34" s="35" t="n">
        <v>67.90000000000001</v>
      </c>
      <c r="J34" s="35" t="n">
        <v>65.7</v>
      </c>
      <c r="K34" s="35" t="n">
        <v>2.200000000000003</v>
      </c>
      <c r="L34" s="90" t="inlineStr">
        <is>
          <t>Stable</t>
        </is>
      </c>
    </row>
    <row r="35" ht="16" customHeight="1">
      <c r="B35" s="25" t="inlineStr">
        <is>
          <t>CDRE</t>
        </is>
      </c>
      <c r="C35" s="26" t="inlineStr">
        <is>
          <t>Cadre Holdings, Inc.</t>
        </is>
      </c>
      <c r="D35" s="49" t="inlineStr">
        <is>
          <t>Small Cap</t>
        </is>
      </c>
      <c r="E35" s="41" t="n">
        <v>67</v>
      </c>
      <c r="F35" s="41" t="n">
        <v>67.3</v>
      </c>
      <c r="G35" s="41" t="n">
        <v>66.90000000000001</v>
      </c>
      <c r="H35" s="41" t="n">
        <v>72</v>
      </c>
      <c r="I35" s="41" t="n">
        <v>72</v>
      </c>
      <c r="J35" s="41" t="n">
        <v>66.90000000000001</v>
      </c>
      <c r="K35" s="41" t="n">
        <v>5.099999999999994</v>
      </c>
      <c r="L35" s="90" t="inlineStr">
        <is>
          <t>Stable</t>
        </is>
      </c>
    </row>
    <row r="36" ht="16" customHeight="1">
      <c r="B36" s="19" t="inlineStr">
        <is>
          <t>SHLS</t>
        </is>
      </c>
      <c r="C36" s="20" t="inlineStr">
        <is>
          <t>Shoals Technologies Group, Inc.</t>
        </is>
      </c>
      <c r="D36" s="48" t="inlineStr">
        <is>
          <t>Small Cap</t>
        </is>
      </c>
      <c r="E36" s="35" t="n">
        <v>66.40000000000001</v>
      </c>
      <c r="F36" s="35" t="n">
        <v>73.5</v>
      </c>
      <c r="G36" s="35" t="n">
        <v>62.1</v>
      </c>
      <c r="H36" s="35" t="n">
        <v>64.2</v>
      </c>
      <c r="I36" s="35" t="n">
        <v>73.5</v>
      </c>
      <c r="J36" s="35" t="n">
        <v>62.1</v>
      </c>
      <c r="K36" s="35" t="n">
        <v>11.4</v>
      </c>
      <c r="L36" s="23" t="inlineStr">
        <is>
          <t>Moderate</t>
        </is>
      </c>
    </row>
    <row r="37" ht="16" customHeight="1">
      <c r="B37" s="25" t="inlineStr">
        <is>
          <t>LTRX</t>
        </is>
      </c>
      <c r="C37" s="26" t="inlineStr">
        <is>
          <t>Lantronix, Inc.</t>
        </is>
      </c>
      <c r="D37" s="49" t="inlineStr">
        <is>
          <t>Nano Cap</t>
        </is>
      </c>
      <c r="E37" s="41" t="n">
        <v>66</v>
      </c>
      <c r="F37" s="41" t="n">
        <v>61.6</v>
      </c>
      <c r="G37" s="41" t="n">
        <v>68.59999999999999</v>
      </c>
      <c r="H37" s="41" t="n">
        <v>70.59999999999999</v>
      </c>
      <c r="I37" s="41" t="n">
        <v>70.59999999999999</v>
      </c>
      <c r="J37" s="41" t="n">
        <v>61.6</v>
      </c>
      <c r="K37" s="41" t="n">
        <v>8.999999999999993</v>
      </c>
      <c r="L37" s="90" t="inlineStr">
        <is>
          <t>Stable</t>
        </is>
      </c>
    </row>
    <row r="38" ht="16" customHeight="1">
      <c r="B38" s="19" t="inlineStr">
        <is>
          <t>OPXS</t>
        </is>
      </c>
      <c r="C38" s="20" t="inlineStr">
        <is>
          <t>Optex Systems Holdings, Inc</t>
        </is>
      </c>
      <c r="D38" s="48" t="inlineStr">
        <is>
          <t>Nano Cap</t>
        </is>
      </c>
      <c r="E38" s="35" t="n">
        <v>64.09999999999999</v>
      </c>
      <c r="F38" s="35" t="n">
        <v>62.6</v>
      </c>
      <c r="G38" s="35" t="n">
        <v>65</v>
      </c>
      <c r="H38" s="35" t="n">
        <v>66.59999999999999</v>
      </c>
      <c r="I38" s="35" t="n">
        <v>66.59999999999999</v>
      </c>
      <c r="J38" s="35" t="n">
        <v>62.6</v>
      </c>
      <c r="K38" s="35" t="n">
        <v>3.999999999999993</v>
      </c>
      <c r="L38" s="90" t="inlineStr">
        <is>
          <t>Stable</t>
        </is>
      </c>
    </row>
    <row r="39" ht="16" customHeight="1">
      <c r="B39" s="25" t="inlineStr">
        <is>
          <t>BKTI</t>
        </is>
      </c>
      <c r="C39" s="26" t="inlineStr">
        <is>
          <t>BK Technologies Corporation</t>
        </is>
      </c>
      <c r="D39" s="49" t="inlineStr">
        <is>
          <t>Nano Cap</t>
        </is>
      </c>
      <c r="E39" s="41" t="n">
        <v>63.1</v>
      </c>
      <c r="F39" s="41" t="n">
        <v>62.1</v>
      </c>
      <c r="G39" s="41" t="n">
        <v>63.7</v>
      </c>
      <c r="H39" s="41" t="n">
        <v>65.5</v>
      </c>
      <c r="I39" s="41" t="n">
        <v>65.5</v>
      </c>
      <c r="J39" s="41" t="n">
        <v>62.1</v>
      </c>
      <c r="K39" s="41" t="n">
        <v>3.399999999999999</v>
      </c>
      <c r="L39" s="90" t="inlineStr">
        <is>
          <t>Stable</t>
        </is>
      </c>
    </row>
    <row r="40" ht="16" customHeight="1">
      <c r="B40" s="19" t="inlineStr">
        <is>
          <t>ASYS</t>
        </is>
      </c>
      <c r="C40" s="20" t="inlineStr">
        <is>
          <t>Amtech Systems, Inc.</t>
        </is>
      </c>
      <c r="D40" s="48" t="inlineStr">
        <is>
          <t>Nano Cap</t>
        </is>
      </c>
      <c r="E40" s="35" t="n">
        <v>61.6</v>
      </c>
      <c r="F40" s="35" t="n">
        <v>62.4</v>
      </c>
      <c r="G40" s="35" t="n">
        <v>61.1</v>
      </c>
      <c r="H40" s="35" t="n">
        <v>65.2</v>
      </c>
      <c r="I40" s="35" t="n">
        <v>65.2</v>
      </c>
      <c r="J40" s="35" t="n">
        <v>61.1</v>
      </c>
      <c r="K40" s="35" t="n">
        <v>4.100000000000001</v>
      </c>
      <c r="L40" s="90" t="inlineStr">
        <is>
          <t>Stable</t>
        </is>
      </c>
    </row>
    <row r="41" ht="16" customHeight="1">
      <c r="B41" s="25" t="inlineStr">
        <is>
          <t>KVHI</t>
        </is>
      </c>
      <c r="C41" s="26" t="inlineStr">
        <is>
          <t>KVH Industries, Inc.</t>
        </is>
      </c>
      <c r="D41" s="49" t="inlineStr">
        <is>
          <t>Nano Cap</t>
        </is>
      </c>
      <c r="E41" s="41" t="n">
        <v>59.4</v>
      </c>
      <c r="F41" s="41" t="n">
        <v>58.4</v>
      </c>
      <c r="G41" s="41" t="n">
        <v>60</v>
      </c>
      <c r="H41" s="41" t="n">
        <v>67.90000000000001</v>
      </c>
      <c r="I41" s="41" t="n">
        <v>67.90000000000001</v>
      </c>
      <c r="J41" s="41" t="n">
        <v>58.4</v>
      </c>
      <c r="K41" s="41" t="n">
        <v>9.500000000000007</v>
      </c>
      <c r="L41" s="90" t="inlineStr">
        <is>
          <t>Stable</t>
        </is>
      </c>
    </row>
    <row r="42" ht="16" customHeight="1">
      <c r="B42" s="19" t="inlineStr">
        <is>
          <t>ESP</t>
        </is>
      </c>
      <c r="C42" s="20" t="inlineStr">
        <is>
          <t>Espey Mfg. &amp; Electronics Corp.</t>
        </is>
      </c>
      <c r="D42" s="48" t="inlineStr">
        <is>
          <t>Nano Cap</t>
        </is>
      </c>
      <c r="E42" s="35" t="n">
        <v>57.9</v>
      </c>
      <c r="F42" s="35" t="n">
        <v>54.4</v>
      </c>
      <c r="G42" s="35" t="n">
        <v>60</v>
      </c>
      <c r="H42" s="35" t="n">
        <v>59.7</v>
      </c>
      <c r="I42" s="35" t="n">
        <v>60</v>
      </c>
      <c r="J42" s="35" t="n">
        <v>54.4</v>
      </c>
      <c r="K42" s="35" t="n">
        <v>5.600000000000001</v>
      </c>
      <c r="L42" s="90" t="inlineStr">
        <is>
          <t>Stable</t>
        </is>
      </c>
    </row>
    <row r="43" ht="16" customHeight="1">
      <c r="B43" s="25" t="inlineStr">
        <is>
          <t>ROC</t>
        </is>
      </c>
      <c r="C43" s="26" t="inlineStr">
        <is>
          <t>Rank One Computing Corp.</t>
        </is>
      </c>
      <c r="D43" s="49" t="inlineStr">
        <is>
          <t>Nano Cap</t>
        </is>
      </c>
      <c r="E43" s="41" t="n">
        <v>54.9</v>
      </c>
      <c r="F43" s="41" t="n">
        <v>47.3</v>
      </c>
      <c r="G43" s="41" t="n">
        <v>59.5</v>
      </c>
      <c r="H43" s="41" t="n">
        <v>72.7</v>
      </c>
      <c r="I43" s="41" t="n">
        <v>72.7</v>
      </c>
      <c r="J43" s="41" t="n">
        <v>47.3</v>
      </c>
      <c r="K43" s="41" t="n">
        <v>25.40000000000001</v>
      </c>
      <c r="L43" s="28" t="inlineStr">
        <is>
          <t>Sensitive</t>
        </is>
      </c>
    </row>
    <row r="45">
      <c r="B45" s="91" t="inlineStr">
        <is>
          <t>Note: Stocks with high Score Range are ranking artifacts — their attractiveness depends heavily on your investment philosophy.</t>
        </is>
      </c>
    </row>
    <row r="47" ht="22" customHeight="1">
      <c r="B47" s="16" t="inlineStr">
        <is>
          <t>TORNADO ANALYSIS — SWBI (Score Impact of ±10% Weight Changes)</t>
        </is>
      </c>
      <c r="C47" s="17" t="n"/>
      <c r="D47" s="17" t="n"/>
      <c r="E47" s="17" t="n"/>
      <c r="F47" s="17" t="n"/>
      <c r="G47" s="17" t="n"/>
      <c r="H47" s="17" t="n"/>
      <c r="I47" s="17" t="n"/>
      <c r="J47" s="17" t="n"/>
      <c r="K47" s="17" t="n"/>
      <c r="L47" s="17" t="n"/>
      <c r="M47" s="17" t="n"/>
    </row>
    <row r="48" ht="18" customHeight="1">
      <c r="B48" s="18" t="inlineStr">
        <is>
          <t>Component</t>
        </is>
      </c>
      <c r="C48" s="18" t="inlineStr">
        <is>
          <t>−10% Impact</t>
        </is>
      </c>
      <c r="D48" s="18" t="inlineStr">
        <is>
          <t>+10% Impact</t>
        </is>
      </c>
    </row>
    <row r="49" ht="16" customHeight="1">
      <c r="B49" s="20" t="inlineStr">
        <is>
          <t>Composite</t>
        </is>
      </c>
      <c r="C49" s="92" t="n">
        <v>0</v>
      </c>
      <c r="D49" s="92" t="n">
        <v>-0.52</v>
      </c>
    </row>
    <row r="50" ht="16" customHeight="1">
      <c r="B50" s="26" t="inlineStr">
        <is>
          <t>Fingerprint</t>
        </is>
      </c>
      <c r="C50" s="93" t="n">
        <v>-0.67</v>
      </c>
      <c r="D50" s="93" t="n">
        <v>0.55</v>
      </c>
    </row>
    <row r="51" ht="16" customHeight="1">
      <c r="B51" s="20" t="inlineStr">
        <is>
          <t>WPS</t>
        </is>
      </c>
      <c r="C51" s="92" t="n">
        <v>2</v>
      </c>
      <c r="D51" s="92" t="n">
        <v>-1.64</v>
      </c>
    </row>
  </sheetData>
  <mergeCells count="6">
    <mergeCell ref="B47:M47"/>
    <mergeCell ref="A1:M1"/>
    <mergeCell ref="B45:M45"/>
    <mergeCell ref="B4:M4"/>
    <mergeCell ref="A2:M2"/>
    <mergeCell ref="B12:M12"/>
  </mergeCells>
  <conditionalFormatting sqref="E14:E43">
    <cfRule type="colorScale" priority="1">
      <colorScale>
        <cfvo type="num" val="0"/>
        <cfvo type="num" val="50"/>
        <cfvo type="num" val="100"/>
        <color rgb="00C1121F"/>
        <color rgb="00F9C74F"/>
        <color rgb="001A6B3C"/>
      </colorScale>
    </cfRule>
  </conditionalFormatting>
  <conditionalFormatting sqref="F14:F43">
    <cfRule type="colorScale" priority="2">
      <colorScale>
        <cfvo type="num" val="0"/>
        <cfvo type="num" val="50"/>
        <cfvo type="num" val="100"/>
        <color rgb="00C1121F"/>
        <color rgb="00F9C74F"/>
        <color rgb="001A6B3C"/>
      </colorScale>
    </cfRule>
  </conditionalFormatting>
  <conditionalFormatting sqref="G14:G43">
    <cfRule type="colorScale" priority="3">
      <colorScale>
        <cfvo type="num" val="0"/>
        <cfvo type="num" val="50"/>
        <cfvo type="num" val="100"/>
        <color rgb="00C1121F"/>
        <color rgb="00F9C74F"/>
        <color rgb="001A6B3C"/>
      </colorScale>
    </cfRule>
  </conditionalFormatting>
  <conditionalFormatting sqref="H14:H43">
    <cfRule type="colorScale" priority="4">
      <colorScale>
        <cfvo type="num" val="0"/>
        <cfvo type="num" val="50"/>
        <cfvo type="num" val="100"/>
        <color rgb="00C1121F"/>
        <color rgb="00F9C74F"/>
        <color rgb="001A6B3C"/>
      </colorScale>
    </cfRule>
  </conditionalFormatting>
  <conditionalFormatting sqref="K14:K43">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2.xml><?xml version="1.0" encoding="utf-8"?>
<worksheet xmlns="http://schemas.openxmlformats.org/spreadsheetml/2006/main">
  <sheetPr>
    <tabColor rgb="004FC3F7"/>
    <outlinePr summaryBelow="1" summaryRight="1"/>
    <pageSetUpPr fitToPage="1"/>
  </sheetPr>
  <dimension ref="A1:K21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0" t="inlineStr">
        <is>
          <t>QUARTERLY REVENUE TRENDS</t>
        </is>
      </c>
      <c r="B1" s="11" t="n"/>
      <c r="C1" s="11" t="n"/>
      <c r="D1" s="11" t="n"/>
      <c r="E1" s="11" t="n"/>
      <c r="F1" s="11" t="n"/>
      <c r="G1" s="11" t="n"/>
      <c r="H1" s="11" t="n"/>
      <c r="I1" s="11" t="n"/>
      <c r="J1" s="11" t="n"/>
      <c r="K1" s="11" t="n"/>
    </row>
    <row r="2" ht="22" customHeight="1">
      <c r="A2" s="31" t="inlineStr">
        <is>
          <t>Last 8 quarters of revenue and margin by company  |  September 08,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94" t="inlineStr">
        <is>
          <t>INTT  —  inTEST Corporation</t>
        </is>
      </c>
      <c r="C5" s="37" t="inlineStr">
        <is>
          <t>Nano Cap</t>
        </is>
      </c>
      <c r="D5" s="74" t="inlineStr">
        <is>
          <t>Mkt Cap: $146M</t>
        </is>
      </c>
      <c r="E5" s="95" t="n"/>
      <c r="F5" s="95" t="n"/>
      <c r="G5" s="95" t="n"/>
      <c r="H5" s="95" t="n"/>
      <c r="I5" s="95" t="n"/>
      <c r="J5" s="95" t="n"/>
      <c r="K5" s="95" t="n"/>
    </row>
    <row r="6" ht="16" customHeight="1">
      <c r="A6" s="96" t="inlineStr"/>
      <c r="B6" s="18" t="inlineStr">
        <is>
          <t>Quarter</t>
        </is>
      </c>
      <c r="C6" s="18" t="inlineStr">
        <is>
          <t>2024-03-31</t>
        </is>
      </c>
      <c r="D6" s="18" t="inlineStr">
        <is>
          <t>2024-06-30</t>
        </is>
      </c>
      <c r="E6" s="18" t="inlineStr">
        <is>
          <t>2024-09-30</t>
        </is>
      </c>
      <c r="F6" s="18" t="inlineStr">
        <is>
          <t>2024-12-31</t>
        </is>
      </c>
      <c r="G6" s="18" t="inlineStr">
        <is>
          <t>2025-03-31</t>
        </is>
      </c>
      <c r="H6" s="18" t="inlineStr">
        <is>
          <t>2025-06-30</t>
        </is>
      </c>
      <c r="I6" s="18" t="inlineStr">
        <is>
          <t>2025-09-30</t>
        </is>
      </c>
      <c r="J6" s="18" t="inlineStr">
        <is>
          <t>2025-12-31</t>
        </is>
      </c>
    </row>
    <row r="7" ht="16" customHeight="1">
      <c r="A7" s="96" t="inlineStr"/>
      <c r="B7" s="66" t="inlineStr">
        <is>
          <t>Revenue ($M)</t>
        </is>
      </c>
      <c r="C7" s="97" t="n">
        <v>29.824</v>
      </c>
      <c r="D7" s="97" t="n">
        <v>33.991</v>
      </c>
      <c r="E7" s="97" t="n">
        <v>30.272</v>
      </c>
      <c r="F7" s="97" t="n">
        <v>36.603</v>
      </c>
      <c r="G7" s="97" t="n">
        <v>26.637</v>
      </c>
      <c r="H7" s="97" t="n">
        <v>28.13</v>
      </c>
      <c r="I7" s="97" t="n">
        <v>26.236</v>
      </c>
      <c r="J7" s="97" t="n">
        <v>32.822</v>
      </c>
    </row>
    <row r="8" ht="16" customHeight="1">
      <c r="A8" s="96" t="inlineStr"/>
      <c r="B8" s="94" t="inlineStr">
        <is>
          <t>Gross Margin %</t>
        </is>
      </c>
      <c r="C8" s="71" t="n">
        <v>0.4379999999999999</v>
      </c>
      <c r="D8" s="71" t="n">
        <v>0.406</v>
      </c>
      <c r="E8" s="71" t="n">
        <v>0.463</v>
      </c>
      <c r="F8" s="71" t="n">
        <v>0.397</v>
      </c>
      <c r="G8" s="71" t="n">
        <v>0.415</v>
      </c>
      <c r="H8" s="71" t="n">
        <v>0.426</v>
      </c>
      <c r="I8" s="71" t="n">
        <v>0.419</v>
      </c>
      <c r="J8" s="71" t="n">
        <v>0.454</v>
      </c>
    </row>
    <row r="9" ht="16" customHeight="1">
      <c r="A9" s="96" t="inlineStr"/>
      <c r="B9" s="26" t="inlineStr">
        <is>
          <t>QoQ Rev Growth</t>
        </is>
      </c>
      <c r="C9" s="49" t="n"/>
      <c r="D9" s="75" t="n">
        <v>0.1397196888412017</v>
      </c>
      <c r="E9" s="75" t="n">
        <v>-0.1094113147597894</v>
      </c>
      <c r="F9" s="75" t="n">
        <v>0.209137156448203</v>
      </c>
      <c r="G9" s="75" t="n">
        <v>-0.2722727645274978</v>
      </c>
      <c r="H9" s="75" t="n">
        <v>0.05604985546420393</v>
      </c>
      <c r="I9" s="75" t="n">
        <v>-0.06733025239957341</v>
      </c>
      <c r="J9" s="75" t="n">
        <v>0.2510291202927276</v>
      </c>
    </row>
    <row r="10" ht="16" customHeight="1">
      <c r="A10" s="96" t="inlineStr"/>
      <c r="B10" s="20" t="inlineStr">
        <is>
          <t>YoY Rev Growth</t>
        </is>
      </c>
      <c r="C10" s="48" t="n"/>
      <c r="D10" s="48" t="n"/>
      <c r="E10" s="48" t="n"/>
      <c r="F10" s="48" t="n"/>
      <c r="G10" s="71" t="n">
        <v>-0.1068602467811159</v>
      </c>
      <c r="H10" s="71" t="n">
        <v>-0.1724279956459063</v>
      </c>
      <c r="I10" s="71" t="n">
        <v>-0.1333245243128964</v>
      </c>
      <c r="J10" s="71" t="n">
        <v>-0.1032975439171653</v>
      </c>
    </row>
    <row r="11" ht="8" customHeight="1"/>
    <row r="12" ht="18" customHeight="1">
      <c r="A12" s="94" t="inlineStr">
        <is>
          <t>RELL  —  Richardson Electronics, Ltd.</t>
        </is>
      </c>
      <c r="C12" s="37" t="inlineStr">
        <is>
          <t>Nano Cap</t>
        </is>
      </c>
      <c r="D12" s="74" t="inlineStr">
        <is>
          <t>Mkt Cap: $258M</t>
        </is>
      </c>
      <c r="E12" s="95" t="n"/>
      <c r="F12" s="95" t="n"/>
      <c r="G12" s="95" t="n"/>
      <c r="H12" s="95" t="n"/>
      <c r="I12" s="95" t="n"/>
      <c r="J12" s="95" t="n"/>
      <c r="K12" s="95" t="n"/>
    </row>
    <row r="13" ht="16" customHeight="1">
      <c r="A13" s="96" t="inlineStr"/>
      <c r="B13" s="18" t="inlineStr">
        <is>
          <t>Quarter</t>
        </is>
      </c>
      <c r="C13" s="18" t="inlineStr">
        <is>
          <t>2024-03-02</t>
        </is>
      </c>
      <c r="D13" s="18" t="inlineStr">
        <is>
          <t>2024-06-01</t>
        </is>
      </c>
      <c r="E13" s="18" t="inlineStr">
        <is>
          <t>2024-08-31</t>
        </is>
      </c>
      <c r="F13" s="18" t="inlineStr">
        <is>
          <t>2024-11-30</t>
        </is>
      </c>
      <c r="G13" s="18" t="inlineStr">
        <is>
          <t>2025-03-01</t>
        </is>
      </c>
      <c r="H13" s="18" t="inlineStr">
        <is>
          <t>2025-05-31</t>
        </is>
      </c>
      <c r="I13" s="18" t="inlineStr">
        <is>
          <t>2025-08-30</t>
        </is>
      </c>
      <c r="J13" s="18" t="inlineStr">
        <is>
          <t>2025-11-29</t>
        </is>
      </c>
    </row>
    <row r="14" ht="16" customHeight="1">
      <c r="A14" s="96" t="inlineStr"/>
      <c r="B14" s="66" t="inlineStr">
        <is>
          <t>Revenue ($M)</t>
        </is>
      </c>
      <c r="C14" s="97" t="n">
        <v>52.375</v>
      </c>
      <c r="D14" s="97" t="n">
        <v>47.374</v>
      </c>
      <c r="E14" s="97" t="n">
        <v>53.725</v>
      </c>
      <c r="F14" s="97" t="n">
        <v>49.491</v>
      </c>
      <c r="G14" s="97" t="n">
        <v>53.804</v>
      </c>
      <c r="H14" s="97" t="n">
        <v>51.889</v>
      </c>
      <c r="I14" s="97" t="n">
        <v>54.607</v>
      </c>
      <c r="J14" s="97" t="n">
        <v>52.288</v>
      </c>
    </row>
    <row r="15" ht="16" customHeight="1">
      <c r="A15" s="96" t="inlineStr"/>
      <c r="B15" s="94" t="inlineStr">
        <is>
          <t>Gross Margin %</t>
        </is>
      </c>
      <c r="C15" s="71" t="n">
        <v>0.295</v>
      </c>
      <c r="D15" s="71" t="n">
        <v>0.311</v>
      </c>
      <c r="E15" s="71" t="n">
        <v>0.306</v>
      </c>
      <c r="F15" s="71" t="n">
        <v>0.31</v>
      </c>
      <c r="G15" s="71" t="n">
        <v>0.31</v>
      </c>
      <c r="H15" s="71" t="n">
        <v>0.316</v>
      </c>
      <c r="I15" s="71" t="n">
        <v>0.31</v>
      </c>
      <c r="J15" s="71" t="n">
        <v>0.307</v>
      </c>
    </row>
    <row r="16" ht="16" customHeight="1">
      <c r="A16" s="96" t="inlineStr"/>
      <c r="B16" s="26" t="inlineStr">
        <is>
          <t>QoQ Rev Growth</t>
        </is>
      </c>
      <c r="C16" s="49" t="n"/>
      <c r="D16" s="75" t="n">
        <v>-0.09548448687350836</v>
      </c>
      <c r="E16" s="75" t="n">
        <v>0.1340608772744543</v>
      </c>
      <c r="F16" s="75" t="n">
        <v>-0.07880874825500232</v>
      </c>
      <c r="G16" s="75" t="n">
        <v>0.08714715806914389</v>
      </c>
      <c r="H16" s="75" t="n">
        <v>-0.03559214928258122</v>
      </c>
      <c r="I16" s="75" t="n">
        <v>0.05238104415193972</v>
      </c>
      <c r="J16" s="75" t="n">
        <v>-0.0424670829747102</v>
      </c>
    </row>
    <row r="17" ht="16" customHeight="1">
      <c r="A17" s="96" t="inlineStr"/>
      <c r="B17" s="20" t="inlineStr">
        <is>
          <t>YoY Rev Growth</t>
        </is>
      </c>
      <c r="C17" s="48" t="n"/>
      <c r="D17" s="48" t="n"/>
      <c r="E17" s="48" t="n"/>
      <c r="F17" s="48" t="n"/>
      <c r="G17" s="71" t="n">
        <v>0.02728400954653938</v>
      </c>
      <c r="H17" s="71" t="n">
        <v>0.09530544180352092</v>
      </c>
      <c r="I17" s="71" t="n">
        <v>0.01641693811074919</v>
      </c>
      <c r="J17" s="71" t="n">
        <v>0.05651532601887212</v>
      </c>
    </row>
    <row r="18" ht="8" customHeight="1"/>
    <row r="19" ht="18" customHeight="1">
      <c r="A19" s="94" t="inlineStr">
        <is>
          <t>RFIL  —  RF Industries, Ltd.</t>
        </is>
      </c>
      <c r="C19" s="37" t="inlineStr">
        <is>
          <t>Nano Cap</t>
        </is>
      </c>
      <c r="D19" s="74" t="inlineStr">
        <is>
          <t>Mkt Cap: $117M</t>
        </is>
      </c>
      <c r="E19" s="95" t="n"/>
      <c r="F19" s="95" t="n"/>
      <c r="G19" s="95" t="n"/>
      <c r="H19" s="95" t="n"/>
      <c r="I19" s="95" t="n"/>
      <c r="J19" s="95" t="n"/>
      <c r="K19" s="95" t="n"/>
    </row>
    <row r="20" ht="16" customHeight="1">
      <c r="A20" s="96" t="inlineStr"/>
      <c r="B20" s="18" t="inlineStr">
        <is>
          <t>Quarter</t>
        </is>
      </c>
      <c r="C20" s="18" t="inlineStr">
        <is>
          <t>2024-01-31</t>
        </is>
      </c>
      <c r="D20" s="18" t="inlineStr">
        <is>
          <t>2024-04-30</t>
        </is>
      </c>
      <c r="E20" s="18" t="inlineStr">
        <is>
          <t>2024-07-31</t>
        </is>
      </c>
      <c r="F20" s="18" t="inlineStr">
        <is>
          <t>2024-10-31</t>
        </is>
      </c>
      <c r="G20" s="18" t="inlineStr">
        <is>
          <t>2025-01-31</t>
        </is>
      </c>
      <c r="H20" s="18" t="inlineStr">
        <is>
          <t>2025-04-30</t>
        </is>
      </c>
      <c r="I20" s="18" t="inlineStr">
        <is>
          <t>2025-07-31</t>
        </is>
      </c>
      <c r="J20" s="18" t="inlineStr">
        <is>
          <t>2025-10-31</t>
        </is>
      </c>
    </row>
    <row r="21" ht="16" customHeight="1">
      <c r="A21" s="96" t="inlineStr"/>
      <c r="B21" s="66" t="inlineStr">
        <is>
          <t>Revenue ($M)</t>
        </is>
      </c>
      <c r="C21" s="97" t="n">
        <v>13.458</v>
      </c>
      <c r="D21" s="97" t="n">
        <v>16.11</v>
      </c>
      <c r="E21" s="97" t="n">
        <v>16.836</v>
      </c>
      <c r="F21" s="97" t="n">
        <v>18.453</v>
      </c>
      <c r="G21" s="97" t="n">
        <v>19.2</v>
      </c>
      <c r="H21" s="97" t="n">
        <v>18.91</v>
      </c>
      <c r="I21" s="97" t="n">
        <v>19.79</v>
      </c>
      <c r="J21" s="97" t="n">
        <v>22.686</v>
      </c>
    </row>
    <row r="22" ht="16" customHeight="1">
      <c r="A22" s="96" t="inlineStr"/>
      <c r="B22" s="94" t="inlineStr">
        <is>
          <t>Gross Margin %</t>
        </is>
      </c>
      <c r="C22" s="71" t="n">
        <v>0.188</v>
      </c>
      <c r="D22" s="71" t="n">
        <v>0.26</v>
      </c>
      <c r="E22" s="71" t="n">
        <v>0.256</v>
      </c>
      <c r="F22" s="71" t="n">
        <v>0.274</v>
      </c>
      <c r="G22" s="71" t="n">
        <v>0.298</v>
      </c>
      <c r="H22" s="71" t="n">
        <v>0.315</v>
      </c>
      <c r="I22" s="71" t="n">
        <v>0.34</v>
      </c>
      <c r="J22" s="71" t="n">
        <v>0.368</v>
      </c>
    </row>
    <row r="23" ht="16" customHeight="1">
      <c r="A23" s="96" t="inlineStr"/>
      <c r="B23" s="26" t="inlineStr">
        <is>
          <t>QoQ Rev Growth</t>
        </is>
      </c>
      <c r="C23" s="49" t="n"/>
      <c r="D23" s="75" t="n">
        <v>0.1970575122603656</v>
      </c>
      <c r="E23" s="75" t="n">
        <v>0.04506517690875233</v>
      </c>
      <c r="F23" s="75" t="n">
        <v>0.09604419101924448</v>
      </c>
      <c r="G23" s="75" t="n">
        <v>0.04048122256543651</v>
      </c>
      <c r="H23" s="75" t="n">
        <v>-0.01510416666666667</v>
      </c>
      <c r="I23" s="75" t="n">
        <v>0.04653622421998942</v>
      </c>
      <c r="J23" s="75" t="n">
        <v>0.1463365336028297</v>
      </c>
    </row>
    <row r="24" ht="16" customHeight="1">
      <c r="A24" s="96" t="inlineStr"/>
      <c r="B24" s="20" t="inlineStr">
        <is>
          <t>YoY Rev Growth</t>
        </is>
      </c>
      <c r="C24" s="48" t="n"/>
      <c r="D24" s="48" t="n"/>
      <c r="E24" s="48" t="n"/>
      <c r="F24" s="48" t="n"/>
      <c r="G24" s="71" t="n">
        <v>0.4266607222469906</v>
      </c>
      <c r="H24" s="71" t="n">
        <v>0.1738050900062073</v>
      </c>
      <c r="I24" s="71" t="n">
        <v>0.1754573532905678</v>
      </c>
      <c r="J24" s="71" t="n">
        <v>0.2293935945374736</v>
      </c>
    </row>
    <row r="25" ht="8" customHeight="1"/>
    <row r="26" ht="18" customHeight="1">
      <c r="A26" s="94" t="inlineStr">
        <is>
          <t>LTRX  —  Lantronix, Inc.</t>
        </is>
      </c>
      <c r="C26" s="37" t="inlineStr">
        <is>
          <t>Nano Cap</t>
        </is>
      </c>
      <c r="D26" s="74" t="inlineStr">
        <is>
          <t>Mkt Cap: $237M</t>
        </is>
      </c>
      <c r="E26" s="95" t="n"/>
      <c r="F26" s="95" t="n"/>
      <c r="G26" s="95" t="n"/>
      <c r="H26" s="95" t="n"/>
      <c r="I26" s="95" t="n"/>
      <c r="J26" s="95" t="n"/>
      <c r="K26" s="95" t="n"/>
    </row>
    <row r="27" ht="16" customHeight="1">
      <c r="A27" s="96" t="inlineStr"/>
      <c r="B27" s="18" t="inlineStr">
        <is>
          <t>Quarter</t>
        </is>
      </c>
      <c r="C27" s="18" t="inlineStr">
        <is>
          <t>2024-03-31</t>
        </is>
      </c>
      <c r="D27" s="18" t="inlineStr">
        <is>
          <t>2024-06-30</t>
        </is>
      </c>
      <c r="E27" s="18" t="inlineStr">
        <is>
          <t>2024-09-30</t>
        </is>
      </c>
      <c r="F27" s="18" t="inlineStr">
        <is>
          <t>2024-12-31</t>
        </is>
      </c>
      <c r="G27" s="18" t="inlineStr">
        <is>
          <t>2025-03-31</t>
        </is>
      </c>
      <c r="H27" s="18" t="inlineStr">
        <is>
          <t>2025-06-30</t>
        </is>
      </c>
      <c r="I27" s="18" t="inlineStr">
        <is>
          <t>2025-09-30</t>
        </is>
      </c>
      <c r="J27" s="18" t="inlineStr">
        <is>
          <t>2025-12-31</t>
        </is>
      </c>
    </row>
    <row r="28" ht="16" customHeight="1">
      <c r="A28" s="96" t="inlineStr"/>
      <c r="B28" s="66" t="inlineStr">
        <is>
          <t>Revenue ($M)</t>
        </is>
      </c>
      <c r="C28" s="97" t="n">
        <v>41.183</v>
      </c>
      <c r="D28" s="97" t="n">
        <v>49.075</v>
      </c>
      <c r="E28" s="97" t="n">
        <v>34.423</v>
      </c>
      <c r="F28" s="97" t="n">
        <v>31.161</v>
      </c>
      <c r="G28" s="97" t="n">
        <v>28.5</v>
      </c>
      <c r="H28" s="97" t="n">
        <v>28.839</v>
      </c>
      <c r="I28" s="97" t="n">
        <v>29.794</v>
      </c>
      <c r="J28" s="97" t="n">
        <v>29.774</v>
      </c>
    </row>
    <row r="29" ht="16" customHeight="1">
      <c r="A29" s="96" t="inlineStr"/>
      <c r="B29" s="94" t="inlineStr">
        <is>
          <t>Gross Margin %</t>
        </is>
      </c>
      <c r="C29" s="71" t="n">
        <v>0.401</v>
      </c>
      <c r="D29" s="71" t="n">
        <v>0.381</v>
      </c>
      <c r="E29" s="71" t="n">
        <v>0.421</v>
      </c>
      <c r="F29" s="71" t="n">
        <v>0.426</v>
      </c>
      <c r="G29" s="71" t="n">
        <v>0.435</v>
      </c>
      <c r="H29" s="71" t="n">
        <v>0.4</v>
      </c>
      <c r="I29" s="71" t="n">
        <v>0.448</v>
      </c>
      <c r="J29" s="71" t="n">
        <v>0.409</v>
      </c>
    </row>
    <row r="30" ht="16" customHeight="1">
      <c r="A30" s="96" t="inlineStr"/>
      <c r="B30" s="26" t="inlineStr">
        <is>
          <t>QoQ Rev Growth</t>
        </is>
      </c>
      <c r="C30" s="49" t="n"/>
      <c r="D30" s="75" t="n">
        <v>0.1916324697083748</v>
      </c>
      <c r="E30" s="75" t="n">
        <v>-0.2985634233316353</v>
      </c>
      <c r="F30" s="75" t="n">
        <v>-0.09476222293234175</v>
      </c>
      <c r="G30" s="75" t="n">
        <v>-0.08539520554539327</v>
      </c>
      <c r="H30" s="75" t="n">
        <v>0.01189473684210526</v>
      </c>
      <c r="I30" s="75" t="n">
        <v>0.03311487915669753</v>
      </c>
      <c r="J30" s="75" t="n">
        <v>-0.0006712760958582265</v>
      </c>
    </row>
    <row r="31" ht="16" customHeight="1">
      <c r="A31" s="96" t="inlineStr"/>
      <c r="B31" s="20" t="inlineStr">
        <is>
          <t>YoY Rev Growth</t>
        </is>
      </c>
      <c r="C31" s="48" t="n"/>
      <c r="D31" s="48" t="n"/>
      <c r="E31" s="48" t="n"/>
      <c r="F31" s="48" t="n"/>
      <c r="G31" s="71" t="n">
        <v>-0.3079668795376733</v>
      </c>
      <c r="H31" s="71" t="n">
        <v>-0.412348446255731</v>
      </c>
      <c r="I31" s="71" t="n">
        <v>-0.1344740435174157</v>
      </c>
      <c r="J31" s="71" t="n">
        <v>-0.04451076666345753</v>
      </c>
    </row>
    <row r="32" ht="8" customHeight="1"/>
    <row r="33" ht="18" customHeight="1">
      <c r="A33" s="94" t="inlineStr">
        <is>
          <t>OPXS  —  Optex Systems Holdings, Inc</t>
        </is>
      </c>
      <c r="C33" s="37" t="inlineStr">
        <is>
          <t>Nano Cap</t>
        </is>
      </c>
      <c r="D33" s="74" t="inlineStr">
        <is>
          <t>Mkt Cap: $72M</t>
        </is>
      </c>
      <c r="E33" s="95" t="n"/>
      <c r="F33" s="95" t="n"/>
      <c r="G33" s="95" t="n"/>
      <c r="H33" s="95" t="n"/>
      <c r="I33" s="95" t="n"/>
      <c r="J33" s="95" t="n"/>
      <c r="K33" s="95" t="n"/>
    </row>
    <row r="34" ht="16" customHeight="1">
      <c r="A34" s="96" t="inlineStr"/>
      <c r="B34" s="18" t="inlineStr">
        <is>
          <t>Quarter</t>
        </is>
      </c>
      <c r="C34" s="18" t="inlineStr">
        <is>
          <t>2024-03-31</t>
        </is>
      </c>
      <c r="D34" s="18" t="inlineStr">
        <is>
          <t>2024-06-30</t>
        </is>
      </c>
      <c r="E34" s="18" t="inlineStr">
        <is>
          <t>2024-09-29</t>
        </is>
      </c>
      <c r="F34" s="18" t="inlineStr">
        <is>
          <t>2024-12-29</t>
        </is>
      </c>
      <c r="G34" s="18" t="inlineStr">
        <is>
          <t>2025-03-30</t>
        </is>
      </c>
      <c r="H34" s="18" t="inlineStr">
        <is>
          <t>2025-06-29</t>
        </is>
      </c>
      <c r="I34" s="18" t="inlineStr">
        <is>
          <t>2025-09-28</t>
        </is>
      </c>
      <c r="J34" s="18" t="inlineStr">
        <is>
          <t>2025-12-28</t>
        </is>
      </c>
    </row>
    <row r="35" ht="16" customHeight="1">
      <c r="A35" s="96" t="inlineStr"/>
      <c r="B35" s="66" t="inlineStr">
        <is>
          <t>Revenue ($M)</t>
        </is>
      </c>
      <c r="C35" s="97" t="n">
        <v>8.523</v>
      </c>
      <c r="D35" s="97" t="n">
        <v>9.06</v>
      </c>
      <c r="E35" s="97" t="n">
        <v>9.443</v>
      </c>
      <c r="F35" s="97" t="n">
        <v>8.198</v>
      </c>
      <c r="G35" s="97" t="n">
        <v>10.73</v>
      </c>
      <c r="H35" s="97" t="n">
        <v>11.11</v>
      </c>
      <c r="I35" s="97" t="n">
        <v>11.299</v>
      </c>
      <c r="J35" s="97" t="n">
        <v>9.145</v>
      </c>
    </row>
    <row r="36" ht="16" customHeight="1">
      <c r="A36" s="96" t="inlineStr"/>
      <c r="B36" s="94" t="inlineStr">
        <is>
          <t>Gross Margin %</t>
        </is>
      </c>
      <c r="C36" s="71" t="n">
        <v>0.3</v>
      </c>
      <c r="D36" s="71" t="n">
        <v>0.318</v>
      </c>
      <c r="E36" s="71" t="n">
        <v>0.255</v>
      </c>
      <c r="F36" s="71" t="n">
        <v>0.26</v>
      </c>
      <c r="G36" s="71" t="n">
        <v>0.313</v>
      </c>
      <c r="H36" s="71" t="n">
        <v>0.285</v>
      </c>
      <c r="I36" s="71" t="n">
        <v>0.301</v>
      </c>
      <c r="J36" s="71" t="n">
        <v>0.229</v>
      </c>
    </row>
    <row r="37" ht="16" customHeight="1">
      <c r="A37" s="96" t="inlineStr"/>
      <c r="B37" s="26" t="inlineStr">
        <is>
          <t>QoQ Rev Growth</t>
        </is>
      </c>
      <c r="C37" s="49" t="n"/>
      <c r="D37" s="75" t="n">
        <v>0.06300598380851813</v>
      </c>
      <c r="E37" s="75" t="n">
        <v>0.04227373068432671</v>
      </c>
      <c r="F37" s="75" t="n">
        <v>-0.1318436937413957</v>
      </c>
      <c r="G37" s="75" t="n">
        <v>0.3088558184923152</v>
      </c>
      <c r="H37" s="75" t="n">
        <v>0.03541472506989748</v>
      </c>
      <c r="I37" s="75" t="n">
        <v>0.01701170117011701</v>
      </c>
      <c r="J37" s="75" t="n">
        <v>-0.1906363394990707</v>
      </c>
    </row>
    <row r="38" ht="16" customHeight="1">
      <c r="A38" s="96" t="inlineStr"/>
      <c r="B38" s="20" t="inlineStr">
        <is>
          <t>YoY Rev Growth</t>
        </is>
      </c>
      <c r="C38" s="48" t="n"/>
      <c r="D38" s="48" t="n"/>
      <c r="E38" s="48" t="n"/>
      <c r="F38" s="48" t="n"/>
      <c r="G38" s="71" t="n">
        <v>0.2589463803824944</v>
      </c>
      <c r="H38" s="71" t="n">
        <v>0.2262693156732892</v>
      </c>
      <c r="I38" s="71" t="n">
        <v>0.1965477072964101</v>
      </c>
      <c r="J38" s="71" t="n">
        <v>0.1155159795071969</v>
      </c>
    </row>
    <row r="39" ht="8" customHeight="1"/>
    <row r="40" ht="18" customHeight="1">
      <c r="A40" s="94" t="inlineStr">
        <is>
          <t>BKTI  —  BK Technologies Corporation</t>
        </is>
      </c>
      <c r="C40" s="37" t="inlineStr">
        <is>
          <t>Nano Cap</t>
        </is>
      </c>
      <c r="D40" s="74" t="inlineStr">
        <is>
          <t>Mkt Cap: $274M</t>
        </is>
      </c>
      <c r="E40" s="95" t="n"/>
      <c r="F40" s="95" t="n"/>
      <c r="G40" s="95" t="n"/>
      <c r="H40" s="95" t="n"/>
      <c r="I40" s="95" t="n"/>
      <c r="J40" s="95" t="n"/>
      <c r="K40" s="95" t="n"/>
    </row>
    <row r="41" ht="16" customHeight="1">
      <c r="A41" s="96" t="inlineStr"/>
      <c r="B41" s="18" t="inlineStr">
        <is>
          <t>Quarter</t>
        </is>
      </c>
      <c r="C41" s="18" t="inlineStr">
        <is>
          <t>2024-03-31</t>
        </is>
      </c>
      <c r="D41" s="18" t="inlineStr">
        <is>
          <t>2024-06-30</t>
        </is>
      </c>
      <c r="E41" s="18" t="inlineStr">
        <is>
          <t>2024-09-30</t>
        </is>
      </c>
      <c r="F41" s="18" t="inlineStr">
        <is>
          <t>2024-12-31</t>
        </is>
      </c>
      <c r="G41" s="18" t="inlineStr">
        <is>
          <t>2025-03-31</t>
        </is>
      </c>
      <c r="H41" s="18" t="inlineStr">
        <is>
          <t>2025-06-30</t>
        </is>
      </c>
      <c r="I41" s="18" t="inlineStr">
        <is>
          <t>2025-09-30</t>
        </is>
      </c>
      <c r="J41" s="18" t="inlineStr">
        <is>
          <t>2025-12-31</t>
        </is>
      </c>
    </row>
    <row r="42" ht="16" customHeight="1">
      <c r="A42" s="96" t="inlineStr"/>
      <c r="B42" s="66" t="inlineStr">
        <is>
          <t>Revenue ($M)</t>
        </is>
      </c>
      <c r="C42" s="97" t="n">
        <v>18.231</v>
      </c>
      <c r="D42" s="97" t="n">
        <v>20.254</v>
      </c>
      <c r="E42" s="97" t="n">
        <v>20.179</v>
      </c>
      <c r="F42" s="97" t="n">
        <v>17.928</v>
      </c>
      <c r="G42" s="97" t="n">
        <v>19.054</v>
      </c>
      <c r="H42" s="97" t="n">
        <v>21.165</v>
      </c>
      <c r="I42" s="97" t="n">
        <v>24.411</v>
      </c>
      <c r="J42" s="97" t="n">
        <v>21.509</v>
      </c>
    </row>
    <row r="43" ht="16" customHeight="1">
      <c r="A43" s="96" t="inlineStr"/>
      <c r="B43" s="94" t="inlineStr">
        <is>
          <t>Gross Margin %</t>
        </is>
      </c>
      <c r="C43" s="71" t="n">
        <v>0.345</v>
      </c>
      <c r="D43" s="71" t="n">
        <v>0.373</v>
      </c>
      <c r="E43" s="71" t="n">
        <v>0.388</v>
      </c>
      <c r="F43" s="71" t="n">
        <v>0.412</v>
      </c>
      <c r="G43" s="71" t="n">
        <v>0.47</v>
      </c>
      <c r="H43" s="71" t="n">
        <v>0.474</v>
      </c>
      <c r="I43" s="71" t="n">
        <v>0.499</v>
      </c>
      <c r="J43" s="71" t="n">
        <v>0.505</v>
      </c>
    </row>
    <row r="44" ht="16" customHeight="1">
      <c r="A44" s="96" t="inlineStr"/>
      <c r="B44" s="26" t="inlineStr">
        <is>
          <t>QoQ Rev Growth</t>
        </is>
      </c>
      <c r="C44" s="49" t="n"/>
      <c r="D44" s="75" t="n">
        <v>0.1109648401075092</v>
      </c>
      <c r="E44" s="75" t="n">
        <v>-0.003702972252394589</v>
      </c>
      <c r="F44" s="75" t="n">
        <v>-0.1115516130630854</v>
      </c>
      <c r="G44" s="75" t="n">
        <v>0.06280678268630076</v>
      </c>
      <c r="H44" s="75" t="n">
        <v>0.110790385220951</v>
      </c>
      <c r="I44" s="75" t="n">
        <v>0.1533664068036853</v>
      </c>
      <c r="J44" s="75" t="n">
        <v>-0.1188808324116177</v>
      </c>
    </row>
    <row r="45" ht="16" customHeight="1">
      <c r="A45" s="96" t="inlineStr"/>
      <c r="B45" s="20" t="inlineStr">
        <is>
          <t>YoY Rev Growth</t>
        </is>
      </c>
      <c r="C45" s="48" t="n"/>
      <c r="D45" s="48" t="n"/>
      <c r="E45" s="48" t="n"/>
      <c r="F45" s="48" t="n"/>
      <c r="G45" s="71" t="n">
        <v>0.04514288848664363</v>
      </c>
      <c r="H45" s="71" t="n">
        <v>0.04497876962575294</v>
      </c>
      <c r="I45" s="71" t="n">
        <v>0.2097229793349522</v>
      </c>
      <c r="J45" s="71" t="n">
        <v>0.1997434181169121</v>
      </c>
    </row>
    <row r="46" ht="8" customHeight="1"/>
    <row r="47" ht="18" customHeight="1">
      <c r="A47" s="94" t="inlineStr">
        <is>
          <t>ASYS  —  Amtech Systems, Inc.</t>
        </is>
      </c>
      <c r="C47" s="37" t="inlineStr">
        <is>
          <t>Nano Cap</t>
        </is>
      </c>
      <c r="D47" s="74" t="inlineStr">
        <is>
          <t>Mkt Cap: $269M</t>
        </is>
      </c>
      <c r="E47" s="95" t="n"/>
      <c r="F47" s="95" t="n"/>
      <c r="G47" s="95" t="n"/>
      <c r="H47" s="95" t="n"/>
      <c r="I47" s="95" t="n"/>
      <c r="J47" s="95" t="n"/>
      <c r="K47" s="95" t="n"/>
    </row>
    <row r="48" ht="16" customHeight="1">
      <c r="A48" s="96" t="inlineStr"/>
      <c r="B48" s="18" t="inlineStr">
        <is>
          <t>Quarter</t>
        </is>
      </c>
      <c r="C48" s="18" t="inlineStr">
        <is>
          <t>2024-03-31</t>
        </is>
      </c>
      <c r="D48" s="18" t="inlineStr">
        <is>
          <t>2024-06-30</t>
        </is>
      </c>
      <c r="E48" s="18" t="inlineStr">
        <is>
          <t>2024-09-30</t>
        </is>
      </c>
      <c r="F48" s="18" t="inlineStr">
        <is>
          <t>2024-12-31</t>
        </is>
      </c>
      <c r="G48" s="18" t="inlineStr">
        <is>
          <t>2025-03-31</t>
        </is>
      </c>
      <c r="H48" s="18" t="inlineStr">
        <is>
          <t>2025-06-30</t>
        </is>
      </c>
      <c r="I48" s="18" t="inlineStr">
        <is>
          <t>2025-09-30</t>
        </is>
      </c>
      <c r="J48" s="18" t="inlineStr">
        <is>
          <t>2025-12-31</t>
        </is>
      </c>
    </row>
    <row r="49" ht="16" customHeight="1">
      <c r="A49" s="96" t="inlineStr"/>
      <c r="B49" s="66" t="inlineStr">
        <is>
          <t>Revenue ($M)</t>
        </is>
      </c>
      <c r="C49" s="97" t="n">
        <v>25.433</v>
      </c>
      <c r="D49" s="97" t="n">
        <v>26.749</v>
      </c>
      <c r="E49" s="97" t="n">
        <v>24.112</v>
      </c>
      <c r="F49" s="97" t="n">
        <v>24.385</v>
      </c>
      <c r="G49" s="97" t="n">
        <v>15.58</v>
      </c>
      <c r="H49" s="97" t="n">
        <v>19.557</v>
      </c>
      <c r="I49" s="97" t="n">
        <v>19.842</v>
      </c>
      <c r="J49" s="97" t="n">
        <v>18.973</v>
      </c>
    </row>
    <row r="50" ht="16" customHeight="1">
      <c r="A50" s="96" t="inlineStr"/>
      <c r="B50" s="94" t="inlineStr">
        <is>
          <t>Gross Margin %</t>
        </is>
      </c>
      <c r="C50" s="71" t="n">
        <v>0.332</v>
      </c>
      <c r="D50" s="71" t="n">
        <v>0.365</v>
      </c>
      <c r="E50" s="71" t="n">
        <v>0.407</v>
      </c>
      <c r="F50" s="71" t="n">
        <v>0.384</v>
      </c>
      <c r="G50" s="71" t="n">
        <v>-0.021</v>
      </c>
      <c r="H50" s="71" t="n">
        <v>0.467</v>
      </c>
      <c r="I50" s="71" t="n">
        <v>0.444</v>
      </c>
      <c r="J50" s="71" t="n">
        <v>0.448</v>
      </c>
    </row>
    <row r="51" ht="16" customHeight="1">
      <c r="A51" s="96" t="inlineStr"/>
      <c r="B51" s="26" t="inlineStr">
        <is>
          <t>QoQ Rev Growth</t>
        </is>
      </c>
      <c r="C51" s="49" t="n"/>
      <c r="D51" s="75" t="n">
        <v>0.05174379742853773</v>
      </c>
      <c r="E51" s="75" t="n">
        <v>-0.09858312460278888</v>
      </c>
      <c r="F51" s="75" t="n">
        <v>0.01132216323822163</v>
      </c>
      <c r="G51" s="75" t="n">
        <v>-0.3610826327660447</v>
      </c>
      <c r="H51" s="75" t="n">
        <v>0.2552631578947369</v>
      </c>
      <c r="I51" s="75" t="n">
        <v>0.01457278723730633</v>
      </c>
      <c r="J51" s="75" t="n">
        <v>-0.04379598830763028</v>
      </c>
    </row>
    <row r="52" ht="16" customHeight="1">
      <c r="A52" s="96" t="inlineStr"/>
      <c r="B52" s="20" t="inlineStr">
        <is>
          <t>YoY Rev Growth</t>
        </is>
      </c>
      <c r="C52" s="48" t="n"/>
      <c r="D52" s="48" t="n"/>
      <c r="E52" s="48" t="n"/>
      <c r="F52" s="48" t="n"/>
      <c r="G52" s="71" t="n">
        <v>-0.3874100577989227</v>
      </c>
      <c r="H52" s="71" t="n">
        <v>-0.2688698642939923</v>
      </c>
      <c r="I52" s="71" t="n">
        <v>-0.1770902455209025</v>
      </c>
      <c r="J52" s="71" t="n">
        <v>-0.2219397170391634</v>
      </c>
    </row>
    <row r="53" ht="8" customHeight="1"/>
    <row r="54" ht="18" customHeight="1">
      <c r="A54" s="94" t="inlineStr">
        <is>
          <t>KVHI  —  KVH Industries, Inc.</t>
        </is>
      </c>
      <c r="C54" s="37" t="inlineStr">
        <is>
          <t>Nano Cap</t>
        </is>
      </c>
      <c r="D54" s="74" t="inlineStr">
        <is>
          <t>Mkt Cap: $139M</t>
        </is>
      </c>
      <c r="E54" s="95" t="n"/>
      <c r="F54" s="95" t="n"/>
      <c r="G54" s="95" t="n"/>
      <c r="H54" s="95" t="n"/>
      <c r="I54" s="95" t="n"/>
      <c r="J54" s="95" t="n"/>
      <c r="K54" s="95" t="n"/>
    </row>
    <row r="55" ht="16" customHeight="1">
      <c r="A55" s="96" t="inlineStr"/>
      <c r="B55" s="18" t="inlineStr">
        <is>
          <t>Quarter</t>
        </is>
      </c>
      <c r="C55" s="18" t="inlineStr">
        <is>
          <t>2024-03-31</t>
        </is>
      </c>
      <c r="D55" s="18" t="inlineStr">
        <is>
          <t>2024-06-30</t>
        </is>
      </c>
      <c r="E55" s="18" t="inlineStr">
        <is>
          <t>2024-09-30</t>
        </is>
      </c>
      <c r="F55" s="18" t="inlineStr">
        <is>
          <t>2024-12-31</t>
        </is>
      </c>
      <c r="G55" s="18" t="inlineStr">
        <is>
          <t>2025-03-31</t>
        </is>
      </c>
      <c r="H55" s="18" t="inlineStr">
        <is>
          <t>2025-06-30</t>
        </is>
      </c>
      <c r="I55" s="18" t="inlineStr">
        <is>
          <t>2025-09-30</t>
        </is>
      </c>
      <c r="J55" s="18" t="inlineStr">
        <is>
          <t>2025-12-31</t>
        </is>
      </c>
    </row>
    <row r="56" ht="16" customHeight="1">
      <c r="A56" s="96" t="inlineStr"/>
      <c r="B56" s="66" t="inlineStr">
        <is>
          <t>Revenue ($M)</t>
        </is>
      </c>
      <c r="C56" s="97" t="n">
        <v>29.267</v>
      </c>
      <c r="D56" s="97" t="n">
        <v>28.673</v>
      </c>
      <c r="E56" s="97" t="n">
        <v>28.971</v>
      </c>
      <c r="F56" s="97" t="n">
        <v>26.917</v>
      </c>
      <c r="G56" s="97" t="n">
        <v>25.414</v>
      </c>
      <c r="H56" s="97" t="n">
        <v>26.623</v>
      </c>
      <c r="I56" s="97" t="n">
        <v>28.453</v>
      </c>
      <c r="J56" s="97" t="n">
        <v>30.519</v>
      </c>
    </row>
    <row r="57" ht="16" customHeight="1">
      <c r="A57" s="96" t="inlineStr"/>
      <c r="B57" s="94" t="inlineStr">
        <is>
          <t>Gross Margin %</t>
        </is>
      </c>
      <c r="C57" s="71" t="n">
        <v>0.339</v>
      </c>
      <c r="D57" s="71" t="n">
        <v>0.311</v>
      </c>
      <c r="E57" s="71" t="n">
        <v>0.32</v>
      </c>
      <c r="F57" s="71" t="n">
        <v>0.265</v>
      </c>
      <c r="G57" s="71" t="n">
        <v>0.293</v>
      </c>
      <c r="H57" s="71" t="n">
        <v>0.343</v>
      </c>
      <c r="I57" s="71" t="n">
        <v>0.067</v>
      </c>
      <c r="J57" s="71" t="n">
        <v>0.295</v>
      </c>
    </row>
    <row r="58" ht="16" customHeight="1">
      <c r="A58" s="96" t="inlineStr"/>
      <c r="B58" s="26" t="inlineStr">
        <is>
          <t>QoQ Rev Growth</t>
        </is>
      </c>
      <c r="C58" s="49" t="n"/>
      <c r="D58" s="75" t="n">
        <v>-0.02029589640209109</v>
      </c>
      <c r="E58" s="75" t="n">
        <v>0.01039305269765982</v>
      </c>
      <c r="F58" s="75" t="n">
        <v>-0.07089848469158815</v>
      </c>
      <c r="G58" s="75" t="n">
        <v>-0.05583831779173013</v>
      </c>
      <c r="H58" s="75" t="n">
        <v>0.04757220429684426</v>
      </c>
      <c r="I58" s="75" t="n">
        <v>0.06873755775081697</v>
      </c>
      <c r="J58" s="75" t="n">
        <v>0.07261097248093347</v>
      </c>
    </row>
    <row r="59" ht="16" customHeight="1">
      <c r="A59" s="96" t="inlineStr"/>
      <c r="B59" s="20" t="inlineStr">
        <is>
          <t>YoY Rev Growth</t>
        </is>
      </c>
      <c r="C59" s="48" t="n"/>
      <c r="D59" s="48" t="n"/>
      <c r="E59" s="48" t="n"/>
      <c r="F59" s="48" t="n"/>
      <c r="G59" s="71" t="n">
        <v>-0.1316499812075033</v>
      </c>
      <c r="H59" s="71" t="n">
        <v>-0.07149583231611621</v>
      </c>
      <c r="I59" s="71" t="n">
        <v>-0.01787994891443167</v>
      </c>
      <c r="J59" s="71" t="n">
        <v>0.1338187762380652</v>
      </c>
    </row>
    <row r="60" ht="8" customHeight="1"/>
    <row r="61" ht="18" customHeight="1">
      <c r="A61" s="94" t="inlineStr">
        <is>
          <t>ESP  —  Espey Mfg. &amp; Electronics Corp.</t>
        </is>
      </c>
      <c r="C61" s="37" t="inlineStr">
        <is>
          <t>Nano Cap</t>
        </is>
      </c>
      <c r="D61" s="74" t="inlineStr">
        <is>
          <t>Mkt Cap: $192M</t>
        </is>
      </c>
      <c r="E61" s="95" t="n"/>
      <c r="F61" s="95" t="n"/>
      <c r="G61" s="95" t="n"/>
      <c r="H61" s="95" t="n"/>
      <c r="I61" s="95" t="n"/>
      <c r="J61" s="95" t="n"/>
      <c r="K61" s="95" t="n"/>
    </row>
    <row r="62" ht="16" customHeight="1">
      <c r="A62" s="96" t="inlineStr"/>
      <c r="B62" s="18" t="inlineStr">
        <is>
          <t>Quarter</t>
        </is>
      </c>
      <c r="C62" s="18" t="inlineStr">
        <is>
          <t>2023-12-31</t>
        </is>
      </c>
      <c r="D62" s="18" t="inlineStr">
        <is>
          <t>2024-03-31</t>
        </is>
      </c>
      <c r="E62" s="18" t="inlineStr">
        <is>
          <t>2024-06-30</t>
        </is>
      </c>
      <c r="F62" s="18" t="inlineStr">
        <is>
          <t>2024-09-30</t>
        </is>
      </c>
      <c r="G62" s="18" t="inlineStr">
        <is>
          <t>2024-12-31</t>
        </is>
      </c>
      <c r="H62" s="18" t="inlineStr">
        <is>
          <t>2025-03-31</t>
        </is>
      </c>
      <c r="I62" s="18" t="inlineStr">
        <is>
          <t>2025-06-30</t>
        </is>
      </c>
      <c r="J62" s="18" t="inlineStr">
        <is>
          <t>2025-09-30</t>
        </is>
      </c>
    </row>
    <row r="63" ht="16" customHeight="1">
      <c r="A63" s="96" t="inlineStr"/>
      <c r="B63" s="66" t="inlineStr">
        <is>
          <t>Revenue ($M)</t>
        </is>
      </c>
      <c r="C63" s="97" t="n">
        <v>10.302541</v>
      </c>
      <c r="D63" s="97" t="n">
        <v>8.254652</v>
      </c>
      <c r="E63" s="97" t="n">
        <v>11.610911</v>
      </c>
      <c r="F63" s="97" t="n">
        <v>10.443218</v>
      </c>
      <c r="G63" s="97" t="n">
        <v>13.60874</v>
      </c>
      <c r="H63" s="97" t="n">
        <v>10.302719</v>
      </c>
      <c r="I63" s="97" t="n">
        <v>9.596195</v>
      </c>
      <c r="J63" s="97" t="n">
        <v>9.092876</v>
      </c>
    </row>
    <row r="64" ht="16" customHeight="1">
      <c r="A64" s="96" t="inlineStr"/>
      <c r="B64" s="94" t="inlineStr">
        <is>
          <t>Gross Margin %</t>
        </is>
      </c>
      <c r="C64" s="71" t="n">
        <v>0.305</v>
      </c>
      <c r="D64" s="71" t="n">
        <v>0.25</v>
      </c>
      <c r="E64" s="71" t="n">
        <v>0.276</v>
      </c>
      <c r="F64" s="71" t="n">
        <v>0.268</v>
      </c>
      <c r="G64" s="71" t="n">
        <v>0.232</v>
      </c>
      <c r="H64" s="71" t="n">
        <v>0.286</v>
      </c>
      <c r="I64" s="71" t="n">
        <v>0.393</v>
      </c>
      <c r="J64" s="71" t="n">
        <v>0.354</v>
      </c>
    </row>
    <row r="65" ht="16" customHeight="1">
      <c r="A65" s="96" t="inlineStr"/>
      <c r="B65" s="26" t="inlineStr">
        <is>
          <t>QoQ Rev Growth</t>
        </is>
      </c>
      <c r="C65" s="49" t="n"/>
      <c r="D65" s="75" t="n">
        <v>-0.1987751371239387</v>
      </c>
      <c r="E65" s="75" t="n">
        <v>0.4065900052479499</v>
      </c>
      <c r="F65" s="75" t="n">
        <v>-0.1005685944884084</v>
      </c>
      <c r="G65" s="75" t="n">
        <v>0.303117487349206</v>
      </c>
      <c r="H65" s="75" t="n">
        <v>-0.2429336588104409</v>
      </c>
      <c r="I65" s="75" t="n">
        <v>-0.0685764602528711</v>
      </c>
      <c r="J65" s="75" t="n">
        <v>-0.05244985121707093</v>
      </c>
    </row>
    <row r="66" ht="16" customHeight="1">
      <c r="A66" s="96" t="inlineStr"/>
      <c r="B66" s="20" t="inlineStr">
        <is>
          <t>YoY Rev Growth</t>
        </is>
      </c>
      <c r="C66" s="48" t="n"/>
      <c r="D66" s="48" t="n"/>
      <c r="E66" s="48" t="n"/>
      <c r="F66" s="48" t="n"/>
      <c r="G66" s="71" t="n">
        <v>0.3209110257362722</v>
      </c>
      <c r="H66" s="71" t="n">
        <v>0.248110641126967</v>
      </c>
      <c r="I66" s="71" t="n">
        <v>-0.1735192010342685</v>
      </c>
      <c r="J66" s="71" t="n">
        <v>-0.1293032473323836</v>
      </c>
    </row>
    <row r="67" ht="8" customHeight="1"/>
    <row r="68" ht="18" customHeight="1">
      <c r="A68" s="94" t="inlineStr">
        <is>
          <t>ROC  —  Rank One Computing Corp.</t>
        </is>
      </c>
      <c r="C68" s="37" t="inlineStr">
        <is>
          <t>Nano Cap</t>
        </is>
      </c>
      <c r="D68" s="74" t="inlineStr">
        <is>
          <t>Mkt Cap: $80M</t>
        </is>
      </c>
      <c r="E68" s="95" t="n"/>
      <c r="F68" s="95" t="n"/>
      <c r="G68" s="95" t="n"/>
      <c r="H68" s="95" t="n"/>
      <c r="I68" s="95" t="n"/>
      <c r="J68" s="95" t="n"/>
      <c r="K68" s="95" t="n"/>
    </row>
    <row r="69" ht="16" customHeight="1">
      <c r="A69" s="96" t="inlineStr"/>
      <c r="B69" s="18" t="inlineStr">
        <is>
          <t>Quarter</t>
        </is>
      </c>
      <c r="C69" s="18" t="inlineStr">
        <is>
          <t>2024-12-31</t>
        </is>
      </c>
      <c r="D69" s="18" t="inlineStr">
        <is>
          <t>2025-09-30</t>
        </is>
      </c>
      <c r="E69" s="18" t="inlineStr">
        <is>
          <t>2025-12-31</t>
        </is>
      </c>
      <c r="F69" s="18" t="inlineStr">
        <is>
          <t>2026-03-31</t>
        </is>
      </c>
      <c r="G69" s="18" t="inlineStr">
        <is>
          <t>2026-06-30</t>
        </is>
      </c>
    </row>
    <row r="70" ht="16" customHeight="1">
      <c r="A70" s="96" t="inlineStr"/>
      <c r="B70" s="66" t="inlineStr">
        <is>
          <t>Revenue ($M)</t>
        </is>
      </c>
      <c r="C70" s="97" t="n">
        <v>2.642924</v>
      </c>
      <c r="D70" s="97" t="n">
        <v>5.34999</v>
      </c>
      <c r="E70" s="97" t="n">
        <v>3.487245</v>
      </c>
      <c r="F70" s="97" t="n">
        <v>2.548642</v>
      </c>
      <c r="G70" s="97" t="n">
        <v>5.092982</v>
      </c>
    </row>
    <row r="71" ht="16" customHeight="1">
      <c r="A71" s="96" t="inlineStr"/>
      <c r="B71" s="94" t="inlineStr">
        <is>
          <t>Gross Margin %</t>
        </is>
      </c>
      <c r="C71" s="71" t="n">
        <v>0.882</v>
      </c>
      <c r="D71" s="71" t="n">
        <v>0.7859999999999999</v>
      </c>
      <c r="E71" s="71" t="n">
        <v>0.6779999999999999</v>
      </c>
      <c r="F71" s="71" t="n">
        <v>0.787</v>
      </c>
      <c r="G71" s="71" t="n">
        <v>0.897</v>
      </c>
    </row>
    <row r="72" ht="16" customHeight="1">
      <c r="A72" s="96" t="inlineStr"/>
      <c r="B72" s="26" t="inlineStr">
        <is>
          <t>QoQ Rev Growth</t>
        </is>
      </c>
      <c r="C72" s="49" t="n"/>
      <c r="D72" s="75" t="n">
        <v>1.024269331997439</v>
      </c>
      <c r="E72" s="75" t="n">
        <v>-0.3481772863126847</v>
      </c>
      <c r="F72" s="75" t="n">
        <v>-0.269153156718269</v>
      </c>
      <c r="G72" s="75" t="n">
        <v>0.998312042256229</v>
      </c>
    </row>
    <row r="73" ht="16" customHeight="1">
      <c r="A73" s="96" t="inlineStr"/>
      <c r="B73" s="20" t="inlineStr">
        <is>
          <t>YoY Rev Growth</t>
        </is>
      </c>
      <c r="C73" s="48" t="n"/>
      <c r="D73" s="48" t="n"/>
      <c r="E73" s="48" t="n"/>
      <c r="F73" s="48" t="n"/>
      <c r="G73" s="71" t="n">
        <v>0.9270255217327475</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94" t="inlineStr">
        <is>
          <t>SWBI  —  Smith &amp; Wesson Brands, Inc.</t>
        </is>
      </c>
      <c r="C76" s="37" t="inlineStr">
        <is>
          <t>Small Cap</t>
        </is>
      </c>
      <c r="D76" s="74" t="inlineStr">
        <is>
          <t>Mkt Cap: $588M</t>
        </is>
      </c>
      <c r="E76" s="95" t="n"/>
      <c r="F76" s="95" t="n"/>
      <c r="G76" s="95" t="n"/>
      <c r="H76" s="95" t="n"/>
      <c r="I76" s="95" t="n"/>
      <c r="J76" s="95" t="n"/>
      <c r="K76" s="95" t="n"/>
    </row>
    <row r="77" ht="16" customHeight="1">
      <c r="A77" s="96" t="inlineStr"/>
      <c r="B77" s="18" t="inlineStr">
        <is>
          <t>Quarter</t>
        </is>
      </c>
      <c r="C77" s="18" t="inlineStr">
        <is>
          <t>2024-04-30</t>
        </is>
      </c>
      <c r="D77" s="18" t="inlineStr">
        <is>
          <t>2024-07-31</t>
        </is>
      </c>
      <c r="E77" s="18" t="inlineStr">
        <is>
          <t>2024-10-31</t>
        </is>
      </c>
      <c r="F77" s="18" t="inlineStr">
        <is>
          <t>2025-01-31</t>
        </is>
      </c>
      <c r="G77" s="18" t="inlineStr">
        <is>
          <t>2025-04-30</t>
        </is>
      </c>
      <c r="H77" s="18" t="inlineStr">
        <is>
          <t>2025-07-31</t>
        </is>
      </c>
      <c r="I77" s="18" t="inlineStr">
        <is>
          <t>2025-10-31</t>
        </is>
      </c>
      <c r="J77" s="18" t="inlineStr">
        <is>
          <t>2026-01-31</t>
        </is>
      </c>
    </row>
    <row r="78" ht="16" customHeight="1">
      <c r="A78" s="96" t="inlineStr"/>
      <c r="B78" s="66" t="inlineStr">
        <is>
          <t>Revenue ($M)</t>
        </is>
      </c>
      <c r="C78" s="97" t="n">
        <v>159.147</v>
      </c>
      <c r="D78" s="97" t="n">
        <v>88.334</v>
      </c>
      <c r="E78" s="97" t="n">
        <v>129.679</v>
      </c>
      <c r="F78" s="97" t="n">
        <v>115.885</v>
      </c>
      <c r="G78" s="97" t="n">
        <v>140.762</v>
      </c>
      <c r="H78" s="97" t="n">
        <v>85.077</v>
      </c>
      <c r="I78" s="97" t="n">
        <v>124.67</v>
      </c>
      <c r="J78" s="97" t="n">
        <v>135.71</v>
      </c>
    </row>
    <row r="79" ht="16" customHeight="1">
      <c r="A79" s="96" t="inlineStr"/>
      <c r="B79" s="94" t="inlineStr">
        <is>
          <t>Gross Margin %</t>
        </is>
      </c>
      <c r="C79" s="71" t="n">
        <v>0.356</v>
      </c>
      <c r="D79" s="71" t="n">
        <v>0.274</v>
      </c>
      <c r="E79" s="71" t="n">
        <v>0.266</v>
      </c>
      <c r="F79" s="71" t="n">
        <v>0.241</v>
      </c>
      <c r="G79" s="71" t="n">
        <v>0.288</v>
      </c>
      <c r="H79" s="71" t="n">
        <v>0.259</v>
      </c>
      <c r="I79" s="71" t="n">
        <v>0.243</v>
      </c>
      <c r="J79" s="71" t="n">
        <v>0.262</v>
      </c>
    </row>
    <row r="80" ht="16" customHeight="1">
      <c r="A80" s="96" t="inlineStr"/>
      <c r="B80" s="26" t="inlineStr">
        <is>
          <t>QoQ Rev Growth</t>
        </is>
      </c>
      <c r="C80" s="49" t="n"/>
      <c r="D80" s="75" t="n">
        <v>-0.4449534078556303</v>
      </c>
      <c r="E80" s="75" t="n">
        <v>0.4680530712975751</v>
      </c>
      <c r="F80" s="75" t="n">
        <v>-0.1063703452370854</v>
      </c>
      <c r="G80" s="75" t="n">
        <v>0.2146697156663934</v>
      </c>
      <c r="H80" s="75" t="n">
        <v>-0.3955968230062091</v>
      </c>
      <c r="I80" s="75" t="n">
        <v>0.465378421900161</v>
      </c>
      <c r="J80" s="75" t="n">
        <v>0.08855378198443892</v>
      </c>
    </row>
    <row r="81" ht="16" customHeight="1">
      <c r="A81" s="96" t="inlineStr"/>
      <c r="B81" s="20" t="inlineStr">
        <is>
          <t>YoY Rev Growth</t>
        </is>
      </c>
      <c r="C81" s="48" t="n"/>
      <c r="D81" s="48" t="n"/>
      <c r="E81" s="48" t="n"/>
      <c r="F81" s="48" t="n"/>
      <c r="G81" s="71" t="n">
        <v>-0.1155221273413888</v>
      </c>
      <c r="H81" s="71" t="n">
        <v>-0.03687141983834084</v>
      </c>
      <c r="I81" s="71" t="n">
        <v>-0.03862614609921421</v>
      </c>
      <c r="J81" s="71" t="n">
        <v>0.1710747724036761</v>
      </c>
    </row>
    <row r="82" ht="8" customHeight="1"/>
    <row r="83" ht="18" customHeight="1">
      <c r="A83" s="94" t="inlineStr">
        <is>
          <t>PKE  —  Park Aerospace Corp.</t>
        </is>
      </c>
      <c r="C83" s="37" t="inlineStr">
        <is>
          <t>Small Cap</t>
        </is>
      </c>
      <c r="D83" s="74" t="inlineStr">
        <is>
          <t>Mkt Cap: $685M</t>
        </is>
      </c>
      <c r="E83" s="95" t="n"/>
      <c r="F83" s="95" t="n"/>
      <c r="G83" s="95" t="n"/>
      <c r="H83" s="95" t="n"/>
      <c r="I83" s="95" t="n"/>
      <c r="J83" s="95" t="n"/>
      <c r="K83" s="95" t="n"/>
    </row>
    <row r="84" ht="16" customHeight="1">
      <c r="A84" s="96" t="inlineStr"/>
      <c r="B84" s="18" t="inlineStr">
        <is>
          <t>Quarter</t>
        </is>
      </c>
      <c r="C84" s="18" t="inlineStr">
        <is>
          <t>2024-02-28</t>
        </is>
      </c>
      <c r="D84" s="18" t="inlineStr">
        <is>
          <t>2024-06-02</t>
        </is>
      </c>
      <c r="E84" s="18" t="inlineStr">
        <is>
          <t>2024-09-01</t>
        </is>
      </c>
      <c r="F84" s="18" t="inlineStr">
        <is>
          <t>2024-12-01</t>
        </is>
      </c>
      <c r="G84" s="18" t="inlineStr">
        <is>
          <t>2025-03-02</t>
        </is>
      </c>
      <c r="H84" s="18" t="inlineStr">
        <is>
          <t>2025-06-01</t>
        </is>
      </c>
      <c r="I84" s="18" t="inlineStr">
        <is>
          <t>2025-08-31</t>
        </is>
      </c>
      <c r="J84" s="18" t="inlineStr">
        <is>
          <t>2025-11-30</t>
        </is>
      </c>
    </row>
    <row r="85" ht="16" customHeight="1">
      <c r="A85" s="96" t="inlineStr"/>
      <c r="B85" s="66" t="inlineStr">
        <is>
          <t>Revenue ($M)</t>
        </is>
      </c>
      <c r="C85" s="97" t="n">
        <v>16.333</v>
      </c>
      <c r="D85" s="97" t="n">
        <v>13.97</v>
      </c>
      <c r="E85" s="97" t="n">
        <v>16.709</v>
      </c>
      <c r="F85" s="97" t="n">
        <v>14.408</v>
      </c>
      <c r="G85" s="97" t="n">
        <v>16.939</v>
      </c>
      <c r="H85" s="97" t="n">
        <v>15.4</v>
      </c>
      <c r="I85" s="97" t="n">
        <v>16.381</v>
      </c>
      <c r="J85" s="97" t="n">
        <v>17.333</v>
      </c>
    </row>
    <row r="86" ht="16" customHeight="1">
      <c r="A86" s="96" t="inlineStr"/>
      <c r="B86" s="94" t="inlineStr">
        <is>
          <t>Gross Margin %</t>
        </is>
      </c>
      <c r="C86" s="71" t="n">
        <v>0.273</v>
      </c>
      <c r="D86" s="71" t="n">
        <v>0.293</v>
      </c>
      <c r="E86" s="71" t="n">
        <v>0.285</v>
      </c>
      <c r="F86" s="71" t="n">
        <v>0.266</v>
      </c>
      <c r="G86" s="71" t="n">
        <v>0.293</v>
      </c>
      <c r="H86" s="71" t="n">
        <v>0.306</v>
      </c>
      <c r="I86" s="71" t="n">
        <v>0.312</v>
      </c>
      <c r="J86" s="71" t="n">
        <v>0.341</v>
      </c>
    </row>
    <row r="87" ht="16" customHeight="1">
      <c r="A87" s="96" t="inlineStr"/>
      <c r="B87" s="26" t="inlineStr">
        <is>
          <t>QoQ Rev Growth</t>
        </is>
      </c>
      <c r="C87" s="49" t="n"/>
      <c r="D87" s="75" t="n">
        <v>-0.1446764219677953</v>
      </c>
      <c r="E87" s="75" t="n">
        <v>0.1960629921259842</v>
      </c>
      <c r="F87" s="75" t="n">
        <v>-0.1377102160512299</v>
      </c>
      <c r="G87" s="75" t="n">
        <v>0.1756662965019434</v>
      </c>
      <c r="H87" s="75" t="n">
        <v>-0.09085542239801642</v>
      </c>
      <c r="I87" s="75" t="n">
        <v>0.0637012987012987</v>
      </c>
      <c r="J87" s="75" t="n">
        <v>0.05811611012758684</v>
      </c>
    </row>
    <row r="88" ht="16" customHeight="1">
      <c r="A88" s="96" t="inlineStr"/>
      <c r="B88" s="20" t="inlineStr">
        <is>
          <t>YoY Rev Growth</t>
        </is>
      </c>
      <c r="C88" s="48" t="n"/>
      <c r="D88" s="48" t="n"/>
      <c r="E88" s="48" t="n"/>
      <c r="F88" s="48" t="n"/>
      <c r="G88" s="71" t="n">
        <v>0.03710279801628605</v>
      </c>
      <c r="H88" s="71" t="n">
        <v>0.1023622047244094</v>
      </c>
      <c r="I88" s="71" t="n">
        <v>-0.01963013944580765</v>
      </c>
      <c r="J88" s="71" t="n">
        <v>0.2030122154358689</v>
      </c>
    </row>
    <row r="89" ht="8" customHeight="1"/>
    <row r="90" ht="18" customHeight="1">
      <c r="A90" s="94" t="inlineStr">
        <is>
          <t>EVLV  —  Evolv Technologies Holdings, Inc.</t>
        </is>
      </c>
      <c r="C90" s="37" t="inlineStr">
        <is>
          <t>Small Cap</t>
        </is>
      </c>
      <c r="D90" s="74" t="inlineStr">
        <is>
          <t>Mkt Cap: $913M</t>
        </is>
      </c>
      <c r="E90" s="95" t="n"/>
      <c r="F90" s="95" t="n"/>
      <c r="G90" s="95" t="n"/>
      <c r="H90" s="95" t="n"/>
      <c r="I90" s="95" t="n"/>
      <c r="J90" s="95" t="n"/>
      <c r="K90" s="95" t="n"/>
    </row>
    <row r="91" ht="16" customHeight="1">
      <c r="A91" s="96" t="inlineStr"/>
      <c r="B91" s="18" t="inlineStr">
        <is>
          <t>Quarter</t>
        </is>
      </c>
      <c r="C91" s="18" t="inlineStr">
        <is>
          <t>2024-03-31</t>
        </is>
      </c>
      <c r="D91" s="18" t="inlineStr">
        <is>
          <t>2024-06-30</t>
        </is>
      </c>
      <c r="E91" s="18" t="inlineStr">
        <is>
          <t>2024-09-30</t>
        </is>
      </c>
      <c r="F91" s="18" t="inlineStr">
        <is>
          <t>2024-12-31</t>
        </is>
      </c>
      <c r="G91" s="18" t="inlineStr">
        <is>
          <t>2025-03-31</t>
        </is>
      </c>
      <c r="H91" s="18" t="inlineStr">
        <is>
          <t>2025-06-30</t>
        </is>
      </c>
      <c r="I91" s="18" t="inlineStr">
        <is>
          <t>2025-09-30</t>
        </is>
      </c>
      <c r="J91" s="18" t="inlineStr">
        <is>
          <t>2025-12-31</t>
        </is>
      </c>
    </row>
    <row r="92" ht="16" customHeight="1">
      <c r="A92" s="96" t="inlineStr"/>
      <c r="B92" s="66" t="inlineStr">
        <is>
          <t>Revenue ($M)</t>
        </is>
      </c>
      <c r="C92" s="97" t="n">
        <v>22.181</v>
      </c>
      <c r="D92" s="97" t="n">
        <v>25.54</v>
      </c>
      <c r="E92" s="97" t="n">
        <v>27.36</v>
      </c>
      <c r="F92" s="97" t="n">
        <v>29.1</v>
      </c>
      <c r="G92" s="97" t="n">
        <v>32.007</v>
      </c>
      <c r="H92" s="97" t="n">
        <v>32.544</v>
      </c>
      <c r="I92" s="97" t="n">
        <v>42.85</v>
      </c>
      <c r="J92" s="97" t="n">
        <v>38.504</v>
      </c>
    </row>
    <row r="93" ht="16" customHeight="1">
      <c r="A93" s="96" t="inlineStr"/>
      <c r="B93" s="94" t="inlineStr">
        <is>
          <t>Gross Margin %</t>
        </is>
      </c>
      <c r="C93" s="71" t="n">
        <v>0.5479999999999999</v>
      </c>
      <c r="D93" s="71" t="n">
        <v>0.5670000000000001</v>
      </c>
      <c r="E93" s="71" t="n">
        <v>0.578</v>
      </c>
      <c r="F93" s="71" t="n">
        <v>0.575</v>
      </c>
      <c r="G93" s="71" t="n">
        <v>0.598</v>
      </c>
      <c r="H93" s="71" t="n">
        <v>0.498</v>
      </c>
      <c r="I93" s="71" t="n">
        <v>0.4970000000000001</v>
      </c>
      <c r="J93" s="71" t="n">
        <v>0.484</v>
      </c>
    </row>
    <row r="94" ht="16" customHeight="1">
      <c r="A94" s="96" t="inlineStr"/>
      <c r="B94" s="26" t="inlineStr">
        <is>
          <t>QoQ Rev Growth</t>
        </is>
      </c>
      <c r="C94" s="49" t="n"/>
      <c r="D94" s="75" t="n">
        <v>0.1514359136197647</v>
      </c>
      <c r="E94" s="75" t="n">
        <v>0.07126076742364917</v>
      </c>
      <c r="F94" s="75" t="n">
        <v>0.06359649122807018</v>
      </c>
      <c r="G94" s="75" t="n">
        <v>0.09989690721649484</v>
      </c>
      <c r="H94" s="75" t="n">
        <v>0.01677757990439591</v>
      </c>
      <c r="I94" s="75" t="n">
        <v>0.3166789577187807</v>
      </c>
      <c r="J94" s="75" t="n">
        <v>-0.1014235705950992</v>
      </c>
    </row>
    <row r="95" ht="16" customHeight="1">
      <c r="A95" s="96" t="inlineStr"/>
      <c r="B95" s="20" t="inlineStr">
        <is>
          <t>YoY Rev Growth</t>
        </is>
      </c>
      <c r="C95" s="48" t="n"/>
      <c r="D95" s="48" t="n"/>
      <c r="E95" s="48" t="n"/>
      <c r="F95" s="48" t="n"/>
      <c r="G95" s="71" t="n">
        <v>0.4429917496956855</v>
      </c>
      <c r="H95" s="71" t="n">
        <v>0.2742364917776038</v>
      </c>
      <c r="I95" s="71" t="n">
        <v>0.5661549707602339</v>
      </c>
      <c r="J95" s="71" t="n">
        <v>0.3231615120274914</v>
      </c>
    </row>
    <row r="96" ht="8" customHeight="1"/>
    <row r="97" ht="18" customHeight="1">
      <c r="A97" s="94" t="inlineStr">
        <is>
          <t>GHM  —  Graham Corporation</t>
        </is>
      </c>
      <c r="C97" s="37" t="inlineStr">
        <is>
          <t>Small Cap</t>
        </is>
      </c>
      <c r="D97" s="74" t="inlineStr">
        <is>
          <t>Mkt Cap: $1047M</t>
        </is>
      </c>
      <c r="E97" s="95" t="n"/>
      <c r="F97" s="95" t="n"/>
      <c r="G97" s="95" t="n"/>
      <c r="H97" s="95" t="n"/>
      <c r="I97" s="95" t="n"/>
      <c r="J97" s="95" t="n"/>
      <c r="K97" s="95" t="n"/>
    </row>
    <row r="98" ht="16" customHeight="1">
      <c r="A98" s="96" t="inlineStr"/>
      <c r="B98" s="18" t="inlineStr">
        <is>
          <t>Quarter</t>
        </is>
      </c>
      <c r="C98" s="18" t="inlineStr">
        <is>
          <t>2024-03-31</t>
        </is>
      </c>
      <c r="D98" s="18" t="inlineStr">
        <is>
          <t>2024-06-30</t>
        </is>
      </c>
      <c r="E98" s="18" t="inlineStr">
        <is>
          <t>2024-09-30</t>
        </is>
      </c>
      <c r="F98" s="18" t="inlineStr">
        <is>
          <t>2024-12-31</t>
        </is>
      </c>
      <c r="G98" s="18" t="inlineStr">
        <is>
          <t>2025-03-31</t>
        </is>
      </c>
      <c r="H98" s="18" t="inlineStr">
        <is>
          <t>2025-06-30</t>
        </is>
      </c>
      <c r="I98" s="18" t="inlineStr">
        <is>
          <t>2025-09-30</t>
        </is>
      </c>
      <c r="J98" s="18" t="inlineStr">
        <is>
          <t>2025-12-31</t>
        </is>
      </c>
    </row>
    <row r="99" ht="16" customHeight="1">
      <c r="A99" s="96" t="inlineStr"/>
      <c r="B99" s="66" t="inlineStr">
        <is>
          <t>Revenue ($M)</t>
        </is>
      </c>
      <c r="C99" s="97" t="n">
        <v>49.07</v>
      </c>
      <c r="D99" s="97" t="n">
        <v>49.951</v>
      </c>
      <c r="E99" s="97" t="n">
        <v>53.563</v>
      </c>
      <c r="F99" s="97" t="n">
        <v>47.037</v>
      </c>
      <c r="G99" s="97" t="n">
        <v>59.345</v>
      </c>
      <c r="H99" s="97" t="n">
        <v>55.487</v>
      </c>
      <c r="I99" s="97" t="n">
        <v>66.027</v>
      </c>
      <c r="J99" s="97" t="n">
        <v>56.701</v>
      </c>
    </row>
    <row r="100" ht="16" customHeight="1">
      <c r="A100" s="96" t="inlineStr"/>
      <c r="B100" s="94" t="inlineStr">
        <is>
          <t>Gross Margin %</t>
        </is>
      </c>
      <c r="C100" s="71" t="n">
        <v>0.259</v>
      </c>
      <c r="D100" s="71" t="n">
        <v>0.248</v>
      </c>
      <c r="E100" s="71" t="n">
        <v>0.239</v>
      </c>
      <c r="F100" s="71" t="n">
        <v>0.248</v>
      </c>
      <c r="G100" s="71" t="n">
        <v>0.27</v>
      </c>
      <c r="H100" s="71" t="n">
        <v>0.265</v>
      </c>
      <c r="I100" s="71" t="n">
        <v>0.217</v>
      </c>
      <c r="J100" s="71" t="n">
        <v>0.23</v>
      </c>
    </row>
    <row r="101" ht="16" customHeight="1">
      <c r="A101" s="96" t="inlineStr"/>
      <c r="B101" s="26" t="inlineStr">
        <is>
          <t>QoQ Rev Growth</t>
        </is>
      </c>
      <c r="C101" s="49" t="n"/>
      <c r="D101" s="75" t="n">
        <v>0.01795394334624006</v>
      </c>
      <c r="E101" s="75" t="n">
        <v>0.07231086464735441</v>
      </c>
      <c r="F101" s="75" t="n">
        <v>-0.1218378358195023</v>
      </c>
      <c r="G101" s="75" t="n">
        <v>0.2616663477687778</v>
      </c>
      <c r="H101" s="75" t="n">
        <v>-0.06500968910607464</v>
      </c>
      <c r="I101" s="75" t="n">
        <v>0.189954403734208</v>
      </c>
      <c r="J101" s="75" t="n">
        <v>-0.1412452481560574</v>
      </c>
    </row>
    <row r="102" ht="16" customHeight="1">
      <c r="A102" s="96" t="inlineStr"/>
      <c r="B102" s="20" t="inlineStr">
        <is>
          <t>YoY Rev Growth</t>
        </is>
      </c>
      <c r="C102" s="48" t="n"/>
      <c r="D102" s="48" t="n"/>
      <c r="E102" s="48" t="n"/>
      <c r="F102" s="48" t="n"/>
      <c r="G102" s="71" t="n">
        <v>0.2093947422050133</v>
      </c>
      <c r="H102" s="71" t="n">
        <v>0.110828612039799</v>
      </c>
      <c r="I102" s="71" t="n">
        <v>0.2326979444765976</v>
      </c>
      <c r="J102" s="71" t="n">
        <v>0.2054552798860471</v>
      </c>
    </row>
    <row r="103" ht="8" customHeight="1"/>
    <row r="104" ht="18" customHeight="1">
      <c r="A104" s="94" t="inlineStr">
        <is>
          <t>ADTN  —  ADTRAN Holdings Inc.</t>
        </is>
      </c>
      <c r="C104" s="37" t="inlineStr">
        <is>
          <t>Small Cap</t>
        </is>
      </c>
      <c r="D104" s="74" t="inlineStr">
        <is>
          <t>Mkt Cap: $608M</t>
        </is>
      </c>
      <c r="E104" s="95" t="n"/>
      <c r="F104" s="95" t="n"/>
      <c r="G104" s="95" t="n"/>
      <c r="H104" s="95" t="n"/>
      <c r="I104" s="95" t="n"/>
      <c r="J104" s="95" t="n"/>
      <c r="K104" s="95" t="n"/>
    </row>
    <row r="105" ht="16" customHeight="1">
      <c r="A105" s="96" t="inlineStr"/>
      <c r="B105" s="18" t="inlineStr">
        <is>
          <t>Quarter</t>
        </is>
      </c>
      <c r="C105" s="18" t="inlineStr">
        <is>
          <t>2024-03-31</t>
        </is>
      </c>
      <c r="D105" s="18" t="inlineStr">
        <is>
          <t>2024-06-30</t>
        </is>
      </c>
      <c r="E105" s="18" t="inlineStr">
        <is>
          <t>2024-09-30</t>
        </is>
      </c>
      <c r="F105" s="18" t="inlineStr">
        <is>
          <t>2024-12-31</t>
        </is>
      </c>
      <c r="G105" s="18" t="inlineStr">
        <is>
          <t>2025-03-31</t>
        </is>
      </c>
      <c r="H105" s="18" t="inlineStr">
        <is>
          <t>2025-06-30</t>
        </is>
      </c>
      <c r="I105" s="18" t="inlineStr">
        <is>
          <t>2025-09-30</t>
        </is>
      </c>
      <c r="J105" s="18" t="inlineStr">
        <is>
          <t>2025-12-31</t>
        </is>
      </c>
    </row>
    <row r="106" ht="16" customHeight="1">
      <c r="A106" s="96" t="inlineStr"/>
      <c r="B106" s="66" t="inlineStr">
        <is>
          <t>Revenue ($M)</t>
        </is>
      </c>
      <c r="C106" s="97" t="n">
        <v>226.173</v>
      </c>
      <c r="D106" s="97" t="n">
        <v>225.991</v>
      </c>
      <c r="E106" s="97" t="n">
        <v>227.704</v>
      </c>
      <c r="F106" s="97" t="n">
        <v>242.852</v>
      </c>
      <c r="G106" s="97" t="n">
        <v>247.744</v>
      </c>
      <c r="H106" s="97" t="n">
        <v>265.068</v>
      </c>
      <c r="I106" s="97" t="n">
        <v>279.435</v>
      </c>
      <c r="J106" s="97" t="n">
        <v>291.56</v>
      </c>
    </row>
    <row r="107" ht="16" customHeight="1">
      <c r="A107" s="96" t="inlineStr"/>
      <c r="B107" s="94" t="inlineStr">
        <is>
          <t>Gross Margin %</t>
        </is>
      </c>
      <c r="C107" s="71" t="n">
        <v>0.311</v>
      </c>
      <c r="D107" s="71" t="n">
        <v>0.361</v>
      </c>
      <c r="E107" s="71" t="n">
        <v>0.374</v>
      </c>
      <c r="F107" s="71" t="n">
        <v>0.376</v>
      </c>
      <c r="G107" s="71" t="n">
        <v>0.384</v>
      </c>
      <c r="H107" s="71" t="n">
        <v>0.373</v>
      </c>
      <c r="I107" s="71" t="n">
        <v>0.383</v>
      </c>
      <c r="J107" s="71" t="n">
        <v>0.39</v>
      </c>
    </row>
    <row r="108" ht="16" customHeight="1">
      <c r="A108" s="96" t="inlineStr"/>
      <c r="B108" s="26" t="inlineStr">
        <is>
          <t>QoQ Rev Growth</t>
        </is>
      </c>
      <c r="C108" s="49" t="n"/>
      <c r="D108" s="75" t="n">
        <v>-0.000804693752127796</v>
      </c>
      <c r="E108" s="75" t="n">
        <v>0.007579947874030382</v>
      </c>
      <c r="F108" s="75" t="n">
        <v>0.06652496223166919</v>
      </c>
      <c r="G108" s="75" t="n">
        <v>0.02014395598965625</v>
      </c>
      <c r="H108" s="75" t="n">
        <v>0.06992702144148799</v>
      </c>
      <c r="I108" s="75" t="n">
        <v>0.05420118611073385</v>
      </c>
      <c r="J108" s="75" t="n">
        <v>0.04339112852720668</v>
      </c>
    </row>
    <row r="109" ht="16" customHeight="1">
      <c r="A109" s="96" t="inlineStr"/>
      <c r="B109" s="20" t="inlineStr">
        <is>
          <t>YoY Rev Growth</t>
        </is>
      </c>
      <c r="C109" s="48" t="n"/>
      <c r="D109" s="48" t="n"/>
      <c r="E109" s="48" t="n"/>
      <c r="F109" s="48" t="n"/>
      <c r="G109" s="71" t="n">
        <v>0.09537389520411367</v>
      </c>
      <c r="H109" s="71" t="n">
        <v>0.1729139656004</v>
      </c>
      <c r="I109" s="71" t="n">
        <v>0.2271852931876471</v>
      </c>
      <c r="J109" s="71" t="n">
        <v>0.2005666002338873</v>
      </c>
    </row>
    <row r="110" ht="8" customHeight="1"/>
    <row r="111" ht="18" customHeight="1">
      <c r="A111" s="94" t="inlineStr">
        <is>
          <t>ARLO  —  Arlo Technologies, Inc.</t>
        </is>
      </c>
      <c r="C111" s="37" t="inlineStr">
        <is>
          <t>Small Cap</t>
        </is>
      </c>
      <c r="D111" s="74" t="inlineStr">
        <is>
          <t>Mkt Cap: $1513M</t>
        </is>
      </c>
      <c r="E111" s="95" t="n"/>
      <c r="F111" s="95" t="n"/>
      <c r="G111" s="95" t="n"/>
      <c r="H111" s="95" t="n"/>
      <c r="I111" s="95" t="n"/>
      <c r="J111" s="95" t="n"/>
      <c r="K111" s="95" t="n"/>
    </row>
    <row r="112" ht="16" customHeight="1">
      <c r="A112" s="96" t="inlineStr"/>
      <c r="B112" s="18" t="inlineStr">
        <is>
          <t>Quarter</t>
        </is>
      </c>
      <c r="C112" s="18" t="inlineStr">
        <is>
          <t>2024-03-31</t>
        </is>
      </c>
      <c r="D112" s="18" t="inlineStr">
        <is>
          <t>2024-06-30</t>
        </is>
      </c>
      <c r="E112" s="18" t="inlineStr">
        <is>
          <t>2024-09-29</t>
        </is>
      </c>
      <c r="F112" s="18" t="inlineStr">
        <is>
          <t>2024-12-31</t>
        </is>
      </c>
      <c r="G112" s="18" t="inlineStr">
        <is>
          <t>2025-03-30</t>
        </is>
      </c>
      <c r="H112" s="18" t="inlineStr">
        <is>
          <t>2025-06-29</t>
        </is>
      </c>
      <c r="I112" s="18" t="inlineStr">
        <is>
          <t>2025-09-28</t>
        </is>
      </c>
      <c r="J112" s="18" t="inlineStr">
        <is>
          <t>2025-12-31</t>
        </is>
      </c>
    </row>
    <row r="113" ht="16" customHeight="1">
      <c r="A113" s="96" t="inlineStr"/>
      <c r="B113" s="66" t="inlineStr">
        <is>
          <t>Revenue ($M)</t>
        </is>
      </c>
      <c r="C113" s="97" t="n">
        <v>124.2</v>
      </c>
      <c r="D113" s="97" t="n">
        <v>127.447</v>
      </c>
      <c r="E113" s="97" t="n">
        <v>137.667</v>
      </c>
      <c r="F113" s="97" t="n">
        <v>121.572</v>
      </c>
      <c r="G113" s="97" t="n">
        <v>119.066</v>
      </c>
      <c r="H113" s="97" t="n">
        <v>129.405</v>
      </c>
      <c r="I113" s="97" t="n">
        <v>139.529</v>
      </c>
      <c r="J113" s="97" t="n">
        <v>141.297</v>
      </c>
    </row>
    <row r="114" ht="16" customHeight="1">
      <c r="A114" s="96" t="inlineStr"/>
      <c r="B114" s="94" t="inlineStr">
        <is>
          <t>Gross Margin %</t>
        </is>
      </c>
      <c r="C114" s="71" t="n">
        <v>0.381</v>
      </c>
      <c r="D114" s="71" t="n">
        <v>0.368</v>
      </c>
      <c r="E114" s="71" t="n">
        <v>0.352</v>
      </c>
      <c r="F114" s="71" t="n">
        <v>0.369</v>
      </c>
      <c r="G114" s="71" t="n">
        <v>0.4429999999999999</v>
      </c>
      <c r="H114" s="71" t="n">
        <v>0.449</v>
      </c>
      <c r="I114" s="71" t="n">
        <v>0.405</v>
      </c>
      <c r="J114" s="71" t="n">
        <v>0.464</v>
      </c>
    </row>
    <row r="115" ht="16" customHeight="1">
      <c r="A115" s="96" t="inlineStr"/>
      <c r="B115" s="26" t="inlineStr">
        <is>
          <t>QoQ Rev Growth</t>
        </is>
      </c>
      <c r="C115" s="49" t="n"/>
      <c r="D115" s="75" t="n">
        <v>0.02614331723027375</v>
      </c>
      <c r="E115" s="75" t="n">
        <v>0.0801901967092203</v>
      </c>
      <c r="F115" s="75" t="n">
        <v>-0.1169125498485476</v>
      </c>
      <c r="G115" s="75" t="n">
        <v>-0.02061329911492778</v>
      </c>
      <c r="H115" s="75" t="n">
        <v>0.08683419280063158</v>
      </c>
      <c r="I115" s="75" t="n">
        <v>0.07823499864765658</v>
      </c>
      <c r="J115" s="75" t="n">
        <v>0.01267120096897419</v>
      </c>
    </row>
    <row r="116" ht="16" customHeight="1">
      <c r="A116" s="96" t="inlineStr"/>
      <c r="B116" s="20" t="inlineStr">
        <is>
          <t>YoY Rev Growth</t>
        </is>
      </c>
      <c r="C116" s="48" t="n"/>
      <c r="D116" s="48" t="n"/>
      <c r="E116" s="48" t="n"/>
      <c r="F116" s="48" t="n"/>
      <c r="G116" s="71" t="n">
        <v>-0.0413365539452496</v>
      </c>
      <c r="H116" s="71" t="n">
        <v>0.01536324903685454</v>
      </c>
      <c r="I116" s="71" t="n">
        <v>0.01352539097968286</v>
      </c>
      <c r="J116" s="71" t="n">
        <v>0.1622495311420393</v>
      </c>
    </row>
    <row r="117" ht="8" customHeight="1"/>
    <row r="118" ht="18" customHeight="1">
      <c r="A118" s="94" t="inlineStr">
        <is>
          <t>TRC  —  Tejon Ranch Co.</t>
        </is>
      </c>
      <c r="C118" s="37" t="inlineStr">
        <is>
          <t>Small Cap</t>
        </is>
      </c>
      <c r="D118" s="74" t="inlineStr">
        <is>
          <t>Mkt Cap: $446M</t>
        </is>
      </c>
      <c r="E118" s="95" t="n"/>
      <c r="F118" s="95" t="n"/>
      <c r="G118" s="95" t="n"/>
      <c r="H118" s="95" t="n"/>
      <c r="I118" s="95" t="n"/>
      <c r="J118" s="95" t="n"/>
      <c r="K118" s="95" t="n"/>
    </row>
    <row r="119" ht="16" customHeight="1">
      <c r="A119" s="96" t="inlineStr"/>
      <c r="B119" s="18" t="inlineStr">
        <is>
          <t>Quarter</t>
        </is>
      </c>
      <c r="C119" s="18" t="inlineStr">
        <is>
          <t>2024-03-31</t>
        </is>
      </c>
      <c r="D119" s="18" t="inlineStr">
        <is>
          <t>2024-06-30</t>
        </is>
      </c>
      <c r="E119" s="18" t="inlineStr">
        <is>
          <t>2024-09-30</t>
        </is>
      </c>
      <c r="F119" s="18" t="inlineStr">
        <is>
          <t>2024-12-31</t>
        </is>
      </c>
      <c r="G119" s="18" t="inlineStr">
        <is>
          <t>2025-03-31</t>
        </is>
      </c>
      <c r="H119" s="18" t="inlineStr">
        <is>
          <t>2025-06-30</t>
        </is>
      </c>
      <c r="I119" s="18" t="inlineStr">
        <is>
          <t>2025-09-30</t>
        </is>
      </c>
      <c r="J119" s="18" t="inlineStr">
        <is>
          <t>2025-12-31</t>
        </is>
      </c>
    </row>
    <row r="120" ht="16" customHeight="1">
      <c r="A120" s="96" t="inlineStr"/>
      <c r="B120" s="66" t="inlineStr">
        <is>
          <t>Revenue ($M)</t>
        </is>
      </c>
      <c r="C120" s="97" t="n">
        <v>7.406</v>
      </c>
      <c r="D120" s="97" t="n">
        <v>5.689</v>
      </c>
      <c r="E120" s="97" t="n">
        <v>10.856</v>
      </c>
      <c r="F120" s="97" t="n">
        <v>17.935</v>
      </c>
      <c r="G120" s="97" t="n">
        <v>8.209</v>
      </c>
      <c r="H120" s="97" t="n">
        <v>8.307</v>
      </c>
      <c r="I120" s="97" t="n">
        <v>11.969</v>
      </c>
      <c r="J120" s="97" t="n">
        <v>21.106</v>
      </c>
    </row>
    <row r="121" ht="16" customHeight="1">
      <c r="A121" s="96" t="inlineStr"/>
      <c r="B121" s="94" t="inlineStr">
        <is>
          <t>Gross Margin %</t>
        </is>
      </c>
      <c r="C121" s="71" t="n">
        <v>-0.201</v>
      </c>
      <c r="D121" s="71" t="n">
        <v>-0.034</v>
      </c>
      <c r="E121" s="71" t="n">
        <v>-0.078</v>
      </c>
      <c r="F121" s="71" t="n">
        <v>0.247</v>
      </c>
      <c r="G121" s="71" t="n">
        <v>0.009000000000000001</v>
      </c>
      <c r="H121" s="71" t="n">
        <v>0.102</v>
      </c>
      <c r="I121" s="71" t="n">
        <v>0.07099999999999999</v>
      </c>
      <c r="J121" s="71" t="n">
        <v>0.206</v>
      </c>
    </row>
    <row r="122" ht="16" customHeight="1">
      <c r="A122" s="96" t="inlineStr"/>
      <c r="B122" s="26" t="inlineStr">
        <is>
          <t>QoQ Rev Growth</t>
        </is>
      </c>
      <c r="C122" s="49" t="n"/>
      <c r="D122" s="75" t="n">
        <v>-0.2318390494193897</v>
      </c>
      <c r="E122" s="75" t="n">
        <v>0.9082439796097732</v>
      </c>
      <c r="F122" s="75" t="n">
        <v>0.6520817980840088</v>
      </c>
      <c r="G122" s="75" t="n">
        <v>-0.5422916085865626</v>
      </c>
      <c r="H122" s="75" t="n">
        <v>0.01193811670118163</v>
      </c>
      <c r="I122" s="75" t="n">
        <v>0.4408330323823282</v>
      </c>
      <c r="J122" s="75" t="n">
        <v>0.7633887542818949</v>
      </c>
    </row>
    <row r="123" ht="16" customHeight="1">
      <c r="A123" s="96" t="inlineStr"/>
      <c r="B123" s="20" t="inlineStr">
        <is>
          <t>YoY Rev Growth</t>
        </is>
      </c>
      <c r="C123" s="48" t="n"/>
      <c r="D123" s="48" t="n"/>
      <c r="E123" s="48" t="n"/>
      <c r="F123" s="48" t="n"/>
      <c r="G123" s="71" t="n">
        <v>0.1084256008641642</v>
      </c>
      <c r="H123" s="71" t="n">
        <v>0.4601863244858499</v>
      </c>
      <c r="I123" s="71" t="n">
        <v>0.102523949889462</v>
      </c>
      <c r="J123" s="71" t="n">
        <v>0.1768051296347923</v>
      </c>
    </row>
    <row r="124" ht="8" customHeight="1"/>
    <row r="125" ht="18" customHeight="1">
      <c r="A125" s="94" t="inlineStr">
        <is>
          <t>INOD  —  Innodata Inc.</t>
        </is>
      </c>
      <c r="C125" s="37" t="inlineStr">
        <is>
          <t>Small Cap</t>
        </is>
      </c>
      <c r="D125" s="74" t="inlineStr">
        <is>
          <t>Mkt Cap: $1822M</t>
        </is>
      </c>
      <c r="E125" s="95" t="n"/>
      <c r="F125" s="95" t="n"/>
      <c r="G125" s="95" t="n"/>
      <c r="H125" s="95" t="n"/>
      <c r="I125" s="95" t="n"/>
      <c r="J125" s="95" t="n"/>
      <c r="K125" s="95" t="n"/>
    </row>
    <row r="126" ht="16" customHeight="1">
      <c r="A126" s="96" t="inlineStr"/>
      <c r="B126" s="18" t="inlineStr">
        <is>
          <t>Quarter</t>
        </is>
      </c>
      <c r="C126" s="18" t="inlineStr">
        <is>
          <t>2024-03-31</t>
        </is>
      </c>
      <c r="D126" s="18" t="inlineStr">
        <is>
          <t>2024-06-30</t>
        </is>
      </c>
      <c r="E126" s="18" t="inlineStr">
        <is>
          <t>2024-09-30</t>
        </is>
      </c>
      <c r="F126" s="18" t="inlineStr">
        <is>
          <t>2024-12-31</t>
        </is>
      </c>
      <c r="G126" s="18" t="inlineStr">
        <is>
          <t>2025-03-31</t>
        </is>
      </c>
      <c r="H126" s="18" t="inlineStr">
        <is>
          <t>2025-06-30</t>
        </is>
      </c>
      <c r="I126" s="18" t="inlineStr">
        <is>
          <t>2025-09-30</t>
        </is>
      </c>
      <c r="J126" s="18" t="inlineStr">
        <is>
          <t>2025-12-31</t>
        </is>
      </c>
    </row>
    <row r="127" ht="16" customHeight="1">
      <c r="A127" s="96" t="inlineStr"/>
      <c r="B127" s="66" t="inlineStr">
        <is>
          <t>Revenue ($M)</t>
        </is>
      </c>
      <c r="C127" s="97" t="n">
        <v>26.504</v>
      </c>
      <c r="D127" s="97" t="n">
        <v>32.553</v>
      </c>
      <c r="E127" s="97" t="n">
        <v>52.224</v>
      </c>
      <c r="F127" s="97" t="n">
        <v>59.18</v>
      </c>
      <c r="G127" s="97" t="n">
        <v>58.344</v>
      </c>
      <c r="H127" s="97" t="n">
        <v>58.393</v>
      </c>
      <c r="I127" s="97" t="n">
        <v>62.55</v>
      </c>
      <c r="J127" s="97" t="n">
        <v>72.376</v>
      </c>
    </row>
    <row r="128" ht="16" customHeight="1">
      <c r="A128" s="96" t="inlineStr"/>
      <c r="B128" s="94" t="inlineStr">
        <is>
          <t>Gross Margin %</t>
        </is>
      </c>
      <c r="C128" s="71" t="n">
        <v>0.361</v>
      </c>
      <c r="D128" s="71" t="n">
        <v>0.287</v>
      </c>
      <c r="E128" s="71" t="n">
        <v>0.418</v>
      </c>
      <c r="F128" s="71" t="n">
        <v>0.452</v>
      </c>
      <c r="G128" s="71" t="n">
        <v>0.399</v>
      </c>
      <c r="H128" s="71" t="n">
        <v>0.398</v>
      </c>
      <c r="I128" s="71" t="n">
        <v>0.414</v>
      </c>
      <c r="J128" s="71" t="n">
        <v>0.383</v>
      </c>
    </row>
    <row r="129" ht="16" customHeight="1">
      <c r="A129" s="96" t="inlineStr"/>
      <c r="B129" s="26" t="inlineStr">
        <is>
          <t>QoQ Rev Growth</t>
        </is>
      </c>
      <c r="C129" s="49" t="n"/>
      <c r="D129" s="75" t="n">
        <v>0.2282297011771808</v>
      </c>
      <c r="E129" s="75" t="n">
        <v>0.604276103584923</v>
      </c>
      <c r="F129" s="75" t="n">
        <v>0.1331954656862745</v>
      </c>
      <c r="G129" s="75" t="n">
        <v>-0.01412639405204461</v>
      </c>
      <c r="H129" s="75" t="n">
        <v>0.0008398464280817222</v>
      </c>
      <c r="I129" s="75" t="n">
        <v>0.07119003990204305</v>
      </c>
      <c r="J129" s="75" t="n">
        <v>0.1570903277378098</v>
      </c>
    </row>
    <row r="130" ht="16" customHeight="1">
      <c r="A130" s="96" t="inlineStr"/>
      <c r="B130" s="20" t="inlineStr">
        <is>
          <t>YoY Rev Growth</t>
        </is>
      </c>
      <c r="C130" s="48" t="n"/>
      <c r="D130" s="48" t="n"/>
      <c r="E130" s="48" t="n"/>
      <c r="F130" s="48" t="n"/>
      <c r="G130" s="71" t="n">
        <v>1.201328101418654</v>
      </c>
      <c r="H130" s="71" t="n">
        <v>0.7937824470862901</v>
      </c>
      <c r="I130" s="71" t="n">
        <v>0.1977251838235294</v>
      </c>
      <c r="J130" s="71" t="n">
        <v>0.2229807367353836</v>
      </c>
    </row>
    <row r="131" ht="8" customHeight="1"/>
    <row r="132" ht="18" customHeight="1">
      <c r="A132" s="94" t="inlineStr">
        <is>
          <t>CDRE  —  Cadre Holdings, Inc.</t>
        </is>
      </c>
      <c r="C132" s="37" t="inlineStr">
        <is>
          <t>Small Cap</t>
        </is>
      </c>
      <c r="D132" s="74" t="inlineStr">
        <is>
          <t>Mkt Cap: $1279M</t>
        </is>
      </c>
      <c r="E132" s="95" t="n"/>
      <c r="F132" s="95" t="n"/>
      <c r="G132" s="95" t="n"/>
      <c r="H132" s="95" t="n"/>
      <c r="I132" s="95" t="n"/>
      <c r="J132" s="95" t="n"/>
      <c r="K132" s="95" t="n"/>
    </row>
    <row r="133" ht="16" customHeight="1">
      <c r="A133" s="96" t="inlineStr"/>
      <c r="B133" s="18" t="inlineStr">
        <is>
          <t>Quarter</t>
        </is>
      </c>
      <c r="C133" s="18" t="inlineStr">
        <is>
          <t>2024-03-31</t>
        </is>
      </c>
      <c r="D133" s="18" t="inlineStr">
        <is>
          <t>2024-06-30</t>
        </is>
      </c>
      <c r="E133" s="18" t="inlineStr">
        <is>
          <t>2024-09-30</t>
        </is>
      </c>
      <c r="F133" s="18" t="inlineStr">
        <is>
          <t>2024-12-31</t>
        </is>
      </c>
      <c r="G133" s="18" t="inlineStr">
        <is>
          <t>2025-03-31</t>
        </is>
      </c>
      <c r="H133" s="18" t="inlineStr">
        <is>
          <t>2025-06-30</t>
        </is>
      </c>
      <c r="I133" s="18" t="inlineStr">
        <is>
          <t>2025-09-30</t>
        </is>
      </c>
      <c r="J133" s="18" t="inlineStr">
        <is>
          <t>2025-12-31</t>
        </is>
      </c>
    </row>
    <row r="134" ht="16" customHeight="1">
      <c r="A134" s="96" t="inlineStr"/>
      <c r="B134" s="66" t="inlineStr">
        <is>
          <t>Revenue ($M)</t>
        </is>
      </c>
      <c r="C134" s="97" t="n">
        <v>137.86</v>
      </c>
      <c r="D134" s="97" t="n">
        <v>144.309</v>
      </c>
      <c r="E134" s="97" t="n">
        <v>109.408</v>
      </c>
      <c r="F134" s="97" t="n">
        <v>175.984</v>
      </c>
      <c r="G134" s="97" t="n">
        <v>130.106</v>
      </c>
      <c r="H134" s="97" t="n">
        <v>157.109</v>
      </c>
      <c r="I134" s="97" t="n">
        <v>155.869</v>
      </c>
      <c r="J134" s="97" t="n">
        <v>167.224</v>
      </c>
    </row>
    <row r="135" ht="16" customHeight="1">
      <c r="A135" s="96" t="inlineStr"/>
      <c r="B135" s="94" t="inlineStr">
        <is>
          <t>Gross Margin %</t>
        </is>
      </c>
      <c r="C135" s="71" t="n">
        <v>0.418</v>
      </c>
      <c r="D135" s="71" t="n">
        <v>0.406</v>
      </c>
      <c r="E135" s="71" t="n">
        <v>0.366</v>
      </c>
      <c r="F135" s="71" t="n">
        <v>0.439</v>
      </c>
      <c r="G135" s="71" t="n">
        <v>0.424</v>
      </c>
      <c r="H135" s="71" t="n">
        <v>0.401</v>
      </c>
      <c r="I135" s="71" t="n">
        <v>0.419</v>
      </c>
      <c r="J135" s="71" t="n">
        <v>0.409</v>
      </c>
    </row>
    <row r="136" ht="16" customHeight="1">
      <c r="A136" s="96" t="inlineStr"/>
      <c r="B136" s="26" t="inlineStr">
        <is>
          <t>QoQ Rev Growth</t>
        </is>
      </c>
      <c r="C136" s="49" t="n"/>
      <c r="D136" s="75" t="n">
        <v>0.04677934136080081</v>
      </c>
      <c r="E136" s="75" t="n">
        <v>-0.2418490877214865</v>
      </c>
      <c r="F136" s="75" t="n">
        <v>0.6085112606025154</v>
      </c>
      <c r="G136" s="75" t="n">
        <v>-0.2606941540140013</v>
      </c>
      <c r="H136" s="75" t="n">
        <v>0.2075461546738813</v>
      </c>
      <c r="I136" s="75" t="n">
        <v>-0.007892609589520651</v>
      </c>
      <c r="J136" s="75" t="n">
        <v>0.07284963655377272</v>
      </c>
    </row>
    <row r="137" ht="16" customHeight="1">
      <c r="A137" s="96" t="inlineStr"/>
      <c r="B137" s="20" t="inlineStr">
        <is>
          <t>YoY Rev Growth</t>
        </is>
      </c>
      <c r="C137" s="48" t="n"/>
      <c r="D137" s="48" t="n"/>
      <c r="E137" s="48" t="n"/>
      <c r="F137" s="48" t="n"/>
      <c r="G137" s="71" t="n">
        <v>-0.05624546641520383</v>
      </c>
      <c r="H137" s="71" t="n">
        <v>0.08869855656958332</v>
      </c>
      <c r="I137" s="71" t="n">
        <v>0.4246581602807838</v>
      </c>
      <c r="J137" s="71" t="n">
        <v>-0.04977725247749795</v>
      </c>
    </row>
    <row r="138" ht="8" customHeight="1"/>
    <row r="139" ht="18" customHeight="1">
      <c r="A139" s="94" t="inlineStr">
        <is>
          <t>SHLS  —  Shoals Technologies Group, Inc.</t>
        </is>
      </c>
      <c r="C139" s="37" t="inlineStr">
        <is>
          <t>Small Cap</t>
        </is>
      </c>
      <c r="D139" s="74" t="inlineStr">
        <is>
          <t>Mkt Cap: $1263M</t>
        </is>
      </c>
      <c r="E139" s="95" t="n"/>
      <c r="F139" s="95" t="n"/>
      <c r="G139" s="95" t="n"/>
      <c r="H139" s="95" t="n"/>
      <c r="I139" s="95" t="n"/>
      <c r="J139" s="95" t="n"/>
      <c r="K139" s="95" t="n"/>
    </row>
    <row r="140" ht="16" customHeight="1">
      <c r="A140" s="96" t="inlineStr"/>
      <c r="B140" s="18" t="inlineStr">
        <is>
          <t>Quarter</t>
        </is>
      </c>
      <c r="C140" s="18" t="inlineStr">
        <is>
          <t>2024-03-31</t>
        </is>
      </c>
      <c r="D140" s="18" t="inlineStr">
        <is>
          <t>2024-06-30</t>
        </is>
      </c>
      <c r="E140" s="18" t="inlineStr">
        <is>
          <t>2024-09-30</t>
        </is>
      </c>
      <c r="F140" s="18" t="inlineStr">
        <is>
          <t>2024-12-31</t>
        </is>
      </c>
      <c r="G140" s="18" t="inlineStr">
        <is>
          <t>2025-03-31</t>
        </is>
      </c>
      <c r="H140" s="18" t="inlineStr">
        <is>
          <t>2025-06-30</t>
        </is>
      </c>
      <c r="I140" s="18" t="inlineStr">
        <is>
          <t>2025-09-30</t>
        </is>
      </c>
      <c r="J140" s="18" t="inlineStr">
        <is>
          <t>2025-12-31</t>
        </is>
      </c>
    </row>
    <row r="141" ht="16" customHeight="1">
      <c r="A141" s="96" t="inlineStr"/>
      <c r="B141" s="66" t="inlineStr">
        <is>
          <t>Revenue ($M)</t>
        </is>
      </c>
      <c r="C141" s="97" t="n">
        <v>90.807</v>
      </c>
      <c r="D141" s="97" t="n">
        <v>99.249</v>
      </c>
      <c r="E141" s="97" t="n">
        <v>102.165</v>
      </c>
      <c r="F141" s="97" t="n">
        <v>106.987</v>
      </c>
      <c r="G141" s="97" t="n">
        <v>80.361</v>
      </c>
      <c r="H141" s="97" t="n">
        <v>110.841</v>
      </c>
      <c r="I141" s="97" t="n">
        <v>135.804</v>
      </c>
      <c r="J141" s="97" t="n">
        <v>148.325</v>
      </c>
    </row>
    <row r="142" ht="16" customHeight="1">
      <c r="A142" s="96" t="inlineStr"/>
      <c r="B142" s="94" t="inlineStr">
        <is>
          <t>Gross Margin %</t>
        </is>
      </c>
      <c r="C142" s="71" t="n">
        <v>0.402</v>
      </c>
      <c r="D142" s="71" t="n">
        <v>0.403</v>
      </c>
      <c r="E142" s="71" t="n">
        <v>0.248</v>
      </c>
      <c r="F142" s="71" t="n">
        <v>0.376</v>
      </c>
      <c r="G142" s="71" t="n">
        <v>0.35</v>
      </c>
      <c r="H142" s="71" t="n">
        <v>0.3720000000000001</v>
      </c>
      <c r="I142" s="71" t="n">
        <v>0.37</v>
      </c>
      <c r="J142" s="71" t="n">
        <v>0.316</v>
      </c>
    </row>
    <row r="143" ht="16" customHeight="1">
      <c r="A143" s="96" t="inlineStr"/>
      <c r="B143" s="26" t="inlineStr">
        <is>
          <t>QoQ Rev Growth</t>
        </is>
      </c>
      <c r="C143" s="49" t="n"/>
      <c r="D143" s="75" t="n">
        <v>0.09296640126862467</v>
      </c>
      <c r="E143" s="75" t="n">
        <v>0.02938064867152314</v>
      </c>
      <c r="F143" s="75" t="n">
        <v>0.04719815983947536</v>
      </c>
      <c r="G143" s="75" t="n">
        <v>-0.2488713582023984</v>
      </c>
      <c r="H143" s="75" t="n">
        <v>0.3792884608205473</v>
      </c>
      <c r="I143" s="75" t="n">
        <v>0.2252144964408477</v>
      </c>
      <c r="J143" s="75" t="n">
        <v>0.09219905157432771</v>
      </c>
    </row>
    <row r="144" ht="16" customHeight="1">
      <c r="A144" s="96" t="inlineStr"/>
      <c r="B144" s="20" t="inlineStr">
        <is>
          <t>YoY Rev Growth</t>
        </is>
      </c>
      <c r="C144" s="48" t="n"/>
      <c r="D144" s="48" t="n"/>
      <c r="E144" s="48" t="n"/>
      <c r="F144" s="48" t="n"/>
      <c r="G144" s="71" t="n">
        <v>-0.1150351845122072</v>
      </c>
      <c r="H144" s="71" t="n">
        <v>0.1167971465707463</v>
      </c>
      <c r="I144" s="71" t="n">
        <v>0.3292614887681691</v>
      </c>
      <c r="J144" s="71" t="n">
        <v>0.3863833923747745</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94" t="inlineStr">
        <is>
          <t>CALX  —  Calix, Inc.</t>
        </is>
      </c>
      <c r="C147" s="37" t="inlineStr">
        <is>
          <t>Breakout</t>
        </is>
      </c>
      <c r="D147" s="74" t="inlineStr">
        <is>
          <t>Mkt Cap: $2220M</t>
        </is>
      </c>
      <c r="E147" s="95" t="n"/>
      <c r="F147" s="95" t="n"/>
      <c r="G147" s="95" t="n"/>
      <c r="H147" s="95" t="n"/>
      <c r="I147" s="95" t="n"/>
      <c r="J147" s="95" t="n"/>
      <c r="K147" s="95" t="n"/>
    </row>
    <row r="148" ht="16" customHeight="1">
      <c r="A148" s="96" t="inlineStr"/>
      <c r="B148" s="18" t="inlineStr">
        <is>
          <t>Quarter</t>
        </is>
      </c>
      <c r="C148" s="18" t="inlineStr">
        <is>
          <t>2024-03-30</t>
        </is>
      </c>
      <c r="D148" s="18" t="inlineStr">
        <is>
          <t>2024-06-29</t>
        </is>
      </c>
      <c r="E148" s="18" t="inlineStr">
        <is>
          <t>2024-09-28</t>
        </is>
      </c>
      <c r="F148" s="18" t="inlineStr">
        <is>
          <t>2024-12-31</t>
        </is>
      </c>
      <c r="G148" s="18" t="inlineStr">
        <is>
          <t>2025-03-29</t>
        </is>
      </c>
      <c r="H148" s="18" t="inlineStr">
        <is>
          <t>2025-06-28</t>
        </is>
      </c>
      <c r="I148" s="18" t="inlineStr">
        <is>
          <t>2025-09-27</t>
        </is>
      </c>
      <c r="J148" s="18" t="inlineStr">
        <is>
          <t>2025-12-31</t>
        </is>
      </c>
    </row>
    <row r="149" ht="16" customHeight="1">
      <c r="A149" s="96" t="inlineStr"/>
      <c r="B149" s="66" t="inlineStr">
        <is>
          <t>Revenue ($M)</t>
        </is>
      </c>
      <c r="C149" s="97" t="n">
        <v>226.31</v>
      </c>
      <c r="D149" s="97" t="n">
        <v>198.139</v>
      </c>
      <c r="E149" s="97" t="n">
        <v>200.945</v>
      </c>
      <c r="F149" s="97" t="n">
        <v>206.124</v>
      </c>
      <c r="G149" s="97" t="n">
        <v>220.242</v>
      </c>
      <c r="H149" s="97" t="n">
        <v>241.882</v>
      </c>
      <c r="I149" s="97" t="n">
        <v>265.437</v>
      </c>
      <c r="J149" s="97" t="n">
        <v>272.449</v>
      </c>
    </row>
    <row r="150" ht="16" customHeight="1">
      <c r="A150" s="96" t="inlineStr"/>
      <c r="B150" s="94" t="inlineStr">
        <is>
          <t>Gross Margin %</t>
        </is>
      </c>
      <c r="C150" s="71" t="n">
        <v>0.542</v>
      </c>
      <c r="D150" s="71" t="n">
        <v>0.5429999999999999</v>
      </c>
      <c r="E150" s="71" t="n">
        <v>0.5479999999999999</v>
      </c>
      <c r="F150" s="71" t="n">
        <v>0.55</v>
      </c>
      <c r="G150" s="71" t="n">
        <v>0.5570000000000001</v>
      </c>
      <c r="H150" s="71" t="n">
        <v>0.5629999999999999</v>
      </c>
      <c r="I150" s="71" t="n">
        <v>0.573</v>
      </c>
      <c r="J150" s="71" t="n">
        <v>0.5770000000000001</v>
      </c>
    </row>
    <row r="151" ht="16" customHeight="1">
      <c r="A151" s="96" t="inlineStr"/>
      <c r="B151" s="26" t="inlineStr">
        <is>
          <t>QoQ Rev Growth</t>
        </is>
      </c>
      <c r="C151" s="49" t="n"/>
      <c r="D151" s="75" t="n">
        <v>-0.1244796959922231</v>
      </c>
      <c r="E151" s="75" t="n">
        <v>0.01416177531934652</v>
      </c>
      <c r="F151" s="75" t="n">
        <v>0.02577322152827888</v>
      </c>
      <c r="G151" s="75" t="n">
        <v>0.06849275193572801</v>
      </c>
      <c r="H151" s="75" t="n">
        <v>0.09825555525285821</v>
      </c>
      <c r="I151" s="75" t="n">
        <v>0.09738219462382484</v>
      </c>
      <c r="J151" s="75" t="n">
        <v>0.02641681453602927</v>
      </c>
    </row>
    <row r="152" ht="16" customHeight="1">
      <c r="A152" s="96" t="inlineStr"/>
      <c r="B152" s="20" t="inlineStr">
        <is>
          <t>YoY Rev Growth</t>
        </is>
      </c>
      <c r="C152" s="48" t="n"/>
      <c r="D152" s="48" t="n"/>
      <c r="E152" s="48" t="n"/>
      <c r="F152" s="48" t="n"/>
      <c r="G152" s="71" t="n">
        <v>-0.02681277893155406</v>
      </c>
      <c r="H152" s="71" t="n">
        <v>0.2207692579451799</v>
      </c>
      <c r="I152" s="71" t="n">
        <v>0.3209435417651596</v>
      </c>
      <c r="J152" s="71" t="n">
        <v>0.3217723312181017</v>
      </c>
    </row>
    <row r="153" ht="8" customHeight="1"/>
    <row r="154" ht="18" customHeight="1">
      <c r="A154" s="94" t="inlineStr">
        <is>
          <t>ADEA  —  Adeia Inc.</t>
        </is>
      </c>
      <c r="C154" s="37" t="inlineStr">
        <is>
          <t>Breakout</t>
        </is>
      </c>
      <c r="D154" s="74" t="inlineStr">
        <is>
          <t>Mkt Cap: $2999M</t>
        </is>
      </c>
      <c r="E154" s="95" t="n"/>
      <c r="F154" s="95" t="n"/>
      <c r="G154" s="95" t="n"/>
      <c r="H154" s="95" t="n"/>
      <c r="I154" s="95" t="n"/>
      <c r="J154" s="95" t="n"/>
      <c r="K154" s="95" t="n"/>
    </row>
    <row r="155" ht="16" customHeight="1">
      <c r="A155" s="96" t="inlineStr"/>
      <c r="B155" s="18" t="inlineStr">
        <is>
          <t>Quarter</t>
        </is>
      </c>
      <c r="C155" s="18" t="inlineStr">
        <is>
          <t>2024-03-31</t>
        </is>
      </c>
      <c r="D155" s="18" t="inlineStr">
        <is>
          <t>2024-06-30</t>
        </is>
      </c>
      <c r="E155" s="18" t="inlineStr">
        <is>
          <t>2024-09-30</t>
        </is>
      </c>
      <c r="F155" s="18" t="inlineStr">
        <is>
          <t>2024-12-31</t>
        </is>
      </c>
      <c r="G155" s="18" t="inlineStr">
        <is>
          <t>2025-03-31</t>
        </is>
      </c>
      <c r="H155" s="18" t="inlineStr">
        <is>
          <t>2025-06-30</t>
        </is>
      </c>
      <c r="I155" s="18" t="inlineStr">
        <is>
          <t>2025-09-30</t>
        </is>
      </c>
      <c r="J155" s="18" t="inlineStr">
        <is>
          <t>2025-12-31</t>
        </is>
      </c>
    </row>
    <row r="156" ht="16" customHeight="1">
      <c r="A156" s="96" t="inlineStr"/>
      <c r="B156" s="66" t="inlineStr">
        <is>
          <t>Revenue ($M)</t>
        </is>
      </c>
      <c r="C156" s="97" t="n">
        <v>83.405</v>
      </c>
      <c r="D156" s="97" t="n">
        <v>87.34999999999999</v>
      </c>
      <c r="E156" s="97" t="n">
        <v>86.101</v>
      </c>
      <c r="F156" s="97" t="n">
        <v>119.168</v>
      </c>
      <c r="G156" s="97" t="n">
        <v>87.67</v>
      </c>
      <c r="H156" s="97" t="n">
        <v>85.735</v>
      </c>
      <c r="I156" s="97" t="n">
        <v>87.339</v>
      </c>
      <c r="J156" s="97" t="n">
        <v>182.642</v>
      </c>
    </row>
    <row r="157" ht="16" customHeight="1">
      <c r="A157" s="96" t="inlineStr"/>
      <c r="B157" s="94" t="inlineStr">
        <is>
          <t>Gross Margin %</t>
        </is>
      </c>
      <c r="C157" s="71" t="n">
        <v>0.716</v>
      </c>
      <c r="D157" s="71" t="n">
        <v>0.765</v>
      </c>
      <c r="E157" s="71" t="n">
        <v>0.836</v>
      </c>
      <c r="F157" s="71" t="n">
        <v>0.879</v>
      </c>
      <c r="G157" s="71" t="n">
        <v>0.8340000000000001</v>
      </c>
      <c r="H157" s="71" t="n">
        <v>0.8290000000000001</v>
      </c>
      <c r="I157" s="71" t="n">
        <v>0.8320000000000001</v>
      </c>
      <c r="J157" s="71" t="n">
        <v>0.922</v>
      </c>
    </row>
    <row r="158" ht="16" customHeight="1">
      <c r="A158" s="96" t="inlineStr"/>
      <c r="B158" s="26" t="inlineStr">
        <is>
          <t>QoQ Rev Growth</t>
        </is>
      </c>
      <c r="C158" s="49" t="n"/>
      <c r="D158" s="75" t="n">
        <v>0.04729932258257898</v>
      </c>
      <c r="E158" s="75" t="n">
        <v>-0.01429879793932456</v>
      </c>
      <c r="F158" s="75" t="n">
        <v>0.3840489657495267</v>
      </c>
      <c r="G158" s="75" t="n">
        <v>-0.2643159237379162</v>
      </c>
      <c r="H158" s="75" t="n">
        <v>-0.02207140412912056</v>
      </c>
      <c r="I158" s="75" t="n">
        <v>0.01870881203709104</v>
      </c>
      <c r="J158" s="75" t="n">
        <v>1.091184923115676</v>
      </c>
    </row>
    <row r="159" ht="16" customHeight="1">
      <c r="A159" s="96" t="inlineStr"/>
      <c r="B159" s="20" t="inlineStr">
        <is>
          <t>YoY Rev Growth</t>
        </is>
      </c>
      <c r="C159" s="48" t="n"/>
      <c r="D159" s="48" t="n"/>
      <c r="E159" s="48" t="n"/>
      <c r="F159" s="48" t="n"/>
      <c r="G159" s="71" t="n">
        <v>0.05113602302020263</v>
      </c>
      <c r="H159" s="71" t="n">
        <v>-0.01848883800801374</v>
      </c>
      <c r="I159" s="71" t="n">
        <v>0.0143784625033391</v>
      </c>
      <c r="J159" s="71" t="n">
        <v>0.5326429914070892</v>
      </c>
    </row>
    <row r="160" ht="8" customHeight="1"/>
    <row r="161" ht="18" customHeight="1">
      <c r="A161" s="94" t="inlineStr">
        <is>
          <t>DCI  —  Donaldson Company, Inc.</t>
        </is>
      </c>
      <c r="C161" s="37" t="inlineStr">
        <is>
          <t>Breakout</t>
        </is>
      </c>
      <c r="D161" s="74" t="inlineStr">
        <is>
          <t>Mkt Cap: $10619M</t>
        </is>
      </c>
      <c r="E161" s="95" t="n"/>
      <c r="F161" s="95" t="n"/>
      <c r="G161" s="95" t="n"/>
      <c r="H161" s="95" t="n"/>
      <c r="I161" s="95" t="n"/>
      <c r="J161" s="95" t="n"/>
      <c r="K161" s="95" t="n"/>
    </row>
    <row r="162" ht="16" customHeight="1">
      <c r="A162" s="96" t="inlineStr"/>
      <c r="B162" s="18" t="inlineStr">
        <is>
          <t>Quarter</t>
        </is>
      </c>
      <c r="C162" s="18" t="inlineStr">
        <is>
          <t>2024-04-30</t>
        </is>
      </c>
      <c r="D162" s="18" t="inlineStr">
        <is>
          <t>2024-07-31</t>
        </is>
      </c>
      <c r="E162" s="18" t="inlineStr">
        <is>
          <t>2024-10-31</t>
        </is>
      </c>
      <c r="F162" s="18" t="inlineStr">
        <is>
          <t>2025-01-31</t>
        </is>
      </c>
      <c r="G162" s="18" t="inlineStr">
        <is>
          <t>2025-04-30</t>
        </is>
      </c>
      <c r="H162" s="18" t="inlineStr">
        <is>
          <t>2025-07-31</t>
        </is>
      </c>
      <c r="I162" s="18" t="inlineStr">
        <is>
          <t>2025-10-31</t>
        </is>
      </c>
      <c r="J162" s="18" t="inlineStr">
        <is>
          <t>2026-01-31</t>
        </is>
      </c>
    </row>
    <row r="163" ht="16" customHeight="1">
      <c r="A163" s="96" t="inlineStr"/>
      <c r="B163" s="66" t="inlineStr">
        <is>
          <t>Revenue ($M)</t>
        </is>
      </c>
      <c r="C163" s="97" t="n">
        <v>927.9</v>
      </c>
      <c r="D163" s="97" t="n">
        <v>935.4</v>
      </c>
      <c r="E163" s="97" t="n">
        <v>900.1</v>
      </c>
      <c r="F163" s="97" t="n">
        <v>870</v>
      </c>
      <c r="G163" s="97" t="n">
        <v>940.1</v>
      </c>
      <c r="H163" s="97" t="n">
        <v>980.7</v>
      </c>
      <c r="I163" s="97" t="n">
        <v>935.4</v>
      </c>
      <c r="J163" s="97" t="n">
        <v>896.3</v>
      </c>
    </row>
    <row r="164" ht="16" customHeight="1">
      <c r="A164" s="96" t="inlineStr"/>
      <c r="B164" s="94" t="inlineStr">
        <is>
          <t>Gross Margin %</t>
        </is>
      </c>
      <c r="C164" s="71" t="n">
        <v>0.352</v>
      </c>
      <c r="D164" s="71" t="n">
        <v>0.358</v>
      </c>
      <c r="E164" s="71" t="n">
        <v>0.355</v>
      </c>
      <c r="F164" s="71" t="n">
        <v>0.352</v>
      </c>
      <c r="G164" s="71" t="n">
        <v>0.342</v>
      </c>
      <c r="H164" s="71" t="n">
        <v>0.345</v>
      </c>
      <c r="I164" s="71" t="n">
        <v>0.352</v>
      </c>
      <c r="J164" s="71" t="n">
        <v>0.334</v>
      </c>
    </row>
    <row r="165" ht="16" customHeight="1">
      <c r="A165" s="96" t="inlineStr"/>
      <c r="B165" s="26" t="inlineStr">
        <is>
          <t>QoQ Rev Growth</t>
        </is>
      </c>
      <c r="C165" s="49" t="n"/>
      <c r="D165" s="75" t="n">
        <v>0.008082767539605561</v>
      </c>
      <c r="E165" s="75" t="n">
        <v>-0.03773786615351721</v>
      </c>
      <c r="F165" s="75" t="n">
        <v>-0.03344072880791023</v>
      </c>
      <c r="G165" s="75" t="n">
        <v>0.08057471264367816</v>
      </c>
      <c r="H165" s="75" t="n">
        <v>0.04318689501116903</v>
      </c>
      <c r="I165" s="75" t="n">
        <v>-0.04619149587029673</v>
      </c>
      <c r="J165" s="75" t="n">
        <v>-0.04180029933718196</v>
      </c>
    </row>
    <row r="166" ht="16" customHeight="1">
      <c r="A166" s="96" t="inlineStr"/>
      <c r="B166" s="20" t="inlineStr">
        <is>
          <t>YoY Rev Growth</t>
        </is>
      </c>
      <c r="C166" s="48" t="n"/>
      <c r="D166" s="48" t="n"/>
      <c r="E166" s="48" t="n"/>
      <c r="F166" s="48" t="n"/>
      <c r="G166" s="71" t="n">
        <v>0.01314796853109171</v>
      </c>
      <c r="H166" s="71" t="n">
        <v>0.04842847979474022</v>
      </c>
      <c r="I166" s="71" t="n">
        <v>0.03921786468170203</v>
      </c>
      <c r="J166" s="71" t="n">
        <v>0.03022988505747127</v>
      </c>
    </row>
    <row r="167" ht="8" customHeight="1"/>
    <row r="168" ht="18" customHeight="1">
      <c r="A168" s="94" t="inlineStr">
        <is>
          <t>CACI  —  CACI International Inc</t>
        </is>
      </c>
      <c r="C168" s="37" t="inlineStr">
        <is>
          <t>Breakout</t>
        </is>
      </c>
      <c r="D168" s="74" t="inlineStr">
        <is>
          <t>Mkt Cap: $13630M</t>
        </is>
      </c>
      <c r="E168" s="95" t="n"/>
      <c r="F168" s="95" t="n"/>
      <c r="G168" s="95" t="n"/>
      <c r="H168" s="95" t="n"/>
      <c r="I168" s="95" t="n"/>
      <c r="J168" s="95" t="n"/>
      <c r="K168" s="95" t="n"/>
    </row>
    <row r="169" ht="16" customHeight="1">
      <c r="A169" s="96" t="inlineStr"/>
      <c r="B169" s="18" t="inlineStr">
        <is>
          <t>Quarter</t>
        </is>
      </c>
      <c r="C169" s="18" t="inlineStr">
        <is>
          <t>2024-03-31</t>
        </is>
      </c>
      <c r="D169" s="18" t="inlineStr">
        <is>
          <t>2024-06-30</t>
        </is>
      </c>
      <c r="E169" s="18" t="inlineStr">
        <is>
          <t>2024-09-30</t>
        </is>
      </c>
      <c r="F169" s="18" t="inlineStr">
        <is>
          <t>2024-12-31</t>
        </is>
      </c>
      <c r="G169" s="18" t="inlineStr">
        <is>
          <t>2025-03-31</t>
        </is>
      </c>
      <c r="H169" s="18" t="inlineStr">
        <is>
          <t>2025-06-30</t>
        </is>
      </c>
      <c r="I169" s="18" t="inlineStr">
        <is>
          <t>2025-09-30</t>
        </is>
      </c>
      <c r="J169" s="18" t="inlineStr">
        <is>
          <t>2025-12-31</t>
        </is>
      </c>
    </row>
    <row r="170" ht="16" customHeight="1">
      <c r="A170" s="96" t="inlineStr"/>
      <c r="B170" s="66" t="inlineStr">
        <is>
          <t>Revenue ($M)</t>
        </is>
      </c>
      <c r="C170" s="97" t="n">
        <v>1937.456</v>
      </c>
      <c r="D170" s="97" t="n">
        <v>2038.295</v>
      </c>
      <c r="E170" s="97" t="n">
        <v>2056.889</v>
      </c>
      <c r="F170" s="97" t="n">
        <v>2099.809</v>
      </c>
      <c r="G170" s="97" t="n">
        <v>2166.982</v>
      </c>
      <c r="H170" s="97" t="n">
        <v>2304.144</v>
      </c>
      <c r="I170" s="97" t="n">
        <v>2287.623</v>
      </c>
      <c r="J170" s="97" t="n">
        <v>2220.097</v>
      </c>
    </row>
    <row r="171" ht="16" customHeight="1">
      <c r="A171" s="96" t="inlineStr"/>
      <c r="B171" s="94" t="inlineStr">
        <is>
          <t>Gross Margin %</t>
        </is>
      </c>
      <c r="C171" s="71" t="n">
        <v>0.094</v>
      </c>
      <c r="D171" s="71" t="n">
        <v>0.09699999999999999</v>
      </c>
      <c r="E171" s="71" t="n">
        <v>0.08699999999999999</v>
      </c>
      <c r="F171" s="71" t="n">
        <v>0.08599999999999999</v>
      </c>
      <c r="G171" s="71" t="n">
        <v>0.091</v>
      </c>
      <c r="H171" s="71" t="n">
        <v>0.09</v>
      </c>
      <c r="I171" s="71" t="n">
        <v>0.09300000000000001</v>
      </c>
      <c r="J171" s="71" t="n">
        <v>0.09300000000000001</v>
      </c>
    </row>
    <row r="172" ht="16" customHeight="1">
      <c r="A172" s="96" t="inlineStr"/>
      <c r="B172" s="26" t="inlineStr">
        <is>
          <t>QoQ Rev Growth</t>
        </is>
      </c>
      <c r="C172" s="49" t="n"/>
      <c r="D172" s="75" t="n">
        <v>0.05204711745711903</v>
      </c>
      <c r="E172" s="75" t="n">
        <v>0.00912233018282437</v>
      </c>
      <c r="F172" s="75" t="n">
        <v>0.02086646386849266</v>
      </c>
      <c r="G172" s="75" t="n">
        <v>0.03199005242857803</v>
      </c>
      <c r="H172" s="75" t="n">
        <v>0.06329632641157149</v>
      </c>
      <c r="I172" s="75" t="n">
        <v>-0.007170124783867675</v>
      </c>
      <c r="J172" s="75" t="n">
        <v>-0.02951797564546256</v>
      </c>
    </row>
    <row r="173" ht="16" customHeight="1">
      <c r="A173" s="96" t="inlineStr"/>
      <c r="B173" s="20" t="inlineStr">
        <is>
          <t>YoY Rev Growth</t>
        </is>
      </c>
      <c r="C173" s="48" t="n"/>
      <c r="D173" s="48" t="n"/>
      <c r="E173" s="48" t="n"/>
      <c r="F173" s="48" t="n"/>
      <c r="G173" s="71" t="n">
        <v>0.1184677226218299</v>
      </c>
      <c r="H173" s="71" t="n">
        <v>0.1304271462177948</v>
      </c>
      <c r="I173" s="71" t="n">
        <v>0.1121762039662811</v>
      </c>
      <c r="J173" s="71" t="n">
        <v>0.05728521022626343</v>
      </c>
    </row>
    <row r="174" ht="8" customHeight="1"/>
    <row r="175" ht="18" customHeight="1">
      <c r="A175" s="94" t="inlineStr">
        <is>
          <t>MRCY  —  Mercury Systems, Inc.</t>
        </is>
      </c>
      <c r="C175" s="37" t="inlineStr">
        <is>
          <t>Breakout</t>
        </is>
      </c>
      <c r="D175" s="74" t="inlineStr">
        <is>
          <t>Mkt Cap: $5093M</t>
        </is>
      </c>
      <c r="E175" s="95" t="n"/>
      <c r="F175" s="95" t="n"/>
      <c r="G175" s="95" t="n"/>
      <c r="H175" s="95" t="n"/>
      <c r="I175" s="95" t="n"/>
      <c r="J175" s="95" t="n"/>
      <c r="K175" s="95" t="n"/>
    </row>
    <row r="176" ht="16" customHeight="1">
      <c r="A176" s="96" t="inlineStr"/>
      <c r="B176" s="18" t="inlineStr">
        <is>
          <t>Quarter</t>
        </is>
      </c>
      <c r="C176" s="18" t="inlineStr">
        <is>
          <t>2024-03-29</t>
        </is>
      </c>
      <c r="D176" s="18" t="inlineStr">
        <is>
          <t>2024-06-30</t>
        </is>
      </c>
      <c r="E176" s="18" t="inlineStr">
        <is>
          <t>2024-09-27</t>
        </is>
      </c>
      <c r="F176" s="18" t="inlineStr">
        <is>
          <t>2024-12-27</t>
        </is>
      </c>
      <c r="G176" s="18" t="inlineStr">
        <is>
          <t>2025-03-28</t>
        </is>
      </c>
      <c r="H176" s="18" t="inlineStr">
        <is>
          <t>2025-06-27</t>
        </is>
      </c>
      <c r="I176" s="18" t="inlineStr">
        <is>
          <t>2025-09-26</t>
        </is>
      </c>
      <c r="J176" s="18" t="inlineStr">
        <is>
          <t>2025-12-26</t>
        </is>
      </c>
    </row>
    <row r="177" ht="16" customHeight="1">
      <c r="A177" s="96" t="inlineStr"/>
      <c r="B177" s="66" t="inlineStr">
        <is>
          <t>Revenue ($M)</t>
        </is>
      </c>
      <c r="C177" s="97" t="n">
        <v>204.431</v>
      </c>
      <c r="D177" s="97" t="n">
        <v>248.563</v>
      </c>
      <c r="E177" s="97" t="n">
        <v>204.431</v>
      </c>
      <c r="F177" s="97" t="n">
        <v>223.125</v>
      </c>
      <c r="G177" s="97" t="n">
        <v>211.358</v>
      </c>
      <c r="H177" s="97" t="n">
        <v>273.106</v>
      </c>
      <c r="I177" s="97" t="n">
        <v>225.209</v>
      </c>
      <c r="J177" s="97" t="n">
        <v>232.872</v>
      </c>
    </row>
    <row r="178" ht="16" customHeight="1">
      <c r="A178" s="96" t="inlineStr"/>
      <c r="B178" s="94" t="inlineStr">
        <is>
          <t>Gross Margin %</t>
        </is>
      </c>
      <c r="C178" s="71" t="n">
        <v>0.253</v>
      </c>
      <c r="D178" s="71" t="n">
        <v>0.295</v>
      </c>
      <c r="E178" s="71" t="n">
        <v>0.253</v>
      </c>
      <c r="F178" s="71" t="n">
        <v>0.273</v>
      </c>
      <c r="G178" s="71" t="n">
        <v>0.27</v>
      </c>
      <c r="H178" s="71" t="n">
        <v>0.31</v>
      </c>
      <c r="I178" s="71" t="n">
        <v>0.279</v>
      </c>
      <c r="J178" s="71" t="n">
        <v>0.26</v>
      </c>
    </row>
    <row r="179" ht="16" customHeight="1">
      <c r="A179" s="96" t="inlineStr"/>
      <c r="B179" s="26" t="inlineStr">
        <is>
          <t>QoQ Rev Growth</t>
        </is>
      </c>
      <c r="C179" s="49" t="n"/>
      <c r="D179" s="75" t="n">
        <v>0.2158772397532664</v>
      </c>
      <c r="E179" s="75" t="n">
        <v>-0.1775485490599969</v>
      </c>
      <c r="F179" s="75" t="n">
        <v>0.09144405691896043</v>
      </c>
      <c r="G179" s="75" t="n">
        <v>-0.05273725490196078</v>
      </c>
      <c r="H179" s="75" t="n">
        <v>0.2921488659052414</v>
      </c>
      <c r="I179" s="75" t="n">
        <v>-0.1753787906527136</v>
      </c>
      <c r="J179" s="75" t="n">
        <v>0.03402617124537652</v>
      </c>
    </row>
    <row r="180" ht="16" customHeight="1">
      <c r="A180" s="96" t="inlineStr"/>
      <c r="B180" s="20" t="inlineStr">
        <is>
          <t>YoY Rev Growth</t>
        </is>
      </c>
      <c r="C180" s="48" t="n"/>
      <c r="D180" s="48" t="n"/>
      <c r="E180" s="48" t="n"/>
      <c r="F180" s="48" t="n"/>
      <c r="G180" s="71" t="n">
        <v>0.03388429347799502</v>
      </c>
      <c r="H180" s="71" t="n">
        <v>0.09873955496192112</v>
      </c>
      <c r="I180" s="71" t="n">
        <v>0.1016382055559088</v>
      </c>
      <c r="J180" s="71" t="n">
        <v>0.04368403361344537</v>
      </c>
    </row>
    <row r="181" ht="8" customHeight="1"/>
    <row r="182" ht="18" customHeight="1">
      <c r="A182" s="94" t="inlineStr">
        <is>
          <t>BRC  —  Brady Corporation</t>
        </is>
      </c>
      <c r="C182" s="37" t="inlineStr">
        <is>
          <t>Breakout</t>
        </is>
      </c>
      <c r="D182" s="74" t="inlineStr">
        <is>
          <t>Mkt Cap: $4140M</t>
        </is>
      </c>
      <c r="E182" s="95" t="n"/>
      <c r="F182" s="95" t="n"/>
      <c r="G182" s="95" t="n"/>
      <c r="H182" s="95" t="n"/>
      <c r="I182" s="95" t="n"/>
      <c r="J182" s="95" t="n"/>
      <c r="K182" s="95" t="n"/>
    </row>
    <row r="183" ht="16" customHeight="1">
      <c r="A183" s="96" t="inlineStr"/>
      <c r="B183" s="18" t="inlineStr">
        <is>
          <t>Quarter</t>
        </is>
      </c>
      <c r="C183" s="18" t="inlineStr">
        <is>
          <t>2024-04-30</t>
        </is>
      </c>
      <c r="D183" s="18" t="inlineStr">
        <is>
          <t>2024-07-31</t>
        </is>
      </c>
      <c r="E183" s="18" t="inlineStr">
        <is>
          <t>2024-10-31</t>
        </is>
      </c>
      <c r="F183" s="18" t="inlineStr">
        <is>
          <t>2025-01-31</t>
        </is>
      </c>
      <c r="G183" s="18" t="inlineStr">
        <is>
          <t>2025-04-30</t>
        </is>
      </c>
      <c r="H183" s="18" t="inlineStr">
        <is>
          <t>2025-07-31</t>
        </is>
      </c>
      <c r="I183" s="18" t="inlineStr">
        <is>
          <t>2025-10-31</t>
        </is>
      </c>
      <c r="J183" s="18" t="inlineStr">
        <is>
          <t>2026-01-31</t>
        </is>
      </c>
    </row>
    <row r="184" ht="16" customHeight="1">
      <c r="A184" s="96" t="inlineStr"/>
      <c r="B184" s="66" t="inlineStr">
        <is>
          <t>Revenue ($M)</t>
        </is>
      </c>
      <c r="C184" s="97" t="n">
        <v>343.384</v>
      </c>
      <c r="D184" s="97" t="n">
        <v>343.402</v>
      </c>
      <c r="E184" s="97" t="n">
        <v>377.065</v>
      </c>
      <c r="F184" s="97" t="n">
        <v>356.675</v>
      </c>
      <c r="G184" s="97" t="n">
        <v>382.59</v>
      </c>
      <c r="H184" s="97" t="n">
        <v>397.275</v>
      </c>
      <c r="I184" s="97" t="n">
        <v>405.287</v>
      </c>
      <c r="J184" s="97" t="n">
        <v>384.137</v>
      </c>
    </row>
    <row r="185" ht="16" customHeight="1">
      <c r="A185" s="96" t="inlineStr"/>
      <c r="B185" s="94" t="inlineStr">
        <is>
          <t>Gross Margin %</t>
        </is>
      </c>
      <c r="C185" s="71" t="n">
        <v>0.515</v>
      </c>
      <c r="D185" s="71" t="n">
        <v>0.516</v>
      </c>
      <c r="E185" s="71" t="n">
        <v>0.503</v>
      </c>
      <c r="F185" s="71" t="n">
        <v>0.493</v>
      </c>
      <c r="G185" s="71" t="n">
        <v>0.51</v>
      </c>
      <c r="H185" s="71" t="n">
        <v>0.504</v>
      </c>
      <c r="I185" s="71" t="n">
        <v>0.515</v>
      </c>
      <c r="J185" s="71" t="n">
        <v>0.506</v>
      </c>
    </row>
    <row r="186" ht="16" customHeight="1">
      <c r="A186" s="96" t="inlineStr"/>
      <c r="B186" s="26" t="inlineStr">
        <is>
          <t>QoQ Rev Growth</t>
        </is>
      </c>
      <c r="C186" s="49" t="n"/>
      <c r="D186" s="75" t="n">
        <v>5.241944878037416e-05</v>
      </c>
      <c r="E186" s="75" t="n">
        <v>0.09802796722208956</v>
      </c>
      <c r="F186" s="75" t="n">
        <v>-0.05407555726466259</v>
      </c>
      <c r="G186" s="75" t="n">
        <v>0.07265718090698815</v>
      </c>
      <c r="H186" s="75" t="n">
        <v>0.03838312553908884</v>
      </c>
      <c r="I186" s="75" t="n">
        <v>0.02016739034673715</v>
      </c>
      <c r="J186" s="75" t="n">
        <v>-0.05218524156955442</v>
      </c>
    </row>
    <row r="187" ht="16" customHeight="1">
      <c r="A187" s="96" t="inlineStr"/>
      <c r="B187" s="20" t="inlineStr">
        <is>
          <t>YoY Rev Growth</t>
        </is>
      </c>
      <c r="C187" s="48" t="n"/>
      <c r="D187" s="48" t="n"/>
      <c r="E187" s="48" t="n"/>
      <c r="F187" s="48" t="n"/>
      <c r="G187" s="71" t="n">
        <v>0.1141753838268527</v>
      </c>
      <c r="H187" s="71" t="n">
        <v>0.1568802744305508</v>
      </c>
      <c r="I187" s="71" t="n">
        <v>0.07484651187461047</v>
      </c>
      <c r="J187" s="71" t="n">
        <v>0.07699446274619752</v>
      </c>
    </row>
    <row r="188" ht="8" customHeight="1"/>
    <row r="189" ht="18" customHeight="1">
      <c r="A189" s="94" t="inlineStr">
        <is>
          <t>CE  —  Celanese Corporation</t>
        </is>
      </c>
      <c r="C189" s="37" t="inlineStr">
        <is>
          <t>Breakout</t>
        </is>
      </c>
      <c r="D189" s="74" t="inlineStr">
        <is>
          <t>Mkt Cap: $4874M</t>
        </is>
      </c>
      <c r="E189" s="95" t="n"/>
      <c r="F189" s="95" t="n"/>
      <c r="G189" s="95" t="n"/>
      <c r="H189" s="95" t="n"/>
      <c r="I189" s="95" t="n"/>
      <c r="J189" s="95" t="n"/>
      <c r="K189" s="95" t="n"/>
    </row>
    <row r="190" ht="16" customHeight="1">
      <c r="A190" s="96" t="inlineStr"/>
      <c r="B190" s="18" t="inlineStr">
        <is>
          <t>Quarter</t>
        </is>
      </c>
      <c r="C190" s="18" t="inlineStr">
        <is>
          <t>2024-03-31</t>
        </is>
      </c>
      <c r="D190" s="18" t="inlineStr">
        <is>
          <t>2024-06-30</t>
        </is>
      </c>
      <c r="E190" s="18" t="inlineStr">
        <is>
          <t>2024-09-30</t>
        </is>
      </c>
      <c r="F190" s="18" t="inlineStr">
        <is>
          <t>2024-12-31</t>
        </is>
      </c>
      <c r="G190" s="18" t="inlineStr">
        <is>
          <t>2025-03-31</t>
        </is>
      </c>
      <c r="H190" s="18" t="inlineStr">
        <is>
          <t>2025-06-30</t>
        </is>
      </c>
      <c r="I190" s="18" t="inlineStr">
        <is>
          <t>2025-09-30</t>
        </is>
      </c>
      <c r="J190" s="18" t="inlineStr">
        <is>
          <t>2025-12-31</t>
        </is>
      </c>
    </row>
    <row r="191" ht="16" customHeight="1">
      <c r="A191" s="96" t="inlineStr"/>
      <c r="B191" s="66" t="inlineStr">
        <is>
          <t>Revenue ($M)</t>
        </is>
      </c>
      <c r="C191" s="97" t="n">
        <v>2611</v>
      </c>
      <c r="D191" s="97" t="n">
        <v>2651</v>
      </c>
      <c r="E191" s="97" t="n">
        <v>2648</v>
      </c>
      <c r="F191" s="97" t="n">
        <v>2370</v>
      </c>
      <c r="G191" s="97" t="n">
        <v>2389</v>
      </c>
      <c r="H191" s="97" t="n">
        <v>2532</v>
      </c>
      <c r="I191" s="97" t="n">
        <v>2419</v>
      </c>
      <c r="J191" s="97" t="n">
        <v>2204</v>
      </c>
    </row>
    <row r="192" ht="16" customHeight="1">
      <c r="A192" s="96" t="inlineStr"/>
      <c r="B192" s="94" t="inlineStr">
        <is>
          <t>Gross Margin %</t>
        </is>
      </c>
      <c r="C192" s="71" t="n">
        <v>0.212</v>
      </c>
      <c r="D192" s="71" t="n">
        <v>0.242</v>
      </c>
      <c r="E192" s="71" t="n">
        <v>0.235</v>
      </c>
      <c r="F192" s="71" t="n">
        <v>0.227</v>
      </c>
      <c r="G192" s="71" t="n">
        <v>0.199</v>
      </c>
      <c r="H192" s="71" t="n">
        <v>0.211</v>
      </c>
      <c r="I192" s="71" t="n">
        <v>0.215</v>
      </c>
      <c r="J192" s="71" t="n">
        <v>0.174</v>
      </c>
    </row>
    <row r="193" ht="16" customHeight="1">
      <c r="A193" s="96" t="inlineStr"/>
      <c r="B193" s="26" t="inlineStr">
        <is>
          <t>QoQ Rev Growth</t>
        </is>
      </c>
      <c r="C193" s="49" t="n"/>
      <c r="D193" s="75" t="n">
        <v>0.01531980084258905</v>
      </c>
      <c r="E193" s="75" t="n">
        <v>-0.001131648434552999</v>
      </c>
      <c r="F193" s="75" t="n">
        <v>-0.1049848942598187</v>
      </c>
      <c r="G193" s="75" t="n">
        <v>0.008016877637130802</v>
      </c>
      <c r="H193" s="75" t="n">
        <v>0.05985768103809125</v>
      </c>
      <c r="I193" s="75" t="n">
        <v>-0.04462875197472354</v>
      </c>
      <c r="J193" s="75" t="n">
        <v>-0.0888797023563456</v>
      </c>
    </row>
    <row r="194" ht="16" customHeight="1">
      <c r="A194" s="96" t="inlineStr"/>
      <c r="B194" s="20" t="inlineStr">
        <is>
          <t>YoY Rev Growth</t>
        </is>
      </c>
      <c r="C194" s="48" t="n"/>
      <c r="D194" s="48" t="n"/>
      <c r="E194" s="48" t="n"/>
      <c r="F194" s="48" t="n"/>
      <c r="G194" s="71" t="n">
        <v>-0.0850248946763692</v>
      </c>
      <c r="H194" s="71" t="n">
        <v>-0.04488872123726895</v>
      </c>
      <c r="I194" s="71" t="n">
        <v>-0.08648036253776435</v>
      </c>
      <c r="J194" s="71" t="n">
        <v>-0.070042194092827</v>
      </c>
    </row>
    <row r="195" ht="8" customHeight="1"/>
    <row r="196" ht="18" customHeight="1">
      <c r="A196" s="94" t="inlineStr">
        <is>
          <t>LYFT  —  Lyft, Inc.</t>
        </is>
      </c>
      <c r="C196" s="37" t="inlineStr">
        <is>
          <t>Breakout</t>
        </is>
      </c>
      <c r="D196" s="74" t="inlineStr">
        <is>
          <t>Mkt Cap: $6122M</t>
        </is>
      </c>
      <c r="E196" s="95" t="n"/>
      <c r="F196" s="95" t="n"/>
      <c r="G196" s="95" t="n"/>
      <c r="H196" s="95" t="n"/>
      <c r="I196" s="95" t="n"/>
      <c r="J196" s="95" t="n"/>
      <c r="K196" s="95" t="n"/>
    </row>
    <row r="197" ht="16" customHeight="1">
      <c r="A197" s="96" t="inlineStr"/>
      <c r="B197" s="18" t="inlineStr">
        <is>
          <t>Quarter</t>
        </is>
      </c>
      <c r="C197" s="18" t="inlineStr">
        <is>
          <t>2024-03-31</t>
        </is>
      </c>
      <c r="D197" s="18" t="inlineStr">
        <is>
          <t>2024-06-30</t>
        </is>
      </c>
      <c r="E197" s="18" t="inlineStr">
        <is>
          <t>2024-09-30</t>
        </is>
      </c>
      <c r="F197" s="18" t="inlineStr">
        <is>
          <t>2024-12-31</t>
        </is>
      </c>
      <c r="G197" s="18" t="inlineStr">
        <is>
          <t>2025-03-31</t>
        </is>
      </c>
      <c r="H197" s="18" t="inlineStr">
        <is>
          <t>2025-06-30</t>
        </is>
      </c>
      <c r="I197" s="18" t="inlineStr">
        <is>
          <t>2025-09-30</t>
        </is>
      </c>
      <c r="J197" s="18" t="inlineStr">
        <is>
          <t>2025-12-31</t>
        </is>
      </c>
    </row>
    <row r="198" ht="16" customHeight="1">
      <c r="A198" s="96" t="inlineStr"/>
      <c r="B198" s="66" t="inlineStr">
        <is>
          <t>Revenue ($M)</t>
        </is>
      </c>
      <c r="C198" s="97" t="n">
        <v>1277.201</v>
      </c>
      <c r="D198" s="97" t="n">
        <v>1435.846</v>
      </c>
      <c r="E198" s="97" t="n">
        <v>1522.692</v>
      </c>
      <c r="F198" s="97" t="n">
        <v>1550.277</v>
      </c>
      <c r="G198" s="97" t="n">
        <v>1450.172</v>
      </c>
      <c r="H198" s="97" t="n">
        <v>1588.183</v>
      </c>
      <c r="I198" s="97" t="n">
        <v>1685.195</v>
      </c>
      <c r="J198" s="97" t="n">
        <v>1592.711</v>
      </c>
    </row>
    <row r="199" ht="16" customHeight="1">
      <c r="A199" s="96" t="inlineStr"/>
      <c r="B199" s="94" t="inlineStr">
        <is>
          <t>Gross Margin %</t>
        </is>
      </c>
      <c r="C199" s="71" t="n">
        <v>0.409</v>
      </c>
      <c r="D199" s="71" t="n">
        <v>0.429</v>
      </c>
      <c r="E199" s="71" t="n">
        <v>0.417</v>
      </c>
      <c r="F199" s="71" t="n">
        <v>0.436</v>
      </c>
      <c r="G199" s="71" t="n">
        <v>0.405</v>
      </c>
      <c r="H199" s="71" t="n">
        <v>0.411</v>
      </c>
      <c r="I199" s="71" t="n">
        <v>0.45</v>
      </c>
      <c r="J199" s="71" t="n">
        <v>0.39</v>
      </c>
    </row>
    <row r="200" ht="16" customHeight="1">
      <c r="A200" s="96" t="inlineStr"/>
      <c r="B200" s="26" t="inlineStr">
        <is>
          <t>QoQ Rev Growth</t>
        </is>
      </c>
      <c r="C200" s="49" t="n"/>
      <c r="D200" s="75" t="n">
        <v>0.1242130252012017</v>
      </c>
      <c r="E200" s="75" t="n">
        <v>0.06048420234481971</v>
      </c>
      <c r="F200" s="75" t="n">
        <v>0.01811594202898551</v>
      </c>
      <c r="G200" s="75" t="n">
        <v>-0.06457233126725095</v>
      </c>
      <c r="H200" s="75" t="n">
        <v>0.095168711021865</v>
      </c>
      <c r="I200" s="75" t="n">
        <v>0.06108364086506404</v>
      </c>
      <c r="J200" s="75" t="n">
        <v>-0.05488029575212364</v>
      </c>
    </row>
    <row r="201" ht="16" customHeight="1">
      <c r="A201" s="96" t="inlineStr"/>
      <c r="B201" s="20" t="inlineStr">
        <is>
          <t>YoY Rev Growth</t>
        </is>
      </c>
      <c r="C201" s="48" t="n"/>
      <c r="D201" s="48" t="n"/>
      <c r="E201" s="48" t="n"/>
      <c r="F201" s="48" t="n"/>
      <c r="G201" s="71" t="n">
        <v>0.1354297405028652</v>
      </c>
      <c r="H201" s="71" t="n">
        <v>0.1060956397830965</v>
      </c>
      <c r="I201" s="71" t="n">
        <v>0.1067208601608204</v>
      </c>
      <c r="J201" s="71" t="n">
        <v>0.02737188257324336</v>
      </c>
    </row>
    <row r="202" ht="8" customHeight="1"/>
    <row r="203" ht="18" customHeight="1">
      <c r="A203" s="94" t="inlineStr">
        <is>
          <t>RUN  —  Sunrun Inc.</t>
        </is>
      </c>
      <c r="C203" s="37" t="inlineStr">
        <is>
          <t>Breakout</t>
        </is>
      </c>
      <c r="D203" s="74" t="inlineStr">
        <is>
          <t>Mkt Cap: $2189M</t>
        </is>
      </c>
      <c r="E203" s="95" t="n"/>
      <c r="F203" s="95" t="n"/>
      <c r="G203" s="95" t="n"/>
      <c r="H203" s="95" t="n"/>
      <c r="I203" s="95" t="n"/>
      <c r="J203" s="95" t="n"/>
      <c r="K203" s="95" t="n"/>
    </row>
    <row r="204" ht="16" customHeight="1">
      <c r="A204" s="96" t="inlineStr"/>
      <c r="B204" s="18" t="inlineStr">
        <is>
          <t>Quarter</t>
        </is>
      </c>
      <c r="C204" s="18" t="inlineStr">
        <is>
          <t>2024-03-31</t>
        </is>
      </c>
      <c r="D204" s="18" t="inlineStr">
        <is>
          <t>2024-06-30</t>
        </is>
      </c>
      <c r="E204" s="18" t="inlineStr">
        <is>
          <t>2024-09-30</t>
        </is>
      </c>
      <c r="F204" s="18" t="inlineStr">
        <is>
          <t>2024-12-31</t>
        </is>
      </c>
      <c r="G204" s="18" t="inlineStr">
        <is>
          <t>2025-03-31</t>
        </is>
      </c>
      <c r="H204" s="18" t="inlineStr">
        <is>
          <t>2025-06-30</t>
        </is>
      </c>
      <c r="I204" s="18" t="inlineStr">
        <is>
          <t>2025-09-30</t>
        </is>
      </c>
      <c r="J204" s="18" t="inlineStr">
        <is>
          <t>2025-12-31</t>
        </is>
      </c>
    </row>
    <row r="205" ht="16" customHeight="1">
      <c r="A205" s="96" t="inlineStr"/>
      <c r="B205" s="66" t="inlineStr">
        <is>
          <t>Revenue ($M)</t>
        </is>
      </c>
      <c r="C205" s="97" t="n">
        <v>458.188</v>
      </c>
      <c r="D205" s="97" t="n">
        <v>523.866</v>
      </c>
      <c r="E205" s="97" t="n">
        <v>537.173</v>
      </c>
      <c r="F205" s="97" t="n">
        <v>518.492</v>
      </c>
      <c r="G205" s="97" t="n">
        <v>504.271</v>
      </c>
      <c r="H205" s="97" t="n">
        <v>569.336</v>
      </c>
      <c r="I205" s="97" t="n">
        <v>724.557</v>
      </c>
      <c r="J205" s="97" t="n">
        <v>1158.833</v>
      </c>
    </row>
    <row r="206" ht="16" customHeight="1">
      <c r="A206" s="96" t="inlineStr"/>
      <c r="B206" s="94" t="inlineStr">
        <is>
          <t>Gross Margin %</t>
        </is>
      </c>
      <c r="C206" s="71" t="n">
        <v>0.07099999999999999</v>
      </c>
      <c r="D206" s="71" t="n">
        <v>0.181</v>
      </c>
      <c r="E206" s="71" t="n">
        <v>0.193</v>
      </c>
      <c r="F206" s="71" t="n">
        <v>0.188</v>
      </c>
      <c r="G206" s="71" t="n">
        <v>0.196</v>
      </c>
      <c r="H206" s="71" t="n">
        <v>0.166</v>
      </c>
      <c r="I206" s="71" t="n">
        <v>0.336</v>
      </c>
      <c r="J206" s="71" t="n">
        <v>0.353</v>
      </c>
    </row>
    <row r="207" ht="16" customHeight="1">
      <c r="A207" s="96" t="inlineStr"/>
      <c r="B207" s="26" t="inlineStr">
        <is>
          <t>QoQ Rev Growth</t>
        </is>
      </c>
      <c r="C207" s="49" t="n"/>
      <c r="D207" s="75" t="n">
        <v>0.1433429072782351</v>
      </c>
      <c r="E207" s="75" t="n">
        <v>0.0254015339800636</v>
      </c>
      <c r="F207" s="75" t="n">
        <v>-0.0347765058928874</v>
      </c>
      <c r="G207" s="75" t="n">
        <v>-0.02742761701241292</v>
      </c>
      <c r="H207" s="75" t="n">
        <v>0.1290278441552261</v>
      </c>
      <c r="I207" s="75" t="n">
        <v>0.2726351398822488</v>
      </c>
      <c r="J207" s="75" t="n">
        <v>0.5993676135900972</v>
      </c>
    </row>
    <row r="208" ht="16" customHeight="1">
      <c r="A208" s="96" t="inlineStr"/>
      <c r="B208" s="20" t="inlineStr">
        <is>
          <t>YoY Rev Growth</t>
        </is>
      </c>
      <c r="C208" s="48" t="n"/>
      <c r="D208" s="48" t="n"/>
      <c r="E208" s="48" t="n"/>
      <c r="F208" s="48" t="n"/>
      <c r="G208" s="71" t="n">
        <v>0.1005766192043441</v>
      </c>
      <c r="H208" s="71" t="n">
        <v>0.0867970053410605</v>
      </c>
      <c r="I208" s="71" t="n">
        <v>0.3488336159859114</v>
      </c>
      <c r="J208" s="71" t="n">
        <v>1.235006518904824</v>
      </c>
    </row>
    <row r="209" ht="8" customHeight="1"/>
    <row r="210" ht="18" customHeight="1">
      <c r="A210" s="94" t="inlineStr">
        <is>
          <t>ITRI  —  Itron, Inc.</t>
        </is>
      </c>
      <c r="C210" s="37" t="inlineStr">
        <is>
          <t>Breakout</t>
        </is>
      </c>
      <c r="D210" s="74" t="inlineStr">
        <is>
          <t>Mkt Cap: $4193M</t>
        </is>
      </c>
      <c r="E210" s="95" t="n"/>
      <c r="F210" s="95" t="n"/>
      <c r="G210" s="95" t="n"/>
      <c r="H210" s="95" t="n"/>
      <c r="I210" s="95" t="n"/>
      <c r="J210" s="95" t="n"/>
      <c r="K210" s="95" t="n"/>
    </row>
    <row r="211" ht="16" customHeight="1">
      <c r="A211" s="96" t="inlineStr"/>
      <c r="B211" s="18" t="inlineStr">
        <is>
          <t>Quarter</t>
        </is>
      </c>
      <c r="C211" s="18" t="inlineStr">
        <is>
          <t>2024-03-31</t>
        </is>
      </c>
      <c r="D211" s="18" t="inlineStr">
        <is>
          <t>2024-06-30</t>
        </is>
      </c>
      <c r="E211" s="18" t="inlineStr">
        <is>
          <t>2024-09-30</t>
        </is>
      </c>
      <c r="F211" s="18" t="inlineStr">
        <is>
          <t>2024-12-31</t>
        </is>
      </c>
      <c r="G211" s="18" t="inlineStr">
        <is>
          <t>2025-03-31</t>
        </is>
      </c>
      <c r="H211" s="18" t="inlineStr">
        <is>
          <t>2025-06-30</t>
        </is>
      </c>
      <c r="I211" s="18" t="inlineStr">
        <is>
          <t>2025-09-30</t>
        </is>
      </c>
      <c r="J211" s="18" t="inlineStr">
        <is>
          <t>2025-12-31</t>
        </is>
      </c>
    </row>
    <row r="212" ht="16" customHeight="1">
      <c r="A212" s="96" t="inlineStr"/>
      <c r="B212" s="66" t="inlineStr">
        <is>
          <t>Revenue ($M)</t>
        </is>
      </c>
      <c r="C212" s="97" t="n">
        <v>603.442</v>
      </c>
      <c r="D212" s="97" t="n">
        <v>609.069</v>
      </c>
      <c r="E212" s="97" t="n">
        <v>615.462</v>
      </c>
      <c r="F212" s="97" t="n">
        <v>612.864</v>
      </c>
      <c r="G212" s="97" t="n">
        <v>607.151</v>
      </c>
      <c r="H212" s="97" t="n">
        <v>606.761</v>
      </c>
      <c r="I212" s="97" t="n">
        <v>581.625</v>
      </c>
      <c r="J212" s="97" t="n">
        <v>571.657</v>
      </c>
    </row>
    <row r="213" ht="16" customHeight="1">
      <c r="A213" s="96" t="inlineStr"/>
      <c r="B213" s="94" t="inlineStr">
        <is>
          <t>Gross Margin %</t>
        </is>
      </c>
      <c r="C213" s="71" t="n">
        <v>0.34</v>
      </c>
      <c r="D213" s="71" t="n">
        <v>0.346</v>
      </c>
      <c r="E213" s="71" t="n">
        <v>0.341</v>
      </c>
      <c r="F213" s="71" t="n">
        <v>0.349</v>
      </c>
      <c r="G213" s="71" t="n">
        <v>0.358</v>
      </c>
      <c r="H213" s="71" t="n">
        <v>0.369</v>
      </c>
      <c r="I213" s="71" t="n">
        <v>0.377</v>
      </c>
      <c r="J213" s="71" t="n">
        <v>0.405</v>
      </c>
    </row>
    <row r="214" ht="16" customHeight="1">
      <c r="A214" s="96" t="inlineStr"/>
      <c r="B214" s="26" t="inlineStr">
        <is>
          <t>QoQ Rev Growth</t>
        </is>
      </c>
      <c r="C214" s="49" t="n"/>
      <c r="D214" s="75" t="n">
        <v>0.009324839835477145</v>
      </c>
      <c r="E214" s="75" t="n">
        <v>0.01049634770444728</v>
      </c>
      <c r="F214" s="75" t="n">
        <v>-0.004221219181687903</v>
      </c>
      <c r="G214" s="75" t="n">
        <v>-0.009321807121971596</v>
      </c>
      <c r="H214" s="75" t="n">
        <v>-0.0006423443262055074</v>
      </c>
      <c r="I214" s="75" t="n">
        <v>-0.04142652543588003</v>
      </c>
      <c r="J214" s="75" t="n">
        <v>-0.01713819041478616</v>
      </c>
    </row>
    <row r="215" ht="16" customHeight="1">
      <c r="A215" s="96" t="inlineStr"/>
      <c r="B215" s="20" t="inlineStr">
        <is>
          <t>YoY Rev Growth</t>
        </is>
      </c>
      <c r="C215" s="48" t="n"/>
      <c r="D215" s="48" t="n"/>
      <c r="E215" s="48" t="n"/>
      <c r="F215" s="48" t="n"/>
      <c r="G215" s="71" t="n">
        <v>0.006146406779773367</v>
      </c>
      <c r="H215" s="71" t="n">
        <v>-0.003789390036268469</v>
      </c>
      <c r="I215" s="71" t="n">
        <v>-0.05497821148990514</v>
      </c>
      <c r="J215" s="71" t="n">
        <v>-0.06723677683792816</v>
      </c>
    </row>
    <row r="216" ht="8" customHeight="1"/>
    <row r="217" ht="22" customHeight="1">
      <c r="A217" s="16" t="inlineStr">
        <is>
          <t xml:space="preserve">  Vital Link</t>
        </is>
      </c>
      <c r="B217" s="17" t="n"/>
      <c r="C217" s="17" t="n"/>
      <c r="D217" s="17" t="n"/>
      <c r="E217" s="17" t="n"/>
      <c r="F217" s="17" t="n"/>
      <c r="G217" s="17" t="n"/>
      <c r="H217" s="17" t="n"/>
      <c r="I217" s="17" t="n"/>
      <c r="J217" s="17" t="n"/>
      <c r="K217" s="17" t="n"/>
    </row>
  </sheetData>
  <mergeCells count="36">
    <mergeCell ref="A182:B182"/>
    <mergeCell ref="A132:B132"/>
    <mergeCell ref="A61:B61"/>
    <mergeCell ref="A1:K1"/>
    <mergeCell ref="A168:B168"/>
    <mergeCell ref="A146:K146"/>
    <mergeCell ref="A54:B54"/>
    <mergeCell ref="A196:B196"/>
    <mergeCell ref="A90:B90"/>
    <mergeCell ref="A118:B118"/>
    <mergeCell ref="A189:B189"/>
    <mergeCell ref="A217:K217"/>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J64">
    <cfRule type="colorScale" priority="17">
      <colorScale>
        <cfvo type="min"/>
        <cfvo type="max"/>
        <color rgb="00FFFFFF"/>
        <color rgb="002A9D8F"/>
      </colorScale>
    </cfRule>
  </conditionalFormatting>
  <conditionalFormatting sqref="D65:J65">
    <cfRule type="colorScale" priority="18">
      <colorScale>
        <cfvo type="min"/>
        <cfvo type="num" val="0"/>
        <cfvo type="max"/>
        <color rgb="00E76F51"/>
        <color rgb="00FFFFFF"/>
        <color rgb="002A9D8F"/>
      </colorScale>
    </cfRule>
  </conditionalFormatting>
  <conditionalFormatting sqref="C71:G71">
    <cfRule type="colorScale" priority="19">
      <colorScale>
        <cfvo type="min"/>
        <cfvo type="max"/>
        <color rgb="00FFFFFF"/>
        <color rgb="002A9D8F"/>
      </colorScale>
    </cfRule>
  </conditionalFormatting>
  <conditionalFormatting sqref="D72:G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J185">
    <cfRule type="colorScale" priority="51">
      <colorScale>
        <cfvo type="min"/>
        <cfvo type="max"/>
        <color rgb="00FFFFFF"/>
        <color rgb="002A9D8F"/>
      </colorScale>
    </cfRule>
  </conditionalFormatting>
  <conditionalFormatting sqref="D186:J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3.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1"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8" t="inlineStr">
        <is>
          <t>LITE  —  Lumentum Holdings</t>
        </is>
      </c>
      <c r="B6" s="80" t="n"/>
      <c r="C6" s="80" t="n"/>
      <c r="D6" s="80" t="n"/>
      <c r="E6" s="99" t="n"/>
      <c r="G6" s="98" t="inlineStr">
        <is>
          <t>COHR  —  Coherent Corp (formerly II-VI)</t>
        </is>
      </c>
      <c r="H6" s="80" t="n"/>
      <c r="I6" s="80" t="n"/>
      <c r="J6" s="80" t="n"/>
      <c r="K6" s="99" t="n"/>
      <c r="M6" s="98" t="inlineStr">
        <is>
          <t>AAOI  —  Applied Optoelectronics</t>
        </is>
      </c>
      <c r="N6" s="80" t="n"/>
      <c r="O6" s="80" t="n"/>
      <c r="P6" s="80" t="n"/>
      <c r="Q6" s="99" t="n"/>
    </row>
    <row r="7">
      <c r="A7" s="100" t="inlineStr">
        <is>
          <t>Run Period: 2017   ▲ 850%</t>
        </is>
      </c>
      <c r="B7" s="95" t="n"/>
      <c r="C7" s="95" t="n"/>
      <c r="D7" s="95" t="n"/>
      <c r="E7" s="101" t="n"/>
      <c r="G7" s="100" t="inlineStr">
        <is>
          <t>Run Period: 2016   ▲ 600%</t>
        </is>
      </c>
      <c r="H7" s="95" t="n"/>
      <c r="I7" s="95" t="n"/>
      <c r="J7" s="95" t="n"/>
      <c r="K7" s="101" t="n"/>
      <c r="M7" s="100" t="inlineStr">
        <is>
          <t>Run Period: 2017   ▲ 1,200%</t>
        </is>
      </c>
      <c r="N7" s="95" t="n"/>
      <c r="O7" s="95" t="n"/>
      <c r="P7" s="95" t="n"/>
      <c r="Q7" s="101" t="n"/>
    </row>
    <row r="8">
      <c r="A8" s="102" t="inlineStr">
        <is>
          <t>Market Cap</t>
        </is>
      </c>
      <c r="B8" s="94" t="inlineStr">
        <is>
          <t>$1200M</t>
        </is>
      </c>
      <c r="C8" s="95" t="n"/>
      <c r="D8" s="95" t="n"/>
      <c r="E8" s="101" t="n"/>
      <c r="G8" s="102" t="inlineStr">
        <is>
          <t>Market Cap</t>
        </is>
      </c>
      <c r="H8" s="94" t="inlineStr">
        <is>
          <t>$900M</t>
        </is>
      </c>
      <c r="I8" s="95" t="n"/>
      <c r="J8" s="95" t="n"/>
      <c r="K8" s="101" t="n"/>
      <c r="M8" s="102" t="inlineStr">
        <is>
          <t>Market Cap</t>
        </is>
      </c>
      <c r="N8" s="94" t="inlineStr">
        <is>
          <t>$300M</t>
        </is>
      </c>
      <c r="O8" s="95" t="n"/>
      <c r="P8" s="95" t="n"/>
      <c r="Q8" s="101" t="n"/>
    </row>
    <row r="9">
      <c r="A9" s="102" t="inlineStr">
        <is>
          <t>Revenue Growth</t>
        </is>
      </c>
      <c r="B9" s="94" t="inlineStr">
        <is>
          <t>38%</t>
        </is>
      </c>
      <c r="C9" s="95" t="n"/>
      <c r="D9" s="95" t="n"/>
      <c r="E9" s="101" t="n"/>
      <c r="G9" s="102" t="inlineStr">
        <is>
          <t>Revenue Growth</t>
        </is>
      </c>
      <c r="H9" s="94" t="inlineStr">
        <is>
          <t>22%</t>
        </is>
      </c>
      <c r="I9" s="95" t="n"/>
      <c r="J9" s="95" t="n"/>
      <c r="K9" s="101" t="n"/>
      <c r="M9" s="102" t="inlineStr">
        <is>
          <t>Revenue Growth</t>
        </is>
      </c>
      <c r="N9" s="94" t="inlineStr">
        <is>
          <t>95%</t>
        </is>
      </c>
      <c r="O9" s="95" t="n"/>
      <c r="P9" s="95" t="n"/>
      <c r="Q9" s="101" t="n"/>
    </row>
    <row r="10">
      <c r="A10" s="102" t="inlineStr">
        <is>
          <t>Gross Margin</t>
        </is>
      </c>
      <c r="B10" s="94" t="inlineStr">
        <is>
          <t>44%</t>
        </is>
      </c>
      <c r="C10" s="95" t="n"/>
      <c r="D10" s="95" t="n"/>
      <c r="E10" s="101" t="n"/>
      <c r="G10" s="102" t="inlineStr">
        <is>
          <t>Gross Margin</t>
        </is>
      </c>
      <c r="H10" s="94" t="inlineStr">
        <is>
          <t>50%</t>
        </is>
      </c>
      <c r="I10" s="95" t="n"/>
      <c r="J10" s="95" t="n"/>
      <c r="K10" s="101" t="n"/>
      <c r="M10" s="102" t="inlineStr">
        <is>
          <t>Gross Margin</t>
        </is>
      </c>
      <c r="N10" s="94" t="inlineStr">
        <is>
          <t>38%</t>
        </is>
      </c>
      <c r="O10" s="95" t="n"/>
      <c r="P10" s="95" t="n"/>
      <c r="Q10" s="101" t="n"/>
    </row>
    <row r="11">
      <c r="A11" s="102" t="inlineStr">
        <is>
          <t>Insider Ownership</t>
        </is>
      </c>
      <c r="B11" s="94" t="inlineStr">
        <is>
          <t>8%</t>
        </is>
      </c>
      <c r="C11" s="95" t="n"/>
      <c r="D11" s="95" t="n"/>
      <c r="E11" s="101" t="n"/>
      <c r="G11" s="102" t="inlineStr">
        <is>
          <t>Insider Ownership</t>
        </is>
      </c>
      <c r="H11" s="94" t="inlineStr">
        <is>
          <t>12%</t>
        </is>
      </c>
      <c r="I11" s="95" t="n"/>
      <c r="J11" s="95" t="n"/>
      <c r="K11" s="101" t="n"/>
      <c r="M11" s="102" t="inlineStr">
        <is>
          <t>Insider Ownership</t>
        </is>
      </c>
      <c r="N11" s="94" t="inlineStr">
        <is>
          <t>20%</t>
        </is>
      </c>
      <c r="O11" s="95" t="n"/>
      <c r="P11" s="95" t="n"/>
      <c r="Q11" s="101" t="n"/>
    </row>
    <row r="12">
      <c r="A12" s="102" t="inlineStr">
        <is>
          <t>Dilution 3yr</t>
        </is>
      </c>
      <c r="B12" s="94" t="inlineStr">
        <is>
          <t>4%</t>
        </is>
      </c>
      <c r="C12" s="95" t="n"/>
      <c r="D12" s="95" t="n"/>
      <c r="E12" s="101" t="n"/>
      <c r="G12" s="102" t="inlineStr">
        <is>
          <t>Dilution 3yr</t>
        </is>
      </c>
      <c r="H12" s="94" t="inlineStr">
        <is>
          <t>6%</t>
        </is>
      </c>
      <c r="I12" s="95" t="n"/>
      <c r="J12" s="95" t="n"/>
      <c r="K12" s="101" t="n"/>
      <c r="M12" s="102" t="inlineStr">
        <is>
          <t>Dilution 3yr</t>
        </is>
      </c>
      <c r="N12" s="94" t="inlineStr">
        <is>
          <t>3%</t>
        </is>
      </c>
      <c r="O12" s="95" t="n"/>
      <c r="P12" s="95" t="n"/>
      <c r="Q12" s="101" t="n"/>
    </row>
    <row r="13">
      <c r="A13" s="103" t="inlineStr">
        <is>
          <t>Data center optical interconnects</t>
        </is>
      </c>
      <c r="B13" s="95" t="n"/>
      <c r="C13" s="95" t="n"/>
      <c r="D13" s="95" t="n"/>
      <c r="E13" s="101" t="n"/>
      <c r="G13" s="103" t="inlineStr">
        <is>
          <t>Optical networking + vertical integration</t>
        </is>
      </c>
      <c r="H13" s="95" t="n"/>
      <c r="I13" s="95" t="n"/>
      <c r="J13" s="95" t="n"/>
      <c r="K13" s="101" t="n"/>
      <c r="M13" s="103" t="inlineStr">
        <is>
          <t>Hyperscaler data center buildout</t>
        </is>
      </c>
      <c r="N13" s="95" t="n"/>
      <c r="O13" s="95" t="n"/>
      <c r="P13" s="95" t="n"/>
      <c r="Q13" s="101" t="n"/>
    </row>
    <row r="19">
      <c r="A19" s="98" t="inlineStr">
        <is>
          <t>KTOS  —  Kratos Defense &amp; Security</t>
        </is>
      </c>
      <c r="B19" s="80" t="n"/>
      <c r="C19" s="80" t="n"/>
      <c r="D19" s="80" t="n"/>
      <c r="E19" s="99" t="n"/>
      <c r="G19" s="98" t="inlineStr">
        <is>
          <t>RKLB  —  Rocket Lab USA</t>
        </is>
      </c>
      <c r="H19" s="80" t="n"/>
      <c r="I19" s="80" t="n"/>
      <c r="J19" s="80" t="n"/>
      <c r="K19" s="99" t="n"/>
      <c r="M19" s="98" t="inlineStr">
        <is>
          <t>GLW  —  Corning Incorporated</t>
        </is>
      </c>
      <c r="N19" s="80" t="n"/>
      <c r="O19" s="80" t="n"/>
      <c r="P19" s="80" t="n"/>
      <c r="Q19" s="99" t="n"/>
    </row>
    <row r="20">
      <c r="A20" s="100" t="inlineStr">
        <is>
          <t>Run Period: 2019   ▲ 500%</t>
        </is>
      </c>
      <c r="B20" s="95" t="n"/>
      <c r="C20" s="95" t="n"/>
      <c r="D20" s="95" t="n"/>
      <c r="E20" s="101" t="n"/>
      <c r="G20" s="100" t="inlineStr">
        <is>
          <t>Run Period: 2023   ▲ 400%</t>
        </is>
      </c>
      <c r="H20" s="95" t="n"/>
      <c r="I20" s="95" t="n"/>
      <c r="J20" s="95" t="n"/>
      <c r="K20" s="101" t="n"/>
      <c r="M20" s="100" t="inlineStr">
        <is>
          <t>Run Period: 2023   ▲ 740%</t>
        </is>
      </c>
      <c r="N20" s="95" t="n"/>
      <c r="O20" s="95" t="n"/>
      <c r="P20" s="95" t="n"/>
      <c r="Q20" s="101" t="n"/>
    </row>
    <row r="21">
      <c r="A21" s="102" t="inlineStr">
        <is>
          <t>Market Cap</t>
        </is>
      </c>
      <c r="B21" s="94" t="inlineStr">
        <is>
          <t>$700M</t>
        </is>
      </c>
      <c r="C21" s="95" t="n"/>
      <c r="D21" s="95" t="n"/>
      <c r="E21" s="101" t="n"/>
      <c r="G21" s="102" t="inlineStr">
        <is>
          <t>Market Cap</t>
        </is>
      </c>
      <c r="H21" s="94" t="inlineStr">
        <is>
          <t>$1200M</t>
        </is>
      </c>
      <c r="I21" s="95" t="n"/>
      <c r="J21" s="95" t="n"/>
      <c r="K21" s="101" t="n"/>
      <c r="M21" s="102" t="inlineStr">
        <is>
          <t>Market Cap</t>
        </is>
      </c>
      <c r="N21" s="94" t="inlineStr">
        <is>
          <t>$26000M</t>
        </is>
      </c>
      <c r="O21" s="95" t="n"/>
      <c r="P21" s="95" t="n"/>
      <c r="Q21" s="101" t="n"/>
    </row>
    <row r="22">
      <c r="A22" s="102" t="inlineStr">
        <is>
          <t>Revenue Growth</t>
        </is>
      </c>
      <c r="B22" s="94" t="inlineStr">
        <is>
          <t>18%</t>
        </is>
      </c>
      <c r="C22" s="95" t="n"/>
      <c r="D22" s="95" t="n"/>
      <c r="E22" s="101" t="n"/>
      <c r="G22" s="102" t="inlineStr">
        <is>
          <t>Revenue Growth</t>
        </is>
      </c>
      <c r="H22" s="94" t="inlineStr">
        <is>
          <t>55%</t>
        </is>
      </c>
      <c r="I22" s="95" t="n"/>
      <c r="J22" s="95" t="n"/>
      <c r="K22" s="101" t="n"/>
      <c r="M22" s="102" t="inlineStr">
        <is>
          <t>Revenue Growth</t>
        </is>
      </c>
      <c r="N22" s="94" t="inlineStr">
        <is>
          <t>-11.3%</t>
        </is>
      </c>
      <c r="O22" s="95" t="n"/>
      <c r="P22" s="95" t="n"/>
      <c r="Q22" s="101" t="n"/>
    </row>
    <row r="23">
      <c r="A23" s="102" t="inlineStr">
        <is>
          <t>Gross Margin</t>
        </is>
      </c>
      <c r="B23" s="94" t="inlineStr">
        <is>
          <t>25%</t>
        </is>
      </c>
      <c r="C23" s="95" t="n"/>
      <c r="D23" s="95" t="n"/>
      <c r="E23" s="101" t="n"/>
      <c r="G23" s="102" t="inlineStr">
        <is>
          <t>Gross Margin</t>
        </is>
      </c>
      <c r="H23" s="94" t="inlineStr">
        <is>
          <t>28%</t>
        </is>
      </c>
      <c r="I23" s="95" t="n"/>
      <c r="J23" s="95" t="n"/>
      <c r="K23" s="101" t="n"/>
      <c r="M23" s="102" t="inlineStr">
        <is>
          <t>Gross Margin</t>
        </is>
      </c>
      <c r="N23" s="94" t="inlineStr">
        <is>
          <t>33.5%</t>
        </is>
      </c>
      <c r="O23" s="95" t="n"/>
      <c r="P23" s="95" t="n"/>
      <c r="Q23" s="101" t="n"/>
    </row>
    <row r="24">
      <c r="A24" s="102" t="inlineStr">
        <is>
          <t>Insider Ownership</t>
        </is>
      </c>
      <c r="B24" s="94" t="inlineStr">
        <is>
          <t>5%</t>
        </is>
      </c>
      <c r="C24" s="95" t="n"/>
      <c r="D24" s="95" t="n"/>
      <c r="E24" s="101" t="n"/>
      <c r="G24" s="102" t="inlineStr">
        <is>
          <t>Insider Ownership</t>
        </is>
      </c>
      <c r="H24" s="94" t="inlineStr">
        <is>
          <t>30%</t>
        </is>
      </c>
      <c r="I24" s="95" t="n"/>
      <c r="J24" s="95" t="n"/>
      <c r="K24" s="101" t="n"/>
      <c r="M24" s="102" t="inlineStr">
        <is>
          <t>Insider Ownership</t>
        </is>
      </c>
      <c r="N24" s="94" t="inlineStr">
        <is>
          <t>1%</t>
        </is>
      </c>
      <c r="O24" s="95" t="n"/>
      <c r="P24" s="95" t="n"/>
      <c r="Q24" s="101" t="n"/>
    </row>
    <row r="25">
      <c r="A25" s="102" t="inlineStr">
        <is>
          <t>Dilution 3yr</t>
        </is>
      </c>
      <c r="B25" s="94" t="inlineStr">
        <is>
          <t>8%</t>
        </is>
      </c>
      <c r="C25" s="95" t="n"/>
      <c r="D25" s="95" t="n"/>
      <c r="E25" s="101" t="n"/>
      <c r="G25" s="102" t="inlineStr">
        <is>
          <t>Dilution 3yr</t>
        </is>
      </c>
      <c r="H25" s="94" t="inlineStr">
        <is>
          <t>15%</t>
        </is>
      </c>
      <c r="I25" s="95" t="n"/>
      <c r="J25" s="95" t="n"/>
      <c r="K25" s="101" t="n"/>
      <c r="M25" s="102" t="inlineStr">
        <is>
          <t>Dilution 3yr</t>
        </is>
      </c>
      <c r="N25" s="94" t="inlineStr">
        <is>
          <t>-4%</t>
        </is>
      </c>
      <c r="O25" s="95" t="n"/>
      <c r="P25" s="95" t="n"/>
      <c r="Q25" s="101" t="n"/>
    </row>
    <row r="26">
      <c r="A26" s="103" t="inlineStr">
        <is>
          <t>Drone warfare + affordable attritable aircraft</t>
        </is>
      </c>
      <c r="B26" s="95" t="n"/>
      <c r="C26" s="95" t="n"/>
      <c r="D26" s="95" t="n"/>
      <c r="E26" s="101" t="n"/>
      <c r="G26" s="103" t="inlineStr">
        <is>
          <t>Small sat launch + space systems vertical integration</t>
        </is>
      </c>
      <c r="H26" s="95" t="n"/>
      <c r="I26" s="95" t="n"/>
      <c r="J26" s="95" t="n"/>
      <c r="K26" s="101" t="n"/>
      <c r="M26" s="103" t="inlineStr">
        <is>
          <t>Optical fiber as the vital link in AI data-center buildout</t>
        </is>
      </c>
      <c r="N26" s="95" t="n"/>
      <c r="O26" s="95" t="n"/>
      <c r="P26" s="95" t="n"/>
      <c r="Q26" s="101"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GLW</t>
        </is>
      </c>
    </row>
    <row r="36">
      <c r="A36" t="inlineStr">
        <is>
          <t>Revenue Growth</t>
        </is>
      </c>
      <c r="B36" t="n">
        <v>40</v>
      </c>
      <c r="C36" t="n">
        <v>23.15789473684211</v>
      </c>
      <c r="D36" t="n">
        <v>100</v>
      </c>
      <c r="E36" t="n">
        <v>18.94736842105263</v>
      </c>
      <c r="F36" t="n">
        <v>57.89473684210526</v>
      </c>
      <c r="G36" t="n">
        <v>-11.89473684210526</v>
      </c>
    </row>
    <row r="37">
      <c r="A37" t="inlineStr">
        <is>
          <t>Gross Margin</t>
        </is>
      </c>
      <c r="B37" t="n">
        <v>88</v>
      </c>
      <c r="C37" t="n">
        <v>100</v>
      </c>
      <c r="D37" t="n">
        <v>76</v>
      </c>
      <c r="E37" t="n">
        <v>50</v>
      </c>
      <c r="F37" t="n">
        <v>56</v>
      </c>
      <c r="G37" t="n">
        <v>67</v>
      </c>
    </row>
    <row r="38">
      <c r="A38" t="inlineStr">
        <is>
          <t>Insider %</t>
        </is>
      </c>
      <c r="B38" t="n">
        <v>26.66666666666667</v>
      </c>
      <c r="C38" t="n">
        <v>40</v>
      </c>
      <c r="D38" t="n">
        <v>66.66666666666667</v>
      </c>
      <c r="E38" t="n">
        <v>16.66666666666667</v>
      </c>
      <c r="F38" t="n">
        <v>100</v>
      </c>
      <c r="G38" t="n">
        <v>3.333333333333333</v>
      </c>
    </row>
    <row r="39">
      <c r="A39" t="inlineStr">
        <is>
          <t>Low Dilution</t>
        </is>
      </c>
      <c r="B39" t="n">
        <v>84</v>
      </c>
      <c r="C39" t="n">
        <v>76</v>
      </c>
      <c r="D39" t="n">
        <v>88</v>
      </c>
      <c r="E39" t="n">
        <v>68</v>
      </c>
      <c r="F39" t="n">
        <v>40</v>
      </c>
      <c r="G39" t="n">
        <v>116</v>
      </c>
    </row>
    <row r="40">
      <c r="A40" t="inlineStr">
        <is>
          <t>Mkt Cap Score</t>
        </is>
      </c>
      <c r="B40" t="n">
        <v>0</v>
      </c>
      <c r="C40" t="n">
        <v>25</v>
      </c>
      <c r="D40" t="n">
        <v>75</v>
      </c>
      <c r="E40" t="n">
        <v>41.66666666666666</v>
      </c>
      <c r="F40" t="n">
        <v>0</v>
      </c>
      <c r="G40" t="n">
        <v>0</v>
      </c>
    </row>
    <row r="60" ht="22" customHeight="1">
      <c r="A60" s="16" t="inlineStr">
        <is>
          <t>REFERENCE SPREAD (descriptive — scoring uses nearest match)</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94" t="inlineStr">
        <is>
          <t>Revenue Growth %</t>
        </is>
      </c>
      <c r="B62" s="35" t="n">
        <v>-11.3</v>
      </c>
      <c r="C62" s="35" t="n">
        <v>30</v>
      </c>
      <c r="D62" s="35" t="n">
        <v>95</v>
      </c>
      <c r="E62" s="20" t="inlineStr">
        <is>
          <t>5% (floor)</t>
        </is>
      </c>
      <c r="F62" s="104" t="inlineStr">
        <is>
          <t>✓ Aligned</t>
        </is>
      </c>
    </row>
    <row r="63" ht="16" customHeight="1">
      <c r="A63" s="66" t="inlineStr">
        <is>
          <t>Gross Margin %</t>
        </is>
      </c>
      <c r="B63" s="41" t="n">
        <v>25</v>
      </c>
      <c r="C63" s="41" t="n">
        <v>35.75</v>
      </c>
      <c r="D63" s="41" t="n">
        <v>50</v>
      </c>
      <c r="E63" s="26" t="inlineStr">
        <is>
          <t>20% (floor)</t>
        </is>
      </c>
      <c r="F63" s="104" t="inlineStr">
        <is>
          <t>✓ Aligned</t>
        </is>
      </c>
    </row>
    <row r="64" ht="16" customHeight="1">
      <c r="A64" s="94" t="inlineStr">
        <is>
          <t>Insider Ownership %</t>
        </is>
      </c>
      <c r="B64" s="35" t="n">
        <v>1</v>
      </c>
      <c r="C64" s="35" t="n">
        <v>10</v>
      </c>
      <c r="D64" s="35" t="n">
        <v>30</v>
      </c>
      <c r="E64" s="20" t="inlineStr">
        <is>
          <t>N/A</t>
        </is>
      </c>
      <c r="F64" s="105" t="inlineStr">
        <is>
          <t>⚠ Loose</t>
        </is>
      </c>
    </row>
    <row r="65" ht="16" customHeight="1">
      <c r="A65" s="66" t="inlineStr">
        <is>
          <t>Dilution 3yr %</t>
        </is>
      </c>
      <c r="B65" s="41" t="n">
        <v>-4</v>
      </c>
      <c r="C65" s="41" t="n">
        <v>5</v>
      </c>
      <c r="D65" s="41" t="n">
        <v>15</v>
      </c>
      <c r="E65" s="26" t="inlineStr">
        <is>
          <t>30% (ceiling)</t>
        </is>
      </c>
      <c r="F65" s="104"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4.xml><?xml version="1.0" encoding="utf-8"?>
<worksheet xmlns="http://schemas.openxmlformats.org/spreadsheetml/2006/main">
  <sheetPr>
    <tabColor rgb="001B2A3B"/>
    <outlinePr summaryBelow="1" summaryRight="1"/>
    <pageSetUpPr fitToPage="1"/>
  </sheetPr>
  <dimension ref="A1:C7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0" t="inlineStr">
        <is>
          <t>SCREENING METHODOLOGY</t>
        </is>
      </c>
      <c r="B1" s="11" t="n"/>
      <c r="C1" s="11" t="n"/>
    </row>
    <row r="2" ht="22" customHeight="1">
      <c r="A2" s="31" t="inlineStr">
        <is>
          <t>Technical documentation for the structural growth equity screener</t>
        </is>
      </c>
      <c r="B2" s="12" t="n"/>
      <c r="C2" s="12" t="n"/>
    </row>
    <row r="3" ht="8" customHeight="1"/>
    <row r="4" ht="22" customHeight="1">
      <c r="B4" s="16" t="inlineStr">
        <is>
          <t>Screening Universe</t>
        </is>
      </c>
      <c r="C4" s="17" t="n"/>
    </row>
    <row r="5" ht="16" customHeight="1">
      <c r="B5" s="106" t="inlineStr"/>
      <c r="C5" s="50" t="inlineStr">
        <is>
          <t>US-listed equities across four market cap tiers:</t>
        </is>
      </c>
    </row>
    <row r="6" ht="16" customHeight="1">
      <c r="B6" s="106" t="inlineStr"/>
      <c r="C6" s="50" t="inlineStr">
        <is>
          <t xml:space="preserve">  Nano Cap: $50M–$300M (highest risk, highest upside)</t>
        </is>
      </c>
    </row>
    <row r="7" ht="16" customHeight="1">
      <c r="B7" s="106" t="inlineStr"/>
      <c r="C7" s="50" t="inlineStr">
        <is>
          <t xml:space="preserve">  Small Cap: $300M–$2B (the sweet spot — proven enough to have real revenue)</t>
        </is>
      </c>
    </row>
    <row r="8" ht="16" customHeight="1">
      <c r="B8" s="106" t="inlineStr"/>
      <c r="C8" s="50" t="inlineStr">
        <is>
          <t xml:space="preserve">  Breakout: $2B–$15B (validated, growth re-accelerating)</t>
        </is>
      </c>
    </row>
    <row r="9" ht="16" customHeight="1">
      <c r="B9" s="106" t="inlineStr"/>
      <c r="C9" s="50" t="inlineStr">
        <is>
          <t xml:space="preserve">  Vital Link: $15B–$40B (entrenched supplier at a cyclical trough —</t>
        </is>
      </c>
    </row>
    <row r="10" ht="16" customHeight="1">
      <c r="B10" s="106" t="inlineStr"/>
      <c r="C10" s="50" t="inlineStr">
        <is>
          <t xml:space="preserve">    accepts ONLY margin-holding troughs, so it is often empty)</t>
        </is>
      </c>
    </row>
    <row r="11" ht="8" customHeight="1"/>
    <row r="12" ht="16" customHeight="1">
      <c r="B12" s="106" t="inlineStr"/>
      <c r="C12" s="50" t="inlineStr">
        <is>
          <t>Focus themes: Aerospace/Defense, Semiconductors, AI Infrastructure,</t>
        </is>
      </c>
    </row>
    <row r="13" ht="16" customHeight="1">
      <c r="B13" s="106" t="inlineStr"/>
      <c r="C13" s="50" t="inlineStr">
        <is>
          <t>Photonics, Quantum Computing, Space, New Energy, Gene Editing</t>
        </is>
      </c>
    </row>
    <row r="14" ht="8" customHeight="1"/>
    <row r="15" ht="22" customHeight="1">
      <c r="B15" s="16" t="inlineStr">
        <is>
          <t>Hard Filters</t>
        </is>
      </c>
      <c r="C15" s="17" t="n"/>
    </row>
    <row r="16" ht="16" customHeight="1">
      <c r="B16" s="106" t="inlineStr"/>
      <c r="C16" s="50" t="inlineStr">
        <is>
          <t>Must be US-domiciled and actively trading on a major exchange</t>
        </is>
      </c>
    </row>
    <row r="17" ht="16" customHeight="1">
      <c r="B17" s="106" t="inlineStr"/>
      <c r="C17" s="50" t="inlineStr">
        <is>
          <t>Excludes: Biotech/Pharma (unless gene editing keywords in description)</t>
        </is>
      </c>
    </row>
    <row r="18" ht="16" customHeight="1">
      <c r="B18" s="106" t="inlineStr"/>
      <c r="C18" s="50" t="inlineStr">
        <is>
          <t>Excludes: Oil &amp; Gas, Warrants, Units, Preferred shares</t>
        </is>
      </c>
    </row>
    <row r="19" ht="16" customHeight="1">
      <c r="B19" s="106" t="inlineStr"/>
      <c r="C19" s="50" t="inlineStr">
        <is>
          <t>Must match industry whitelist OR description keywords in target themes</t>
        </is>
      </c>
    </row>
    <row r="20" ht="16" customHeight="1">
      <c r="B20" s="106" t="inlineStr"/>
      <c r="C20" s="50" t="inlineStr">
        <is>
          <t>No OTC/pink sheet securities</t>
        </is>
      </c>
    </row>
    <row r="21" ht="8" customHeight="1"/>
    <row r="22" ht="22" customHeight="1">
      <c r="B22" s="16" t="inlineStr">
        <is>
          <t>Quality Floor</t>
        </is>
      </c>
      <c r="C22" s="17" t="n"/>
    </row>
    <row r="23" ht="16" customHeight="1">
      <c r="B23" s="106" t="inlineStr"/>
      <c r="C23" s="50" t="inlineStr">
        <is>
          <t>Revenue growth must exceed 5% YoY</t>
        </is>
      </c>
    </row>
    <row r="24" ht="16" customHeight="1">
      <c r="B24" s="106" t="inlineStr"/>
      <c r="C24" s="50" t="inlineStr">
        <is>
          <t>Gross margin must exceed 20%</t>
        </is>
      </c>
    </row>
    <row r="25" ht="16" customHeight="1">
      <c r="B25" s="106" t="inlineStr"/>
      <c r="C25" s="50" t="inlineStr">
        <is>
          <t>3-year share dilution must be below 30%</t>
        </is>
      </c>
    </row>
    <row r="26" ht="16" customHeight="1">
      <c r="B26" s="106" t="inlineStr"/>
      <c r="C26" s="50" t="inlineStr">
        <is>
          <t>Stocks failing any of these thresholds are excluded entirely</t>
        </is>
      </c>
    </row>
    <row r="27" ht="8" customHeight="1"/>
    <row r="28" ht="22" customHeight="1">
      <c r="B28" s="16" t="inlineStr">
        <is>
          <t>Composite Score (60%)</t>
        </is>
      </c>
      <c r="C28" s="17" t="n"/>
    </row>
    <row r="29" ht="16" customHeight="1">
      <c r="B29" s="106" t="inlineStr"/>
      <c r="C29" s="50" t="inlineStr">
        <is>
          <t>Revenue Growth YoY: 30% weight — Higher is better, &gt;50% = max score</t>
        </is>
      </c>
    </row>
    <row r="30" ht="16" customHeight="1">
      <c r="B30" s="106" t="inlineStr"/>
      <c r="C30" s="50" t="inlineStr">
        <is>
          <t xml:space="preserve">  A decline scores zero UNLESS gross margin held through it, in which case it</t>
        </is>
      </c>
    </row>
    <row r="31" ht="16" customHeight="1">
      <c r="B31" s="106" t="inlineStr"/>
      <c r="C31" s="50" t="inlineStr">
        <is>
          <t xml:space="preserve">  earns partial credit (max 50, i.e. a 25% grower) scaled by margin conceded</t>
        </is>
      </c>
    </row>
    <row r="32" ht="16" customHeight="1">
      <c r="B32" s="106" t="inlineStr"/>
      <c r="C32" s="50" t="inlineStr">
        <is>
          <t xml:space="preserve">  per point of revenue decline. Corning conceded 0.6pp on an 11.3% fall.</t>
        </is>
      </c>
    </row>
    <row r="33" ht="16" customHeight="1">
      <c r="B33" s="106" t="inlineStr"/>
      <c r="C33" s="50" t="inlineStr">
        <is>
          <t>Gross Margin: 20% weight — &gt;40% = max, proxy for pricing power and moat</t>
        </is>
      </c>
    </row>
    <row r="34" ht="16" customHeight="1">
      <c r="B34" s="106" t="inlineStr"/>
      <c r="C34" s="50" t="inlineStr">
        <is>
          <t>Dilution 3yr: 20% weight — Lower is better, &lt;5% = full points, &gt;30% = zero</t>
        </is>
      </c>
    </row>
    <row r="35" ht="16" customHeight="1">
      <c r="B35" s="106" t="inlineStr"/>
      <c r="C35" s="50" t="inlineStr">
        <is>
          <t>Insider Ownership: 15% weight — &gt;10% = full points, founders with skin in the game</t>
        </is>
      </c>
    </row>
    <row r="36" ht="16" customHeight="1">
      <c r="B36" s="106" t="inlineStr"/>
      <c r="C36" s="50" t="inlineStr">
        <is>
          <t>Revenue Acceleration: 15% weight — Is the growth rate itself increasing?</t>
        </is>
      </c>
    </row>
    <row r="37" ht="8" customHeight="1"/>
    <row r="38" ht="22" customHeight="1">
      <c r="B38" s="16" t="inlineStr">
        <is>
          <t>Fingerprint Score (75%)</t>
        </is>
      </c>
      <c r="C38" s="17" t="n"/>
    </row>
    <row r="39" ht="16" customHeight="1">
      <c r="B39" s="106" t="inlineStr"/>
      <c r="C39" s="50" t="inlineStr">
        <is>
          <t>Measures similarity to 6 reference stocks at their pre-run inflection point</t>
        </is>
      </c>
    </row>
    <row r="40" ht="16" customHeight="1">
      <c r="B40" s="106" t="inlineStr"/>
      <c r="C40" s="50" t="inlineStr">
        <is>
          <t>Reference stocks: LITE, COHR, AAOI, KTOS, RKLB, GLW</t>
        </is>
      </c>
    </row>
    <row r="41" ht="16" customHeight="1">
      <c r="B41" s="106" t="inlineStr"/>
      <c r="C41" s="50" t="inlineStr">
        <is>
          <t>Compares: revenue growth, gross margin, insider %, dilution, market cap</t>
        </is>
      </c>
    </row>
    <row r="42" ht="16" customHeight="1">
      <c r="B42" s="106" t="inlineStr"/>
      <c r="C42" s="50" t="inlineStr">
        <is>
          <t>Scores against the NEAREST reference, not an average of all of them</t>
        </is>
      </c>
    </row>
    <row r="43" ht="16" customHeight="1">
      <c r="B43" s="106" t="inlineStr"/>
      <c r="C43" s="50" t="inlineStr">
        <is>
          <t>The set spans archetypes: AAOI was $300M growing 95%; GLW was $26B with revenue down 11% at its trough</t>
        </is>
      </c>
    </row>
    <row r="44" ht="16" customHeight="1">
      <c r="B44" s="106" t="inlineStr"/>
      <c r="C44" s="50" t="inlineStr">
        <is>
          <t>Market cap is compared in orders of magnitude, other metrics in absolute distance</t>
        </is>
      </c>
    </row>
    <row r="45" ht="16" customHeight="1">
      <c r="B45" s="106" t="inlineStr"/>
      <c r="C45" s="50" t="inlineStr">
        <is>
          <t>Combined Score = 0% Composite + 75% Fingerprint + 25% WPS</t>
        </is>
      </c>
    </row>
    <row r="46" ht="16" customHeight="1">
      <c r="B46" s="106" t="inlineStr"/>
      <c r="C46" s="50" t="inlineStr">
        <is>
          <t>Weights set from an 18-date point-in-time reconstruction with real 12-month forward returns</t>
        </is>
      </c>
    </row>
    <row r="47" ht="16" customHeight="1">
      <c r="B47" s="106" t="inlineStr"/>
      <c r="C47" s="50" t="inlineStr">
        <is>
          <t>Composite carries no weight: it ranked no better than chance (11/18 dates) and its spread was negative once size was controlled</t>
        </is>
      </c>
    </row>
    <row r="48" ht="8" customHeight="1"/>
    <row r="49" ht="22" customHeight="1">
      <c r="B49" s="16" t="inlineStr">
        <is>
          <t>Position Sizing Rules</t>
        </is>
      </c>
      <c r="C49" s="17" t="n"/>
    </row>
    <row r="50" ht="16" customHeight="1">
      <c r="B50" s="106" t="inlineStr"/>
      <c r="C50" s="50" t="inlineStr">
        <is>
          <t>Based on conviction level: High (8%), Medium-High (5%), Medium (3%), Speculative (1.5%)</t>
        </is>
      </c>
    </row>
    <row r="51" ht="16" customHeight="1">
      <c r="B51" s="106" t="inlineStr"/>
      <c r="C51" s="50" t="inlineStr">
        <is>
          <t>Nano caps receive 0.6x risk multiplier (smaller positions for higher risk)</t>
        </is>
      </c>
    </row>
    <row r="52" ht="16" customHeight="1">
      <c r="B52" s="106" t="inlineStr"/>
      <c r="C52" s="50" t="inlineStr">
        <is>
          <t>Breakout caps receive 1.2x multiplier (larger positions for validated growth)</t>
        </is>
      </c>
    </row>
    <row r="53" ht="16" customHeight="1">
      <c r="B53" s="106" t="inlineStr"/>
      <c r="C53" s="50" t="inlineStr">
        <is>
          <t>Vital Link caps receive 1.4x multiplier (entrenched incumbents, lower single-name risk)</t>
        </is>
      </c>
    </row>
    <row r="54" ht="16" customHeight="1">
      <c r="B54" s="106" t="inlineStr"/>
      <c r="C54" s="50" t="inlineStr">
        <is>
          <t>Designed to sum to &lt;100% with meaningful cash reserve</t>
        </is>
      </c>
    </row>
    <row r="55" ht="8" customHeight="1"/>
    <row r="56" ht="22" customHeight="1">
      <c r="B56" s="16" t="inlineStr">
        <is>
          <t>Data Source &amp; Refresh</t>
        </is>
      </c>
      <c r="C56" s="17" t="n"/>
    </row>
    <row r="57" ht="16" customHeight="1">
      <c r="B57" s="106" t="inlineStr"/>
      <c r="C57" s="50" t="inlineStr">
        <is>
          <t>All data sourced from Financial Modeling Prep (FMP) API</t>
        </is>
      </c>
    </row>
    <row r="58" ht="16" customHeight="1">
      <c r="B58" s="106" t="inlineStr"/>
      <c r="C58" s="50" t="inlineStr">
        <is>
          <t>24-hour cache on all API responses to protect rate limits</t>
        </is>
      </c>
    </row>
    <row r="59" ht="16" customHeight="1">
      <c r="B59" s="106" t="inlineStr"/>
      <c r="C59" s="50" t="inlineStr">
        <is>
          <t>Quarterly financials: last 10 quarters of income statements</t>
        </is>
      </c>
    </row>
    <row r="60" ht="16" customHeight="1">
      <c r="B60" s="106" t="inlineStr"/>
      <c r="C60" s="50" t="inlineStr">
        <is>
          <t>Share count history: last 12 quarters of enterprise values</t>
        </is>
      </c>
    </row>
    <row r="61" ht="16" customHeight="1">
      <c r="B61" s="106" t="inlineStr"/>
      <c r="C61" s="50" t="inlineStr">
        <is>
          <t>Report generated: September 08, 2026</t>
        </is>
      </c>
    </row>
    <row r="62" ht="8" customHeight="1"/>
    <row r="63" ht="22" customHeight="1">
      <c r="B63" s="16" t="inlineStr">
        <is>
          <t>Disclaimer</t>
        </is>
      </c>
      <c r="C63" s="17" t="n"/>
    </row>
    <row r="64" ht="16" customHeight="1">
      <c r="B64" s="106" t="inlineStr"/>
      <c r="C64" s="50" t="inlineStr">
        <is>
          <t>This screener is for research and educational purposes only.</t>
        </is>
      </c>
    </row>
    <row r="65" ht="16" customHeight="1">
      <c r="B65" s="106" t="inlineStr"/>
      <c r="C65" s="50" t="inlineStr">
        <is>
          <t>It does not constitute investment advice or a recommendation to buy or sell.</t>
        </is>
      </c>
    </row>
    <row r="66" ht="16" customHeight="1">
      <c r="B66" s="106" t="inlineStr"/>
      <c r="C66" s="50" t="inlineStr">
        <is>
          <t>Past performance of reference stocks does not guarantee future results.</t>
        </is>
      </c>
    </row>
    <row r="67" ht="16" customHeight="1">
      <c r="B67" s="106" t="inlineStr"/>
      <c r="C67" s="50" t="inlineStr">
        <is>
          <t>All investments carry risk of loss. Consult a licensed financial advisor.</t>
        </is>
      </c>
    </row>
    <row r="68" ht="8" customHeight="1"/>
    <row r="70">
      <c r="B70" s="16" t="inlineStr">
        <is>
          <t>VERSION HISTORY</t>
        </is>
      </c>
      <c r="C70" s="17" t="n"/>
    </row>
    <row r="71">
      <c r="B71" s="94" t="inlineStr">
        <is>
          <t>v2.0</t>
        </is>
      </c>
      <c r="C71" s="46" t="inlineStr">
        <is>
          <t>September 08, 2026 — Institutional rebuild: openpyxl, design system, charts, data validation</t>
        </is>
      </c>
    </row>
    <row r="72">
      <c r="B72" s="66" t="inlineStr">
        <is>
          <t>v1.0</t>
        </is>
      </c>
      <c r="C72" s="50"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2026-09-08T18:19:06Z</dcterms:created>
  <dcterms:modified xsi:type="dcterms:W3CDTF">2026-09-08T18:19:06Z</dcterms:modified>
</cp:coreProperties>
</file>