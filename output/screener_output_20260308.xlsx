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Nano Cap" sheetId="2" state="visible" r:id="rId2"/>
    <sheet name="Small Cap" sheetId="3" state="visible" r:id="rId3"/>
    <sheet name="Breakout" sheetId="4" state="visible" r:id="rId4"/>
    <sheet name="Descriptions" sheetId="5" state="visible" r:id="rId5"/>
    <sheet name="Competitive Moats" sheetId="6" state="visible" r:id="rId6"/>
    <sheet name="Standouts" sheetId="7" state="visible" r:id="rId7"/>
    <sheet name="Recommendations" sheetId="8" state="visible" r:id="rId8"/>
    <sheet name="Portfolio Construction" sheetId="9" state="visible" r:id="rId9"/>
    <sheet name="Sensitivity Analysis" sheetId="10" state="visible" r:id="rId10"/>
    <sheet name="Revenue Trends" sheetId="11" state="visible" r:id="rId11"/>
    <sheet name="Fingerprint Reference" sheetId="12" state="visible" r:id="rId12"/>
    <sheet name="Methodology" sheetId="13" state="visible" r:id="rId13"/>
  </sheets>
  <definedNames>
    <definedName name="_xlnm._FilterDatabase" localSheetId="4" hidden="1">'Descriptions'!$A$4:$F$34</definedName>
    <definedName name="_xlnm._FilterDatabase" localSheetId="5" hidden="1">'Competitive Moats'!$A$4:$G$34</definedName>
  </definedNames>
  <calcPr calcId="124519" fullCalcOnLoad="1"/>
</workbook>
</file>

<file path=xl/styles.xml><?xml version="1.0" encoding="utf-8"?>
<styleSheet xmlns="http://schemas.openxmlformats.org/spreadsheetml/2006/main">
  <numFmts count="6">
    <numFmt numFmtId="164" formatCode="$#,##0"/>
    <numFmt numFmtId="165" formatCode="0.0"/>
    <numFmt numFmtId="166" formatCode="$#,##0.00"/>
    <numFmt numFmtId="167" formatCode="0.0%"/>
    <numFmt numFmtId="168" formatCode="0.0x"/>
    <numFmt numFmtId="169" formatCode="$#,##0.0"/>
  </numFmts>
  <fonts count="20">
    <font>
      <name val="Calibri"/>
      <family val="2"/>
      <color theme="1"/>
      <sz val="11"/>
      <scheme val="minor"/>
    </font>
    <font>
      <name val="Arial"/>
      <b val="1"/>
      <color rgb="00C9A84C"/>
      <sz val="18"/>
    </font>
    <font>
      <name val="Arial"/>
      <color rgb="00FFFFFF"/>
      <sz val="11"/>
    </font>
    <font>
      <name val="Arial"/>
      <color rgb="006B7280"/>
      <sz val="9"/>
    </font>
    <font>
      <name val="Arial"/>
      <color rgb="00FFFFFF"/>
      <sz val="9"/>
    </font>
    <font>
      <name val="Arial"/>
      <b val="1"/>
      <color rgb="00C9A84C"/>
      <sz val="16"/>
    </font>
    <font>
      <name val="Arial"/>
      <b val="1"/>
      <color rgb="00C9A84C"/>
      <sz val="11"/>
    </font>
    <font>
      <name val="Arial"/>
      <b val="1"/>
      <color rgb="00FFFFFF"/>
      <sz val="10"/>
    </font>
    <font>
      <name val="Arial"/>
      <b val="1"/>
      <color rgb="004FC3F7"/>
      <sz val="10"/>
    </font>
    <font>
      <name val="Arial"/>
      <color rgb="000D1B2A"/>
      <sz val="10"/>
    </font>
    <font>
      <name val="Arial"/>
      <b val="1"/>
      <color rgb="000D1B2A"/>
      <sz val="10"/>
    </font>
    <font>
      <name val="Arial"/>
      <b val="1"/>
      <color rgb="00FFFFFF"/>
      <sz val="13"/>
    </font>
    <font>
      <name val="Arial"/>
      <color rgb="000000FF"/>
      <sz val="10"/>
    </font>
    <font>
      <name val="Arial"/>
      <color rgb="00000000"/>
      <sz val="10"/>
    </font>
    <font>
      <name val="Arial"/>
      <b val="1"/>
      <color rgb="00C9A84C"/>
      <sz val="10"/>
    </font>
    <font>
      <name val="Arial"/>
      <b val="1"/>
      <color rgb="002A9D8F"/>
      <sz val="10"/>
    </font>
    <font>
      <name val="Arial"/>
      <i val="1"/>
      <color rgb="006B7280"/>
      <sz val="9"/>
    </font>
    <font>
      <name val="Arial"/>
      <b val="1"/>
      <color rgb="00FFFFFF"/>
      <sz val="11"/>
    </font>
    <font>
      <name val="Arial"/>
      <color rgb="001A6B3C"/>
      <sz val="10"/>
    </font>
    <font>
      <name val="Arial"/>
      <color rgb="00F9C74F"/>
      <sz val="10"/>
    </font>
  </fonts>
  <fills count="18">
    <fill>
      <patternFill/>
    </fill>
    <fill>
      <patternFill patternType="gray125"/>
    </fill>
    <fill>
      <patternFill patternType="solid">
        <fgColor rgb="000D1B2A"/>
      </patternFill>
    </fill>
    <fill>
      <patternFill patternType="solid">
        <fgColor rgb="001B2A3B"/>
      </patternFill>
    </fill>
    <fill>
      <patternFill patternType="solid">
        <fgColor rgb="002E3B4E"/>
      </patternFill>
    </fill>
    <fill>
      <patternFill patternType="solid">
        <fgColor rgb="00F7F9FC"/>
      </patternFill>
    </fill>
    <fill>
      <patternFill patternType="solid">
        <fgColor rgb="001A6B3C"/>
      </patternFill>
    </fill>
    <fill>
      <patternFill patternType="solid">
        <fgColor rgb="002A9D8F"/>
      </patternFill>
    </fill>
    <fill>
      <patternFill patternType="solid">
        <fgColor rgb="00FFFFFF"/>
      </patternFill>
    </fill>
    <fill>
      <patternFill patternType="solid">
        <fgColor rgb="004FC3F7"/>
      </patternFill>
    </fill>
    <fill>
      <patternFill patternType="solid">
        <fgColor rgb="00F9C74F"/>
      </patternFill>
    </fill>
    <fill>
      <patternFill patternType="solid">
        <fgColor rgb="00E0F0ED"/>
      </patternFill>
    </fill>
    <fill>
      <patternFill patternType="solid">
        <fgColor rgb="00EDE8F0"/>
      </patternFill>
    </fill>
    <fill>
      <patternFill patternType="solid">
        <fgColor rgb="00FFF8E1"/>
      </patternFill>
    </fill>
    <fill>
      <patternFill patternType="solid">
        <fgColor rgb="00E8EDF2"/>
      </patternFill>
    </fill>
    <fill>
      <patternFill patternType="solid">
        <fgColor rgb="00F4E4B0"/>
      </patternFill>
    </fill>
    <fill>
      <patternFill patternType="solid">
        <fgColor rgb="00E8F5E9"/>
      </patternFill>
    </fill>
    <fill>
      <patternFill patternType="solid">
        <fgColor rgb="00FBE9E7"/>
      </patternFill>
    </fill>
  </fills>
  <borders count="19">
    <border>
      <left/>
      <right/>
      <top/>
      <bottom/>
      <diagonal/>
    </border>
    <border>
      <left style="medium">
        <color rgb="000D1B2A"/>
      </left>
      <right style="medium">
        <color rgb="000D1B2A"/>
      </right>
      <top style="medium">
        <color rgb="000D1B2A"/>
      </top>
      <bottom style="medium">
        <color rgb="000D1B2A"/>
      </bottom>
    </border>
    <border>
      <left/>
      <right/>
      <top style="medium">
        <color rgb="000D1B2A"/>
      </top>
      <bottom/>
      <diagonal/>
    </border>
    <border>
      <left style="medium">
        <color rgb="000D1B2A"/>
      </left>
      <right/>
      <top/>
      <bottom/>
      <diagonal/>
    </border>
    <border>
      <left/>
      <right style="medium">
        <color rgb="000D1B2A"/>
      </right>
      <top style="medium">
        <color rgb="000D1B2A"/>
      </top>
      <bottom/>
      <diagonal/>
    </border>
    <border>
      <left/>
      <right style="medium">
        <color rgb="000D1B2A"/>
      </right>
      <top/>
      <bottom/>
      <diagonal/>
    </border>
    <border>
      <left style="medium">
        <color rgb="000D1B2A"/>
      </left>
      <right/>
      <top/>
      <bottom style="medium">
        <color rgb="000D1B2A"/>
      </bottom>
      <diagonal/>
    </border>
    <border>
      <left/>
      <right/>
      <top/>
      <bottom style="medium">
        <color rgb="000D1B2A"/>
      </bottom>
      <diagonal/>
    </border>
    <border>
      <left/>
      <right style="medium">
        <color rgb="000D1B2A"/>
      </right>
      <top/>
      <bottom style="medium">
        <color rgb="000D1B2A"/>
      </bottom>
      <diagonal/>
    </border>
    <border>
      <left/>
      <right/>
      <top style="medium">
        <color rgb="000D1B2A"/>
      </top>
      <bottom style="medium">
        <color rgb="000D1B2A"/>
      </bottom>
      <diagonal/>
    </border>
    <border>
      <left/>
      <right style="medium">
        <color rgb="000D1B2A"/>
      </right>
      <top style="medium">
        <color rgb="000D1B2A"/>
      </top>
      <bottom style="medium">
        <color rgb="000D1B2A"/>
      </bottom>
      <diagonal/>
    </border>
    <border>
      <top style="medium">
        <color rgb="00C9A84C"/>
      </top>
    </border>
    <border>
      <bottom style="medium">
        <color rgb="00C9A84C"/>
      </bottom>
    </border>
    <border>
      <left style="thin">
        <color rgb="002E3B4E"/>
      </left>
      <right style="thin">
        <color rgb="002E3B4E"/>
      </right>
      <top style="thin">
        <color rgb="002E3B4E"/>
      </top>
      <bottom style="thin">
        <color rgb="002E3B4E"/>
      </bottom>
    </border>
    <border>
      <left style="medium">
        <color rgb="00C9A84C"/>
      </left>
      <bottom style="medium">
        <color rgb="00C9A84C"/>
      </bottom>
    </border>
    <border>
      <right style="medium">
        <color rgb="00C9A84C"/>
      </right>
      <bottom style="medium">
        <color rgb="00C9A84C"/>
      </bottom>
    </border>
    <border>
      <left style="medium">
        <color rgb="00C9A84C"/>
      </left>
      <right style="thin">
        <color rgb="002E3B4E"/>
      </right>
      <top style="thin">
        <color rgb="002E3B4E"/>
      </top>
      <bottom style="thin">
        <color rgb="002E3B4E"/>
      </bottom>
    </border>
    <border>
      <left style="thin">
        <color rgb="002E3B4E"/>
      </left>
      <right style="medium">
        <color rgb="00C9A84C"/>
      </right>
      <top style="thin">
        <color rgb="002E3B4E"/>
      </top>
      <bottom style="thin">
        <color rgb="002E3B4E"/>
      </bottom>
    </border>
    <border>
      <left style="medium">
        <color rgb="00C9A84C"/>
      </left>
      <right style="medium">
        <color rgb="00C9A84C"/>
      </right>
      <top style="medium">
        <color rgb="00C9A84C"/>
      </top>
      <bottom style="medium">
        <color rgb="00C9A84C"/>
      </bottom>
    </border>
  </borders>
  <cellStyleXfs count="1">
    <xf numFmtId="0" fontId="0" fillId="0" borderId="0"/>
  </cellStyleXfs>
  <cellXfs count="103">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center" wrapText="1"/>
    </xf>
    <xf numFmtId="0" fontId="0" fillId="0" borderId="9" pivotButton="0" quotePrefix="0" xfId="0"/>
    <xf numFmtId="0" fontId="0" fillId="0" borderId="10" pivotButton="0" quotePrefix="0" xfId="0"/>
    <xf numFmtId="0" fontId="3" fillId="2" borderId="1" applyAlignment="1" pivotButton="0" quotePrefix="0" xfId="0">
      <alignment horizontal="right" vertical="center"/>
    </xf>
    <xf numFmtId="0" fontId="0" fillId="2" borderId="1" pivotButton="0" quotePrefix="0" xfId="0"/>
    <xf numFmtId="0" fontId="0" fillId="2" borderId="0" pivotButton="0" quotePrefix="0" xfId="0"/>
    <xf numFmtId="0" fontId="0" fillId="2" borderId="11"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2" applyAlignment="1" pivotButton="0" quotePrefix="0" xfId="0">
      <alignment horizontal="left" vertical="center" wrapText="1"/>
    </xf>
    <xf numFmtId="0" fontId="0" fillId="3" borderId="12" pivotButton="0" quotePrefix="0" xfId="0"/>
    <xf numFmtId="0" fontId="7" fillId="4" borderId="13" applyAlignment="1" pivotButton="0" quotePrefix="0" xfId="0">
      <alignment horizontal="center" vertical="center" wrapText="1"/>
    </xf>
    <xf numFmtId="0" fontId="8" fillId="5" borderId="13" applyAlignment="1" pivotButton="0" quotePrefix="0" xfId="0">
      <alignment horizontal="center" vertical="center" wrapText="1"/>
    </xf>
    <xf numFmtId="0" fontId="9" fillId="5" borderId="13" applyAlignment="1" pivotButton="0" quotePrefix="0" xfId="0">
      <alignment horizontal="left" vertical="center" wrapText="1"/>
    </xf>
    <xf numFmtId="164" fontId="9" fillId="5" borderId="13" applyAlignment="1" pivotButton="0" quotePrefix="0" xfId="0">
      <alignment horizontal="center" vertical="center" wrapText="1"/>
    </xf>
    <xf numFmtId="165" fontId="7" fillId="6" borderId="13" applyAlignment="1" pivotButton="0" quotePrefix="0" xfId="0">
      <alignment horizontal="center" vertical="center" wrapText="1"/>
    </xf>
    <xf numFmtId="0" fontId="7" fillId="7" borderId="13" applyAlignment="1" pivotButton="0" quotePrefix="0" xfId="0">
      <alignment horizontal="center" vertical="center" wrapText="1"/>
    </xf>
    <xf numFmtId="0" fontId="10" fillId="9" borderId="13" applyAlignment="1" pivotButton="0" quotePrefix="0" xfId="0">
      <alignment horizontal="center" vertical="center" wrapText="1"/>
    </xf>
    <xf numFmtId="0" fontId="8" fillId="8" borderId="13" applyAlignment="1" pivotButton="0" quotePrefix="0" xfId="0">
      <alignment horizontal="center" vertical="center" wrapText="1"/>
    </xf>
    <xf numFmtId="0" fontId="9" fillId="8" borderId="13" applyAlignment="1" pivotButton="0" quotePrefix="0" xfId="0">
      <alignment horizontal="left" vertical="center" wrapText="1"/>
    </xf>
    <xf numFmtId="164" fontId="9" fillId="8" borderId="13" applyAlignment="1" pivotButton="0" quotePrefix="0" xfId="0">
      <alignment horizontal="center" vertical="center" wrapText="1"/>
    </xf>
    <xf numFmtId="165" fontId="10" fillId="10" borderId="13" applyAlignment="1" pivotButton="0" quotePrefix="0" xfId="0">
      <alignment horizontal="center" vertical="center" wrapText="1"/>
    </xf>
    <xf numFmtId="0" fontId="9" fillId="0" borderId="0" pivotButton="0" quotePrefix="0" xfId="0"/>
    <xf numFmtId="0" fontId="11"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7" fillId="2" borderId="13" applyAlignment="1" pivotButton="0" quotePrefix="0" xfId="0">
      <alignment horizontal="center" vertical="center" wrapText="1"/>
    </xf>
    <xf numFmtId="166" fontId="9" fillId="5" borderId="13" applyAlignment="1" pivotButton="0" quotePrefix="0" xfId="0">
      <alignment horizontal="center" vertical="center" wrapText="1"/>
    </xf>
    <xf numFmtId="167" fontId="9" fillId="5" borderId="13" applyAlignment="1" pivotButton="0" quotePrefix="0" xfId="0">
      <alignment horizontal="center" vertical="center" wrapText="1"/>
    </xf>
    <xf numFmtId="165" fontId="9" fillId="5" borderId="13" applyAlignment="1" pivotButton="0" quotePrefix="0" xfId="0">
      <alignment horizontal="center" vertical="center" wrapText="1"/>
    </xf>
    <xf numFmtId="165" fontId="10" fillId="5" borderId="13" applyAlignment="1" pivotButton="0" quotePrefix="0" xfId="0">
      <alignment horizontal="center" vertical="center" wrapText="1"/>
    </xf>
    <xf numFmtId="166" fontId="9" fillId="8" borderId="13" applyAlignment="1" pivotButton="0" quotePrefix="0" xfId="0">
      <alignment horizontal="center" vertical="center" wrapText="1"/>
    </xf>
    <xf numFmtId="167" fontId="9" fillId="8" borderId="13" applyAlignment="1" pivotButton="0" quotePrefix="0" xfId="0">
      <alignment horizontal="center" vertical="center" wrapText="1"/>
    </xf>
    <xf numFmtId="165" fontId="9" fillId="8" borderId="13" applyAlignment="1" pivotButton="0" quotePrefix="0" xfId="0">
      <alignment horizontal="center" vertical="center" wrapText="1"/>
    </xf>
    <xf numFmtId="165" fontId="10" fillId="8" borderId="13" applyAlignment="1" pivotButton="0" quotePrefix="0" xfId="0">
      <alignment horizontal="center" vertical="center" wrapText="1"/>
    </xf>
    <xf numFmtId="0" fontId="9" fillId="11" borderId="13" applyAlignment="1" pivotButton="0" quotePrefix="0" xfId="0">
      <alignment horizontal="left" vertical="center" wrapText="1"/>
    </xf>
    <xf numFmtId="0" fontId="9" fillId="5" borderId="13" applyAlignment="1" pivotButton="0" quotePrefix="0" xfId="0">
      <alignment horizontal="center" vertical="center" wrapText="1"/>
    </xf>
    <xf numFmtId="0" fontId="9" fillId="5" borderId="13" applyAlignment="1" pivotButton="0" quotePrefix="0" xfId="0">
      <alignment horizontal="left" vertical="top" wrapText="1"/>
    </xf>
    <xf numFmtId="0" fontId="9" fillId="12" borderId="13" applyAlignment="1" pivotButton="0" quotePrefix="0" xfId="0">
      <alignment horizontal="left" vertical="center" wrapText="1"/>
    </xf>
    <xf numFmtId="0" fontId="9" fillId="8" borderId="13" applyAlignment="1" pivotButton="0" quotePrefix="0" xfId="0">
      <alignment horizontal="center" vertical="center" wrapText="1"/>
    </xf>
    <xf numFmtId="0" fontId="9" fillId="8" borderId="13" applyAlignment="1" pivotButton="0" quotePrefix="0" xfId="0">
      <alignment horizontal="left" vertical="top" wrapText="1"/>
    </xf>
    <xf numFmtId="0" fontId="9" fillId="13" borderId="13" applyAlignment="1" pivotButton="0" quotePrefix="0" xfId="0">
      <alignment horizontal="left" vertical="center" wrapText="1"/>
    </xf>
    <xf numFmtId="0" fontId="9" fillId="14" borderId="13" applyAlignment="1" pivotButton="0" quotePrefix="0" xfId="0">
      <alignment horizontal="left" vertical="center" wrapText="1"/>
    </xf>
    <xf numFmtId="0" fontId="6" fillId="3" borderId="14" applyAlignment="1" pivotButton="0" quotePrefix="0" xfId="0">
      <alignment horizontal="left" vertical="center" wrapText="1"/>
    </xf>
    <xf numFmtId="0" fontId="0" fillId="3" borderId="15" pivotButton="0" quotePrefix="0" xfId="0"/>
    <xf numFmtId="0" fontId="7" fillId="4" borderId="16" applyAlignment="1" pivotButton="0" quotePrefix="0" xfId="0">
      <alignment horizontal="center" vertical="center" wrapText="1"/>
    </xf>
    <xf numFmtId="0" fontId="7" fillId="4" borderId="17" applyAlignment="1" pivotButton="0" quotePrefix="0" xfId="0">
      <alignment horizontal="center" vertical="center" wrapText="1"/>
    </xf>
    <xf numFmtId="0" fontId="9" fillId="5" borderId="16" applyAlignment="1" pivotButton="0" quotePrefix="0" xfId="0">
      <alignment horizontal="center" vertical="center" wrapText="1"/>
    </xf>
    <xf numFmtId="165" fontId="9" fillId="5" borderId="17" applyAlignment="1" pivotButton="0" quotePrefix="0" xfId="0">
      <alignment horizontal="center" vertical="center" wrapText="1"/>
    </xf>
    <xf numFmtId="0" fontId="9" fillId="8" borderId="16" applyAlignment="1" pivotButton="0" quotePrefix="0" xfId="0">
      <alignment horizontal="center" vertical="center" wrapText="1"/>
    </xf>
    <xf numFmtId="165" fontId="9" fillId="8" borderId="17" applyAlignment="1" pivotButton="0" quotePrefix="0" xfId="0">
      <alignment horizontal="center" vertical="center" wrapText="1"/>
    </xf>
    <xf numFmtId="0" fontId="3" fillId="0" borderId="0" applyAlignment="1" pivotButton="0" quotePrefix="0" xfId="0">
      <alignment horizontal="right" vertical="center"/>
    </xf>
    <xf numFmtId="0" fontId="12" fillId="15" borderId="18" applyAlignment="1" pivotButton="0" quotePrefix="0" xfId="0">
      <alignment horizontal="center" vertical="center" wrapText="1"/>
    </xf>
    <xf numFmtId="0" fontId="9" fillId="16" borderId="13" applyAlignment="1" pivotButton="0" quotePrefix="0" xfId="0">
      <alignment horizontal="left" vertical="top" wrapText="1"/>
    </xf>
    <xf numFmtId="0" fontId="9" fillId="17" borderId="13" applyAlignment="1" pivotButton="0" quotePrefix="0" xfId="0">
      <alignment horizontal="left" vertical="top" wrapText="1"/>
    </xf>
    <xf numFmtId="0" fontId="10" fillId="8" borderId="13" applyAlignment="1" pivotButton="0" quotePrefix="0" xfId="0">
      <alignment horizontal="left" vertical="center" wrapText="1"/>
    </xf>
    <xf numFmtId="164" fontId="12" fillId="15" borderId="18" applyAlignment="1" pivotButton="0" quotePrefix="0" xfId="0">
      <alignment horizontal="center" vertical="center" wrapText="1"/>
    </xf>
    <xf numFmtId="0" fontId="3" fillId="0" borderId="0" applyAlignment="1" pivotButton="0" quotePrefix="0" xfId="0">
      <alignment horizontal="left" vertical="center" wrapText="1"/>
    </xf>
    <xf numFmtId="167" fontId="12" fillId="15" borderId="18" applyAlignment="1" pivotButton="0" quotePrefix="0" xfId="0">
      <alignment horizontal="center" vertical="center" wrapText="1"/>
    </xf>
    <xf numFmtId="168" fontId="12" fillId="15" borderId="18" applyAlignment="1" pivotButton="0" quotePrefix="0" xfId="0">
      <alignment horizontal="center" vertical="center" wrapText="1"/>
    </xf>
    <xf numFmtId="167" fontId="13" fillId="5" borderId="13" applyAlignment="1" pivotButton="0" quotePrefix="0" xfId="0">
      <alignment horizontal="center" vertical="center" wrapText="1"/>
    </xf>
    <xf numFmtId="164" fontId="13" fillId="5" borderId="13" applyAlignment="1" pivotButton="0" quotePrefix="0" xfId="0">
      <alignment horizontal="center" vertical="center" wrapText="1"/>
    </xf>
    <xf numFmtId="3" fontId="9" fillId="5" borderId="13" applyAlignment="1" pivotButton="0" quotePrefix="0" xfId="0">
      <alignment horizontal="center" vertical="center" wrapText="1"/>
    </xf>
    <xf numFmtId="0" fontId="3" fillId="5" borderId="13" applyAlignment="1" pivotButton="0" quotePrefix="0" xfId="0">
      <alignment horizontal="left" vertical="center" wrapText="1"/>
    </xf>
    <xf numFmtId="167" fontId="13" fillId="8" borderId="13" applyAlignment="1" pivotButton="0" quotePrefix="0" xfId="0">
      <alignment horizontal="center" vertical="center" wrapText="1"/>
    </xf>
    <xf numFmtId="164" fontId="13" fillId="8" borderId="13" applyAlignment="1" pivotButton="0" quotePrefix="0" xfId="0">
      <alignment horizontal="center" vertical="center" wrapText="1"/>
    </xf>
    <xf numFmtId="3" fontId="9" fillId="8" borderId="13" applyAlignment="1" pivotButton="0" quotePrefix="0" xfId="0">
      <alignment horizontal="center" vertical="center" wrapText="1"/>
    </xf>
    <xf numFmtId="0" fontId="3" fillId="8" borderId="13" applyAlignment="1" pivotButton="0" quotePrefix="0" xfId="0">
      <alignment horizontal="left" vertical="center" wrapText="1"/>
    </xf>
    <xf numFmtId="0" fontId="10" fillId="3" borderId="13" applyAlignment="1" pivotButton="0" quotePrefix="0" xfId="0">
      <alignment horizontal="left" vertical="center" wrapText="1"/>
    </xf>
    <xf numFmtId="0" fontId="0" fillId="3" borderId="13" pivotButton="0" quotePrefix="0" xfId="0"/>
    <xf numFmtId="167" fontId="14" fillId="3" borderId="13" applyAlignment="1" pivotButton="0" quotePrefix="0" xfId="0">
      <alignment horizontal="center" vertical="center" wrapText="1"/>
    </xf>
    <xf numFmtId="164" fontId="14" fillId="3" borderId="13" applyAlignment="1" pivotButton="0" quotePrefix="0" xfId="0">
      <alignment horizontal="center" vertical="center" wrapText="1"/>
    </xf>
    <xf numFmtId="167" fontId="15" fillId="3" borderId="13" applyAlignment="1" pivotButton="0" quotePrefix="0" xfId="0">
      <alignment horizontal="center" vertical="center" wrapText="1"/>
    </xf>
    <xf numFmtId="164" fontId="15" fillId="3" borderId="13" applyAlignment="1" pivotButton="0" quotePrefix="0" xfId="0">
      <alignment horizontal="center" vertical="center" wrapText="1"/>
    </xf>
    <xf numFmtId="164" fontId="9" fillId="15" borderId="13" applyAlignment="1" pivotButton="0" quotePrefix="0" xfId="0">
      <alignment horizontal="center" vertical="center" wrapText="1"/>
    </xf>
    <xf numFmtId="0" fontId="10" fillId="0" borderId="0" applyAlignment="1" pivotButton="0" quotePrefix="0" xfId="0">
      <alignment horizontal="right" vertical="center"/>
    </xf>
    <xf numFmtId="2" fontId="13" fillId="15" borderId="13" applyAlignment="1" pivotButton="0" quotePrefix="0" xfId="0">
      <alignment horizontal="center" vertical="center" wrapText="1"/>
    </xf>
    <xf numFmtId="2" fontId="13" fillId="5" borderId="13" applyAlignment="1" pivotButton="0" quotePrefix="0" xfId="0">
      <alignment horizontal="center" vertical="center" wrapText="1"/>
    </xf>
    <xf numFmtId="2" fontId="12" fillId="15" borderId="13" applyAlignment="1" pivotButton="0" quotePrefix="0" xfId="0">
      <alignment horizontal="center" vertical="center" wrapText="1"/>
    </xf>
    <xf numFmtId="0" fontId="10" fillId="15" borderId="13" applyAlignment="1" pivotButton="0" quotePrefix="0" xfId="0">
      <alignment horizontal="center" vertical="center" wrapText="1"/>
    </xf>
    <xf numFmtId="0" fontId="16" fillId="0" borderId="0" applyAlignment="1" pivotButton="0" quotePrefix="0" xfId="0">
      <alignment horizontal="left" vertical="center" wrapText="1"/>
    </xf>
    <xf numFmtId="2" fontId="9" fillId="5" borderId="13" applyAlignment="1" pivotButton="0" quotePrefix="0" xfId="0">
      <alignment horizontal="center" vertical="center" wrapText="1"/>
    </xf>
    <xf numFmtId="2" fontId="9" fillId="8" borderId="13" applyAlignment="1" pivotButton="0" quotePrefix="0" xfId="0">
      <alignment horizontal="center" vertical="center" wrapText="1"/>
    </xf>
    <xf numFmtId="0" fontId="10" fillId="5" borderId="13" applyAlignment="1" pivotButton="0" quotePrefix="0" xfId="0">
      <alignment horizontal="left" vertical="center" wrapText="1"/>
    </xf>
    <xf numFmtId="0" fontId="3" fillId="5" borderId="13" applyAlignment="1" pivotButton="0" quotePrefix="0" xfId="0">
      <alignment horizontal="center" vertical="center" wrapText="1"/>
    </xf>
    <xf numFmtId="0" fontId="0" fillId="5" borderId="13" pivotButton="0" quotePrefix="0" xfId="0"/>
    <xf numFmtId="0" fontId="9" fillId="0" borderId="13" pivotButton="0" quotePrefix="0" xfId="0"/>
    <xf numFmtId="169" fontId="12" fillId="8" borderId="13" applyAlignment="1" pivotButton="0" quotePrefix="0" xfId="0">
      <alignment horizontal="center" vertical="center" wrapText="1"/>
    </xf>
    <xf numFmtId="0" fontId="17" fillId="3" borderId="16" applyAlignment="1" pivotButton="0" quotePrefix="0" xfId="0">
      <alignment horizontal="left" vertical="center" wrapText="1"/>
    </xf>
    <xf numFmtId="0" fontId="0" fillId="3" borderId="17" pivotButton="0" quotePrefix="0" xfId="0"/>
    <xf numFmtId="0" fontId="15" fillId="5" borderId="16" applyAlignment="1" pivotButton="0" quotePrefix="0" xfId="0">
      <alignment horizontal="left" vertical="center" wrapText="1"/>
    </xf>
    <xf numFmtId="0" fontId="0" fillId="5" borderId="17" pivotButton="0" quotePrefix="0" xfId="0"/>
    <xf numFmtId="0" fontId="3" fillId="5" borderId="16" applyAlignment="1" pivotButton="0" quotePrefix="0" xfId="0">
      <alignment horizontal="left" vertical="center" wrapText="1"/>
    </xf>
    <xf numFmtId="0" fontId="16" fillId="5" borderId="16" applyAlignment="1" pivotButton="0" quotePrefix="0" xfId="0">
      <alignment horizontal="left" vertical="center" wrapText="1"/>
    </xf>
    <xf numFmtId="0" fontId="18" fillId="16" borderId="13" applyAlignment="1" pivotButton="0" quotePrefix="0" xfId="0">
      <alignment horizontal="center" vertical="center" wrapText="1"/>
    </xf>
    <xf numFmtId="0" fontId="19" fillId="13" borderId="13" applyAlignment="1" pivotButton="0" quotePrefix="0" xfId="0">
      <alignment horizontal="center" vertical="center" wrapText="1"/>
    </xf>
    <xf numFmtId="0" fontId="9" fillId="8" borderId="13" pivotButton="0" quotePrefix="0" xfId="0"/>
  </cellXfs>
  <cellStyles count="1">
    <cellStyle name="Normal" xfId="0" builtinId="0" hidden="0"/>
  </cellStyles>
  <dxfs count="1">
    <dxf>
      <fill>
        <patternFill patternType="solid">
          <fgColor rgb="00E76F5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style val="10"/>
  <chart>
    <plotArea>
      <barChart>
        <barDir val="col"/>
        <grouping val="clustered"/>
        <ser>
          <idx val="0"/>
          <order val="0"/>
          <tx>
            <strRef>
              <f>'Dashboard'!B40</f>
            </strRef>
          </tx>
          <spPr>
            <a:solidFill>
              <a:srgbClr val="C9A84C"/>
            </a:solidFill>
            <a:ln>
              <a:prstDash val="solid"/>
            </a:ln>
          </spPr>
          <cat>
            <numRef>
              <f>'Dashboard'!$A$41:$A$50</f>
            </numRef>
          </cat>
          <val>
            <numRef>
              <f>'Dashboard'!$B$41:$B$50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a:p>
                <a:pPr>
                  <a:defRPr/>
                </a:pPr>
                <a:r>
                  <a:t>Combined Score</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'Nano Cap'!$B$61:$B$70</f>
            </numRef>
          </xVal>
          <yVal>
            <numRef>
              <f>'Nano Cap'!$C$61:$C$70</f>
            </numRef>
          </yVal>
          <bubbleSize>
            <numRef>
              <f>'Nano Cap'!$D$61:$D$70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'Small Cap'!$B$61:$B$70</f>
            </numRef>
          </xVal>
          <yVal>
            <numRef>
              <f>'Small Cap'!$C$61:$C$70</f>
            </numRef>
          </yVal>
          <bubbleSize>
            <numRef>
              <f>'Small Cap'!$D$61:$D$70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Growth vs Margin (bubble = market cap)</a:t>
            </a:r>
          </a:p>
        </rich>
      </tx>
    </title>
    <plotArea>
      <bubbleChart>
        <ser>
          <idx val="0"/>
          <order val="0"/>
          <tx>
            <v>Stocks</v>
          </tx>
          <spPr>
            <a:solidFill>
              <a:srgbClr val="C9A84C"/>
            </a:solidFill>
            <a:ln>
              <a:prstDash val="solid"/>
            </a:ln>
          </spPr>
          <xVal>
            <numRef>
              <f>'Breakout'!$B$61:$B$70</f>
            </numRef>
          </xVal>
          <yVal>
            <numRef>
              <f>'Breakout'!$C$61:$C$70</f>
            </numRef>
          </yVal>
          <bubbleSize>
            <numRef>
              <f>'Breakout'!$D$61:$D$70</f>
            </numRef>
          </bubbleSize>
        </ser>
        <axId val="10"/>
        <axId val="20"/>
      </bubbleChart>
      <valAx>
        <axId val="10"/>
        <scaling>
          <orientation val="minMax"/>
        </scaling>
        <axPos val="l"/>
        <majorGridlines/>
        <title>
          <tx>
            <rich>
              <a:bodyPr/>
              <a:p>
                <a:pPr>
                  <a:defRPr/>
                </a:pPr>
                <a:r>
                  <a:t>Gross Margin %</a:t>
                </a:r>
              </a:p>
            </rich>
          </tx>
        </title>
        <majorTickMark val="none"/>
        <minorTickMark val="none"/>
        <crossAx val="20"/>
      </valAx>
      <valAx>
        <axId val="20"/>
        <scaling>
          <orientation val="minMax"/>
        </scaling>
        <axPos val="l"/>
        <majorGridlines/>
        <title>
          <tx>
            <rich>
              <a:bodyPr/>
              <a:p>
                <a:pPr>
                  <a:defRPr/>
                </a:pPr>
                <a:r>
                  <a:t>Revenue Growth %</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Conviction Distribution by Tier</a:t>
            </a:r>
          </a:p>
        </rich>
      </tx>
    </title>
    <plotArea>
      <barChart>
        <barDir val="bar"/>
        <grouping val="stacked"/>
        <ser>
          <idx val="0"/>
          <order val="0"/>
          <tx>
            <strRef>
              <f>'Recommendations'!B39</f>
            </strRef>
          </tx>
          <spPr>
            <a:solidFill>
              <a:srgbClr val="2A9D8F"/>
            </a:solidFill>
            <a:ln>
              <a:prstDash val="solid"/>
            </a:ln>
          </spPr>
          <cat>
            <numRef>
              <f>'Recommendations'!$A$40:$A$42</f>
            </numRef>
          </cat>
          <val>
            <numRef>
              <f>'Recommendations'!$B$40:$B$42</f>
            </numRef>
          </val>
        </ser>
        <ser>
          <idx val="1"/>
          <order val="1"/>
          <tx>
            <strRef>
              <f>'Recommendations'!C39</f>
            </strRef>
          </tx>
          <spPr>
            <a:solidFill>
              <a:srgbClr val="4FC3F7"/>
            </a:solidFill>
            <a:ln>
              <a:prstDash val="solid"/>
            </a:ln>
          </spPr>
          <cat>
            <numRef>
              <f>'Recommendations'!$A$40:$A$42</f>
            </numRef>
          </cat>
          <val>
            <numRef>
              <f>'Recommendations'!$C$40:$C$42</f>
            </numRef>
          </val>
        </ser>
        <ser>
          <idx val="2"/>
          <order val="2"/>
          <tx>
            <strRef>
              <f>'Recommendations'!D39</f>
            </strRef>
          </tx>
          <spPr>
            <a:solidFill>
              <a:srgbClr val="C9A84C"/>
            </a:solidFill>
            <a:ln>
              <a:prstDash val="solid"/>
            </a:ln>
          </spPr>
          <cat>
            <numRef>
              <f>'Recommendations'!$A$40:$A$42</f>
            </numRef>
          </cat>
          <val>
            <numRef>
              <f>'Recommendations'!$D$40:$D$42</f>
            </numRef>
          </val>
        </ser>
        <ser>
          <idx val="3"/>
          <order val="3"/>
          <tx>
            <strRef>
              <f>'Recommendations'!E39</f>
            </strRef>
          </tx>
          <spPr>
            <a:solidFill>
              <a:srgbClr val="E76F51"/>
            </a:solidFill>
            <a:ln>
              <a:prstDash val="solid"/>
            </a:ln>
          </spPr>
          <cat>
            <numRef>
              <f>'Recommendations'!$A$40:$A$42</f>
            </numRef>
          </cat>
          <val>
            <numRef>
              <f>'Recommendations'!$E$40:$E$42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Allocation by Tier</a:t>
            </a:r>
          </a:p>
        </rich>
      </tx>
    </title>
    <plotArea>
      <doughnutChart>
        <varyColors val="1"/>
        <ser>
          <idx val="0"/>
          <order val="0"/>
          <tx>
            <strRef>
              <f>'Portfolio Construction'!M49</f>
            </strRef>
          </tx>
          <spPr>
            <a:ln>
              <a:prstDash val="solid"/>
            </a:ln>
          </spPr>
          <cat>
            <numRef>
              <f>'Portfolio Construction'!$L$50:$L$53</f>
            </numRef>
          </cat>
          <val>
            <numRef>
              <f>'Portfolio Construction'!$M$50:$M$53</f>
            </numRef>
          </val>
        </ser>
        <firstSliceAng val="0"/>
        <holeSize val="10"/>
      </doughnutChart>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Score Impact — SODI</a:t>
            </a:r>
          </a:p>
        </rich>
      </tx>
    </title>
    <plotArea>
      <barChart>
        <barDir val="bar"/>
        <grouping val="clustered"/>
        <ser>
          <idx val="0"/>
          <order val="0"/>
          <spPr>
            <a:solidFill>
              <a:srgbClr val="E76F51"/>
            </a:solidFill>
            <a:ln>
              <a:prstDash val="solid"/>
            </a:ln>
          </spPr>
          <cat>
            <numRef>
              <f>'Sensitivity Analysis'!$B$51:$B$55</f>
            </numRef>
          </cat>
          <val>
            <numRef>
              <f>'Sensitivity Analysis'!$C$51:$C$55</f>
            </numRef>
          </val>
        </ser>
        <ser>
          <idx val="1"/>
          <order val="1"/>
          <spPr>
            <a:solidFill>
              <a:srgbClr val="2A9D8F"/>
            </a:solidFill>
            <a:ln>
              <a:prstDash val="solid"/>
            </a:ln>
          </spPr>
          <cat>
            <numRef>
              <f>'Sensitivity Analysis'!$B$51:$B$55</f>
            </numRef>
          </cat>
          <val>
            <numRef>
              <f>'Sensitivity Analysis'!$D$51:$D$55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26"/>
  <chart>
    <title>
      <tx>
        <rich>
          <a:bodyPr/>
          <a:p>
            <a:pPr>
              <a:defRPr/>
            </a:pPr>
            <a:r>
              <a:t>Reference Stock Comparison</a:t>
            </a:r>
          </a:p>
        </rich>
      </tx>
    </title>
    <plotArea>
      <radarChart>
        <radarStyle val="standard"/>
        <ser>
          <idx val="0"/>
          <order val="0"/>
          <tx>
            <strRef>
              <f>'Fingerprint Reference'!B35</f>
            </strRef>
          </tx>
          <spPr>
            <a:ln>
              <a:solidFill>
                <a:srgbClr val="C9A84C"/>
              </a:solidFill>
              <a:prstDash val="solid"/>
            </a:ln>
          </spPr>
          <marker>
            <symbol val="none"/>
            <spPr>
              <a:ln>
                <a:prstDash val="solid"/>
              </a:ln>
            </spPr>
          </marker>
          <cat>
            <numRef>
              <f>'Fingerprint Reference'!$A$36:$A$40</f>
            </numRef>
          </cat>
          <val>
            <numRef>
              <f>'Fingerprint Reference'!$B$36:$B$40</f>
            </numRef>
          </val>
        </ser>
        <ser>
          <idx val="1"/>
          <order val="1"/>
          <tx>
            <strRef>
              <f>'Fingerprint Reference'!C35</f>
            </strRef>
          </tx>
          <spPr>
            <a:ln>
              <a:solidFill>
                <a:srgbClr val="2A9D8F"/>
              </a:solidFill>
              <a:prstDash val="solid"/>
            </a:ln>
          </spPr>
          <marker>
            <symbol val="none"/>
            <spPr>
              <a:ln>
                <a:prstDash val="solid"/>
              </a:ln>
            </spPr>
          </marker>
          <cat>
            <numRef>
              <f>'Fingerprint Reference'!$A$36:$A$40</f>
            </numRef>
          </cat>
          <val>
            <numRef>
              <f>'Fingerprint Reference'!$C$36:$C$40</f>
            </numRef>
          </val>
        </ser>
        <ser>
          <idx val="2"/>
          <order val="2"/>
          <tx>
            <strRef>
              <f>'Fingerprint Reference'!D35</f>
            </strRef>
          </tx>
          <spPr>
            <a:ln>
              <a:solidFill>
                <a:srgbClr val="E76F51"/>
              </a:solidFill>
              <a:prstDash val="solid"/>
            </a:ln>
          </spPr>
          <marker>
            <symbol val="none"/>
            <spPr>
              <a:ln>
                <a:prstDash val="solid"/>
              </a:ln>
            </spPr>
          </marker>
          <cat>
            <numRef>
              <f>'Fingerprint Reference'!$A$36:$A$40</f>
            </numRef>
          </cat>
          <val>
            <numRef>
              <f>'Fingerprint Reference'!$D$36:$D$40</f>
            </numRef>
          </val>
        </ser>
        <ser>
          <idx val="3"/>
          <order val="3"/>
          <tx>
            <strRef>
              <f>'Fingerprint Reference'!E35</f>
            </strRef>
          </tx>
          <spPr>
            <a:ln>
              <a:solidFill>
                <a:srgbClr val="4FC3F7"/>
              </a:solidFill>
              <a:prstDash val="solid"/>
            </a:ln>
          </spPr>
          <marker>
            <symbol val="none"/>
            <spPr>
              <a:ln>
                <a:prstDash val="solid"/>
              </a:ln>
            </spPr>
          </marker>
          <cat>
            <numRef>
              <f>'Fingerprint Reference'!$A$36:$A$40</f>
            </numRef>
          </cat>
          <val>
            <numRef>
              <f>'Fingerprint Reference'!$E$36:$E$40</f>
            </numRef>
          </val>
        </ser>
        <ser>
          <idx val="4"/>
          <order val="4"/>
          <tx>
            <strRef>
              <f>'Fingerprint Reference'!F35</f>
            </strRef>
          </tx>
          <spPr>
            <a:ln>
              <a:solidFill>
                <a:srgbClr val="0D1B2A"/>
              </a:solidFill>
              <a:prstDash val="solid"/>
            </a:ln>
          </spPr>
          <marker>
            <symbol val="none"/>
            <spPr>
              <a:ln>
                <a:prstDash val="solid"/>
              </a:ln>
            </spPr>
          </marker>
          <cat>
            <numRef>
              <f>'Fingerprint Reference'!$A$36:$A$40</f>
            </numRef>
          </cat>
          <val>
            <numRef>
              <f>'Fingerprint Reference'!$F$36:$F$40</f>
            </numRef>
          </val>
        </ser>
        <ser>
          <idx val="5"/>
          <order val="5"/>
          <tx>
            <strRef>
              <f>'Fingerprint Reference'!G35</f>
            </strRef>
          </tx>
          <spPr>
            <a:ln>
              <a:solidFill>
                <a:srgbClr val="F9C74F"/>
              </a:solidFill>
              <a:prstDash val="solid"/>
            </a:ln>
          </spPr>
          <marker>
            <symbol val="none"/>
            <spPr>
              <a:ln>
                <a:prstDash val="solid"/>
              </a:ln>
            </spPr>
          </marker>
          <cat>
            <numRef>
              <f>'Fingerprint Reference'!$A$36:$A$40</f>
            </numRef>
          </cat>
          <val>
            <numRef>
              <f>'Fingerprint Reference'!$G$36:$G$40</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19</row>
      <rowOff>0</rowOff>
    </from>
    <ext cx="100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43</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3</row>
      <rowOff>0</rowOff>
    </from>
    <ext cx="504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50</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41</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8.xml.rels><Relationships xmlns="http://schemas.openxmlformats.org/package/2006/relationships"><Relationship Type="http://schemas.openxmlformats.org/officeDocument/2006/relationships/drawing" Target="/xl/drawings/drawing5.xml" Id="rId1" /></Relationships>
</file>

<file path=xl/worksheets/_rels/sheet9.xml.rels><Relationships xmlns="http://schemas.openxmlformats.org/package/2006/relationships"><Relationship Type="http://schemas.openxmlformats.org/officeDocument/2006/relationships/drawing" Target="/xl/drawings/drawing6.xml" Id="rId1" /></Relationships>
</file>

<file path=xl/worksheets/_rels/sheet10.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tabColor rgb="00C9A84C"/>
    <outlinePr summaryBelow="1" summaryRight="1"/>
    <pageSetUpPr fitToPage="1"/>
  </sheetPr>
  <dimension ref="A1:P50"/>
  <sheetViews>
    <sheetView showGridLines="0" workbookViewId="0">
      <pane ySplit="4" topLeftCell="A5" activePane="bottomLeft" state="frozen"/>
      <selection pane="bottomLeft"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3" customWidth="1" min="8" max="8"/>
    <col width="14" customWidth="1" min="9" max="9"/>
    <col width="14" customWidth="1" min="10" max="10"/>
    <col width="14" customWidth="1" min="11" max="11"/>
    <col width="14" customWidth="1" min="12" max="12"/>
    <col width="14" customWidth="1" min="13" max="13"/>
    <col width="14" customWidth="1" min="14" max="14"/>
    <col width="3" customWidth="1" min="15" max="15"/>
    <col width="14" customWidth="1" min="16" max="16"/>
  </cols>
  <sheetData>
    <row r="1" ht="28" customHeight="1">
      <c r="A1" s="1" t="inlineStr">
        <is>
          <t>STRUCTURAL GROWTH EQUITY SCREENER</t>
        </is>
      </c>
      <c r="B1" s="2" t="n"/>
      <c r="C1" s="2" t="n"/>
      <c r="D1" s="2" t="n"/>
      <c r="E1" s="2" t="n"/>
      <c r="F1" s="2" t="n"/>
      <c r="G1" s="2" t="n"/>
      <c r="H1" s="2" t="n"/>
      <c r="I1" s="2" t="n"/>
      <c r="J1" s="2" t="n"/>
      <c r="K1" s="2" t="n"/>
      <c r="L1" s="2" t="n"/>
      <c r="M1" s="2" t="n"/>
      <c r="N1" s="2" t="n"/>
      <c r="O1" s="2" t="n"/>
      <c r="P1" s="3" t="n"/>
    </row>
    <row r="2" ht="28" customHeight="1">
      <c r="A2" s="4" t="n"/>
      <c r="B2" s="5" t="n"/>
      <c r="C2" s="5" t="n"/>
      <c r="D2" s="5" t="n"/>
      <c r="E2" s="5" t="n"/>
      <c r="F2" s="5" t="n"/>
      <c r="G2" s="5" t="n"/>
      <c r="H2" s="5" t="n"/>
      <c r="I2" s="5" t="n"/>
      <c r="J2" s="5" t="n"/>
      <c r="K2" s="5" t="n"/>
      <c r="L2" s="5" t="n"/>
      <c r="M2" s="5" t="n"/>
      <c r="N2" s="5" t="n"/>
      <c r="O2" s="5" t="n"/>
      <c r="P2" s="6" t="n"/>
    </row>
    <row r="3" ht="20" customHeight="1">
      <c r="A3" s="7" t="inlineStr">
        <is>
          <t>Nano  ·  Small  ·  Breakout Tier Analysis</t>
        </is>
      </c>
      <c r="B3" s="8" t="n"/>
      <c r="C3" s="8" t="n"/>
      <c r="D3" s="8" t="n"/>
      <c r="E3" s="8" t="n"/>
      <c r="F3" s="8" t="n"/>
      <c r="G3" s="8" t="n"/>
      <c r="H3" s="8" t="n"/>
      <c r="I3" s="8" t="n"/>
      <c r="J3" s="9" t="n"/>
      <c r="K3" s="10" t="inlineStr">
        <is>
          <t>Run Date: March 08, 2026  |  Universe: 30 stocks  |  Source: Financial Modeling Prep</t>
        </is>
      </c>
      <c r="L3" s="8" t="n"/>
      <c r="M3" s="8" t="n"/>
      <c r="N3" s="8" t="n"/>
      <c r="O3" s="8" t="n"/>
      <c r="P3" s="9" t="n"/>
    </row>
    <row r="4" ht="8" customHeight="1">
      <c r="A4" s="11" t="n"/>
      <c r="B4" s="11" t="n"/>
      <c r="C4" s="11" t="n"/>
      <c r="D4" s="11" t="n"/>
      <c r="E4" s="11" t="n"/>
      <c r="F4" s="11" t="n"/>
      <c r="G4" s="11" t="n"/>
      <c r="H4" s="11" t="n"/>
      <c r="I4" s="11" t="n"/>
      <c r="J4" s="11" t="n"/>
      <c r="K4" s="11" t="n"/>
      <c r="L4" s="11" t="n"/>
      <c r="M4" s="11" t="n"/>
      <c r="N4" s="11" t="n"/>
      <c r="O4" s="11" t="n"/>
      <c r="P4" s="11" t="n"/>
    </row>
    <row r="5" ht="6" customHeight="1">
      <c r="A5" s="12" t="n"/>
      <c r="B5" s="13" t="n"/>
      <c r="C5" s="13" t="n"/>
      <c r="D5" s="13" t="n"/>
      <c r="E5" s="13" t="n"/>
      <c r="F5" s="13" t="n"/>
      <c r="G5" s="13" t="n"/>
      <c r="H5" s="12" t="n"/>
      <c r="I5" s="13" t="n"/>
      <c r="J5" s="13" t="n"/>
      <c r="K5" s="13" t="n"/>
      <c r="L5" s="13" t="n"/>
      <c r="M5" s="13" t="n"/>
      <c r="N5" s="13" t="n"/>
      <c r="O5" s="12" t="n"/>
      <c r="P5" s="12" t="n"/>
    </row>
    <row r="6" ht="16" customHeight="1">
      <c r="A6" s="12" t="n"/>
      <c r="B6" s="14" t="inlineStr">
        <is>
          <t>TOTAL SCREENED</t>
        </is>
      </c>
      <c r="D6" s="14" t="inlineStr">
        <is>
          <t>PASSED FILTERS</t>
        </is>
      </c>
      <c r="F6" s="14" t="inlineStr">
        <is>
          <t>AVG COMBINED SCORE</t>
        </is>
      </c>
      <c r="H6" s="12" t="n"/>
      <c r="I6" s="14" t="inlineStr">
        <is>
          <t>AVG REV GROWTH</t>
        </is>
      </c>
      <c r="K6" s="14" t="inlineStr">
        <is>
          <t>AVG GROSS MARGIN</t>
        </is>
      </c>
      <c r="M6" s="14" t="inlineStr">
        <is>
          <t>HIGH CONVICTION</t>
        </is>
      </c>
      <c r="O6" s="12" t="n"/>
      <c r="P6" s="12" t="n"/>
    </row>
    <row r="7" ht="28" customHeight="1">
      <c r="A7" s="12" t="n"/>
      <c r="B7" s="15" t="inlineStr">
        <is>
          <t>30</t>
        </is>
      </c>
      <c r="D7" s="15" t="inlineStr">
        <is>
          <t>30</t>
        </is>
      </c>
      <c r="F7" s="15" t="inlineStr">
        <is>
          <t>84.0</t>
        </is>
      </c>
      <c r="H7" s="12" t="n"/>
      <c r="I7" s="15" t="inlineStr">
        <is>
          <t>58.2%</t>
        </is>
      </c>
      <c r="K7" s="15" t="inlineStr">
        <is>
          <t>43.8%</t>
        </is>
      </c>
      <c r="M7" s="15" t="inlineStr">
        <is>
          <t>14</t>
        </is>
      </c>
      <c r="O7" s="12" t="n"/>
      <c r="P7" s="12" t="n"/>
    </row>
    <row r="8" ht="6" customHeight="1">
      <c r="A8" s="12" t="n"/>
      <c r="B8" s="12" t="n"/>
      <c r="C8" s="12" t="n"/>
      <c r="D8" s="12" t="n"/>
      <c r="E8" s="12" t="n"/>
      <c r="F8" s="12" t="n"/>
      <c r="G8" s="12" t="n"/>
      <c r="H8" s="12" t="n"/>
      <c r="I8" s="12" t="n"/>
      <c r="J8" s="12" t="n"/>
      <c r="K8" s="12" t="n"/>
      <c r="L8" s="12" t="n"/>
      <c r="M8" s="12" t="n"/>
      <c r="N8" s="12" t="n"/>
      <c r="O8" s="12" t="n"/>
      <c r="P8" s="12" t="n"/>
    </row>
    <row r="9" ht="8" customHeight="1"/>
    <row r="10" ht="22" customHeight="1">
      <c r="B10" s="16" t="inlineStr">
        <is>
          <t xml:space="preserve">  Nano Cap</t>
        </is>
      </c>
      <c r="C10" s="17" t="n"/>
      <c r="D10" s="17" t="n"/>
      <c r="E10" s="17" t="n"/>
      <c r="F10" s="17" t="n"/>
      <c r="G10" s="16" t="inlineStr">
        <is>
          <t xml:space="preserve">  Small Cap</t>
        </is>
      </c>
      <c r="H10" s="17" t="n"/>
      <c r="I10" s="17" t="n"/>
      <c r="J10" s="17" t="n"/>
      <c r="K10" s="17" t="n"/>
      <c r="L10" s="16" t="inlineStr">
        <is>
          <t xml:space="preserve">  Breakout</t>
        </is>
      </c>
      <c r="M10" s="17" t="n"/>
      <c r="N10" s="17" t="n"/>
      <c r="O10" s="17" t="n"/>
      <c r="P10" s="17" t="n"/>
    </row>
    <row r="11" ht="18" customHeight="1">
      <c r="B11" s="18" t="inlineStr">
        <is>
          <t>Ticker</t>
        </is>
      </c>
      <c r="C11" s="18" t="inlineStr">
        <is>
          <t>Company</t>
        </is>
      </c>
      <c r="D11" s="18" t="inlineStr">
        <is>
          <t>Mkt Cap</t>
        </is>
      </c>
      <c r="E11" s="18" t="inlineStr">
        <is>
          <t>Score</t>
        </is>
      </c>
      <c r="F11" s="18" t="inlineStr">
        <is>
          <t>Conviction</t>
        </is>
      </c>
      <c r="G11" s="18" t="inlineStr">
        <is>
          <t>Ticker</t>
        </is>
      </c>
      <c r="H11" s="18" t="inlineStr">
        <is>
          <t>Company</t>
        </is>
      </c>
      <c r="I11" s="18" t="inlineStr">
        <is>
          <t>Mkt Cap</t>
        </is>
      </c>
      <c r="J11" s="18" t="inlineStr">
        <is>
          <t>Score</t>
        </is>
      </c>
      <c r="K11" s="18" t="inlineStr">
        <is>
          <t>Conviction</t>
        </is>
      </c>
      <c r="L11" s="18" t="inlineStr">
        <is>
          <t>Ticker</t>
        </is>
      </c>
      <c r="M11" s="18" t="inlineStr">
        <is>
          <t>Company</t>
        </is>
      </c>
      <c r="N11" s="18" t="inlineStr">
        <is>
          <t>Mkt Cap</t>
        </is>
      </c>
      <c r="O11" s="18" t="inlineStr">
        <is>
          <t>Score</t>
        </is>
      </c>
      <c r="P11" s="18" t="inlineStr">
        <is>
          <t>Conviction</t>
        </is>
      </c>
    </row>
    <row r="12" ht="16" customHeight="1">
      <c r="B12" s="19" t="inlineStr">
        <is>
          <t>SODI</t>
        </is>
      </c>
      <c r="C12" s="20" t="inlineStr">
        <is>
          <t>Solitron Devices, Inc.</t>
        </is>
      </c>
      <c r="D12" s="21" t="n">
        <v>53.5</v>
      </c>
      <c r="E12" s="22" t="n">
        <v>97.2</v>
      </c>
      <c r="F12" s="23" t="inlineStr">
        <is>
          <t>High</t>
        </is>
      </c>
      <c r="G12" s="19" t="inlineStr">
        <is>
          <t>GOGO</t>
        </is>
      </c>
      <c r="H12" s="20" t="inlineStr">
        <is>
          <t>Gogo Inc.</t>
        </is>
      </c>
      <c r="I12" s="21" t="n">
        <v>704.4</v>
      </c>
      <c r="J12" s="22" t="n">
        <v>89.40000000000001</v>
      </c>
      <c r="K12" s="23" t="inlineStr">
        <is>
          <t>High</t>
        </is>
      </c>
      <c r="L12" s="19" t="inlineStr">
        <is>
          <t>COMM</t>
        </is>
      </c>
      <c r="M12" s="20" t="inlineStr">
        <is>
          <t>CommScope Holding Company, Inc.</t>
        </is>
      </c>
      <c r="N12" s="21" t="n">
        <v>3958</v>
      </c>
      <c r="O12" s="22" t="n">
        <v>84.09999999999999</v>
      </c>
      <c r="P12" s="24" t="inlineStr">
        <is>
          <t>Medium-High</t>
        </is>
      </c>
    </row>
    <row r="13" ht="16" customHeight="1">
      <c r="B13" s="25" t="inlineStr">
        <is>
          <t>WSTL</t>
        </is>
      </c>
      <c r="C13" s="26" t="inlineStr">
        <is>
          <t>Westell Technologies, Inc.</t>
        </is>
      </c>
      <c r="D13" s="27" t="n">
        <v>50.5</v>
      </c>
      <c r="E13" s="22" t="n">
        <v>94.40000000000001</v>
      </c>
      <c r="F13" s="23" t="inlineStr">
        <is>
          <t>High</t>
        </is>
      </c>
      <c r="G13" s="25" t="inlineStr">
        <is>
          <t>MXL</t>
        </is>
      </c>
      <c r="H13" s="26" t="inlineStr">
        <is>
          <t>MaxLinear, Inc.</t>
        </is>
      </c>
      <c r="I13" s="27" t="n">
        <v>1359</v>
      </c>
      <c r="J13" s="22" t="n">
        <v>89</v>
      </c>
      <c r="K13" s="23" t="inlineStr">
        <is>
          <t>High</t>
        </is>
      </c>
      <c r="L13" s="25" t="inlineStr">
        <is>
          <t>ALGM</t>
        </is>
      </c>
      <c r="M13" s="26" t="inlineStr">
        <is>
          <t>Allegro MicroSystems, Inc.</t>
        </is>
      </c>
      <c r="N13" s="27" t="n">
        <v>5916.3</v>
      </c>
      <c r="O13" s="22" t="n">
        <v>83.40000000000001</v>
      </c>
      <c r="P13" s="24" t="inlineStr">
        <is>
          <t>Medium-High</t>
        </is>
      </c>
    </row>
    <row r="14" ht="16" customHeight="1">
      <c r="B14" s="19" t="inlineStr">
        <is>
          <t>SPRU</t>
        </is>
      </c>
      <c r="C14" s="20" t="inlineStr">
        <is>
          <t>Spruce Power Holding Corporation</t>
        </is>
      </c>
      <c r="D14" s="21" t="n">
        <v>62.9</v>
      </c>
      <c r="E14" s="22" t="n">
        <v>88.40000000000001</v>
      </c>
      <c r="F14" s="23" t="inlineStr">
        <is>
          <t>High</t>
        </is>
      </c>
      <c r="G14" s="19" t="inlineStr">
        <is>
          <t>CDRE</t>
        </is>
      </c>
      <c r="H14" s="20" t="inlineStr">
        <is>
          <t>Cadre Holdings, Inc.</t>
        </is>
      </c>
      <c r="I14" s="21" t="n">
        <v>1770.1</v>
      </c>
      <c r="J14" s="22" t="n">
        <v>88.3</v>
      </c>
      <c r="K14" s="23" t="inlineStr">
        <is>
          <t>High</t>
        </is>
      </c>
      <c r="L14" s="19" t="inlineStr">
        <is>
          <t>XMTR</t>
        </is>
      </c>
      <c r="M14" s="20" t="inlineStr">
        <is>
          <t>Xometry, Inc.</t>
        </is>
      </c>
      <c r="N14" s="21" t="n">
        <v>2159.6</v>
      </c>
      <c r="O14" s="22" t="n">
        <v>81.2</v>
      </c>
      <c r="P14" s="24" t="inlineStr">
        <is>
          <t>Medium-High</t>
        </is>
      </c>
    </row>
    <row r="15" ht="16" customHeight="1">
      <c r="B15" s="25" t="inlineStr">
        <is>
          <t>CODA</t>
        </is>
      </c>
      <c r="C15" s="26" t="inlineStr">
        <is>
          <t>Coda Octopus Group, Inc.</t>
        </is>
      </c>
      <c r="D15" s="27" t="n">
        <v>162.3</v>
      </c>
      <c r="E15" s="22" t="n">
        <v>86.5</v>
      </c>
      <c r="F15" s="23" t="inlineStr">
        <is>
          <t>High</t>
        </is>
      </c>
      <c r="G15" s="25" t="inlineStr">
        <is>
          <t>ADTN</t>
        </is>
      </c>
      <c r="H15" s="26" t="inlineStr">
        <is>
          <t>ADTRAN Holdings, Inc.</t>
        </is>
      </c>
      <c r="I15" s="27" t="n">
        <v>773.5</v>
      </c>
      <c r="J15" s="22" t="n">
        <v>87.3</v>
      </c>
      <c r="K15" s="23" t="inlineStr">
        <is>
          <t>High</t>
        </is>
      </c>
      <c r="L15" s="25" t="inlineStr">
        <is>
          <t>KRMN</t>
        </is>
      </c>
      <c r="M15" s="26" t="inlineStr">
        <is>
          <t>Karman Holdings Inc.</t>
        </is>
      </c>
      <c r="N15" s="27" t="n">
        <v>13303.7</v>
      </c>
      <c r="O15" s="22" t="n">
        <v>81</v>
      </c>
      <c r="P15" s="24" t="inlineStr">
        <is>
          <t>Medium-High</t>
        </is>
      </c>
    </row>
    <row r="16" ht="16" customHeight="1">
      <c r="B16" s="19" t="inlineStr">
        <is>
          <t>TGEN</t>
        </is>
      </c>
      <c r="C16" s="20" t="inlineStr">
        <is>
          <t>Tecogen Inc.</t>
        </is>
      </c>
      <c r="D16" s="21" t="n">
        <v>88.90000000000001</v>
      </c>
      <c r="E16" s="22" t="n">
        <v>84.8</v>
      </c>
      <c r="F16" s="24" t="inlineStr">
        <is>
          <t>Medium-High</t>
        </is>
      </c>
      <c r="G16" s="19" t="inlineStr">
        <is>
          <t>PKE</t>
        </is>
      </c>
      <c r="H16" s="20" t="inlineStr">
        <is>
          <t>Park Aerospace Corp.</t>
        </is>
      </c>
      <c r="I16" s="21" t="n">
        <v>536</v>
      </c>
      <c r="J16" s="22" t="n">
        <v>87.2</v>
      </c>
      <c r="K16" s="23" t="inlineStr">
        <is>
          <t>High</t>
        </is>
      </c>
      <c r="L16" s="19" t="inlineStr">
        <is>
          <t>RUN</t>
        </is>
      </c>
      <c r="M16" s="20" t="inlineStr">
        <is>
          <t>Sunrun Inc.</t>
        </is>
      </c>
      <c r="N16" s="21" t="n">
        <v>2659.1</v>
      </c>
      <c r="O16" s="28" t="n">
        <v>78.90000000000001</v>
      </c>
      <c r="P16" s="24" t="inlineStr">
        <is>
          <t>Medium-High</t>
        </is>
      </c>
    </row>
    <row r="19" ht="22" customHeight="1">
      <c r="B19" s="16" t="inlineStr">
        <is>
          <t>TOP PERFORMERS — Combined Score Ranking</t>
        </is>
      </c>
      <c r="C19" s="17" t="n"/>
      <c r="D19" s="17" t="n"/>
      <c r="E19" s="17" t="n"/>
      <c r="F19" s="17" t="n"/>
      <c r="G19" s="17" t="n"/>
      <c r="H19" s="17" t="n"/>
      <c r="I19" s="17" t="n"/>
      <c r="J19" s="17" t="n"/>
      <c r="K19" s="17" t="n"/>
      <c r="L19" s="17" t="n"/>
      <c r="M19" s="17" t="n"/>
      <c r="N19" s="17" t="n"/>
      <c r="O19" s="17" t="n"/>
      <c r="P19" s="17" t="n"/>
    </row>
    <row r="40">
      <c r="A40" s="29" t="inlineStr">
        <is>
          <t>Ticker</t>
        </is>
      </c>
      <c r="B40" s="29" t="inlineStr">
        <is>
          <t>Score</t>
        </is>
      </c>
      <c r="C40" s="29" t="inlineStr">
        <is>
          <t>Tier</t>
        </is>
      </c>
    </row>
    <row r="41">
      <c r="A41" t="inlineStr">
        <is>
          <t>SODI</t>
        </is>
      </c>
      <c r="B41" t="n">
        <v>97.2</v>
      </c>
      <c r="C41" t="inlineStr">
        <is>
          <t>Nano Cap</t>
        </is>
      </c>
    </row>
    <row r="42">
      <c r="A42" t="inlineStr">
        <is>
          <t>WSTL</t>
        </is>
      </c>
      <c r="B42" t="n">
        <v>94.40000000000001</v>
      </c>
      <c r="C42" t="inlineStr">
        <is>
          <t>Nano Cap</t>
        </is>
      </c>
    </row>
    <row r="43">
      <c r="A43" t="inlineStr">
        <is>
          <t>GOGO</t>
        </is>
      </c>
      <c r="B43" t="n">
        <v>89.40000000000001</v>
      </c>
      <c r="C43" t="inlineStr">
        <is>
          <t>Small Cap</t>
        </is>
      </c>
    </row>
    <row r="44">
      <c r="A44" t="inlineStr">
        <is>
          <t>MXL</t>
        </is>
      </c>
      <c r="B44" t="n">
        <v>89</v>
      </c>
      <c r="C44" t="inlineStr">
        <is>
          <t>Small Cap</t>
        </is>
      </c>
    </row>
    <row r="45">
      <c r="A45" t="inlineStr">
        <is>
          <t>SPRU</t>
        </is>
      </c>
      <c r="B45" t="n">
        <v>88.40000000000001</v>
      </c>
      <c r="C45" t="inlineStr">
        <is>
          <t>Nano Cap</t>
        </is>
      </c>
    </row>
    <row r="46">
      <c r="A46" t="inlineStr">
        <is>
          <t>CDRE</t>
        </is>
      </c>
      <c r="B46" t="n">
        <v>88.3</v>
      </c>
      <c r="C46" t="inlineStr">
        <is>
          <t>Small Cap</t>
        </is>
      </c>
    </row>
    <row r="47">
      <c r="A47" t="inlineStr">
        <is>
          <t>ADTN</t>
        </is>
      </c>
      <c r="B47" t="n">
        <v>87.3</v>
      </c>
      <c r="C47" t="inlineStr">
        <is>
          <t>Small Cap</t>
        </is>
      </c>
    </row>
    <row r="48">
      <c r="A48" t="inlineStr">
        <is>
          <t>PKE</t>
        </is>
      </c>
      <c r="B48" t="n">
        <v>87.2</v>
      </c>
      <c r="C48" t="inlineStr">
        <is>
          <t>Small Cap</t>
        </is>
      </c>
    </row>
    <row r="49">
      <c r="A49" t="inlineStr">
        <is>
          <t>CODA</t>
        </is>
      </c>
      <c r="B49" t="n">
        <v>86.5</v>
      </c>
      <c r="C49" t="inlineStr">
        <is>
          <t>Nano Cap</t>
        </is>
      </c>
    </row>
    <row r="50">
      <c r="A50" t="inlineStr">
        <is>
          <t>MVST</t>
        </is>
      </c>
      <c r="B50" t="n">
        <v>86</v>
      </c>
      <c r="C50" t="inlineStr">
        <is>
          <t>Small Cap</t>
        </is>
      </c>
    </row>
  </sheetData>
  <mergeCells count="19">
    <mergeCell ref="I6:J6"/>
    <mergeCell ref="B7:C7"/>
    <mergeCell ref="A1:P2"/>
    <mergeCell ref="F6:G6"/>
    <mergeCell ref="F7:G7"/>
    <mergeCell ref="D6:E6"/>
    <mergeCell ref="I7:J7"/>
    <mergeCell ref="B19:P19"/>
    <mergeCell ref="G10:K10"/>
    <mergeCell ref="M7:N7"/>
    <mergeCell ref="D7:E7"/>
    <mergeCell ref="M6:N6"/>
    <mergeCell ref="B10:F10"/>
    <mergeCell ref="L10:P10"/>
    <mergeCell ref="K3:P3"/>
    <mergeCell ref="B6:C6"/>
    <mergeCell ref="K7:L7"/>
    <mergeCell ref="A3:J3"/>
    <mergeCell ref="K6:L6"/>
  </mergeCells>
  <pageMargins left="0.75" right="0.75" top="1" bottom="1" header="0.5" footer="0.5"/>
  <pageSetup orientation="landscape" fitToWidth="1"/>
  <drawing xmlns:r="http://schemas.openxmlformats.org/officeDocument/2006/relationships" r:id="rId1"/>
</worksheet>
</file>

<file path=xl/worksheets/sheet2.xml><?xml version="1.0" encoding="utf-8"?>
<worksheet xmlns="http://schemas.openxmlformats.org/spreadsheetml/2006/main">
  <sheetPr>
    <tabColor rgb="004FC3F7"/>
    <outlinePr summaryBelow="1" summaryRight="1"/>
    <pageSetUpPr fitToPage="1"/>
  </sheetPr>
  <dimension ref="A1:S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2" customWidth="1" min="14" max="14"/>
    <col width="10" customWidth="1" min="15" max="15"/>
    <col width="10" customWidth="1" min="16" max="16"/>
    <col width="10" customWidth="1" min="17" max="17"/>
    <col width="10" customWidth="1" min="18" max="18"/>
    <col width="10" customWidth="1" min="19" max="19"/>
  </cols>
  <sheetData>
    <row r="1" ht="28" customHeight="1">
      <c r="A1" s="30" t="inlineStr">
        <is>
          <t>Nano Cap ($50M–$300M) — Screener Results</t>
        </is>
      </c>
      <c r="B1" s="11" t="n"/>
      <c r="C1" s="11" t="n"/>
      <c r="D1" s="11" t="n"/>
      <c r="E1" s="11" t="n"/>
      <c r="F1" s="11" t="n"/>
      <c r="G1" s="11" t="n"/>
      <c r="H1" s="11" t="n"/>
      <c r="I1" s="11" t="n"/>
      <c r="J1" s="11" t="n"/>
      <c r="K1" s="11" t="n"/>
      <c r="L1" s="11" t="n"/>
      <c r="M1" s="11" t="n"/>
      <c r="N1" s="11" t="n"/>
      <c r="O1" s="11" t="n"/>
      <c r="P1" s="11" t="n"/>
      <c r="Q1" s="11" t="n"/>
      <c r="R1" s="11" t="n"/>
      <c r="S1" s="11" t="n"/>
    </row>
    <row r="2" ht="22" customHeight="1">
      <c r="A2" s="31" t="inlineStr">
        <is>
          <t>Top 10 by combined score  |  March 08, 2026</t>
        </is>
      </c>
      <c r="B2" s="12" t="n"/>
      <c r="C2" s="12" t="n"/>
      <c r="D2" s="12" t="n"/>
      <c r="E2" s="12" t="n"/>
      <c r="F2" s="12" t="n"/>
      <c r="G2" s="12" t="n"/>
      <c r="H2" s="12" t="n"/>
      <c r="I2" s="12" t="n"/>
      <c r="J2" s="12" t="n"/>
      <c r="K2" s="12" t="n"/>
      <c r="L2" s="12" t="n"/>
      <c r="M2" s="12" t="n"/>
      <c r="N2" s="12" t="n"/>
      <c r="O2" s="12" t="n"/>
      <c r="P2" s="12" t="n"/>
      <c r="Q2" s="12" t="n"/>
      <c r="R2" s="12" t="n"/>
      <c r="S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Conviction</t>
        </is>
      </c>
      <c r="O4" s="18" t="inlineStr">
        <is>
          <t>1M</t>
        </is>
      </c>
      <c r="P4" s="18" t="inlineStr">
        <is>
          <t>3M</t>
        </is>
      </c>
      <c r="Q4" s="18" t="inlineStr">
        <is>
          <t>6M</t>
        </is>
      </c>
      <c r="R4" s="18" t="inlineStr">
        <is>
          <t>YTD</t>
        </is>
      </c>
      <c r="S4" s="18" t="inlineStr">
        <is>
          <t>1Y</t>
        </is>
      </c>
    </row>
    <row r="5" ht="16" customHeight="1">
      <c r="A5" s="32" t="n">
        <v>1</v>
      </c>
      <c r="B5" s="19" t="inlineStr">
        <is>
          <t>SODI</t>
        </is>
      </c>
      <c r="C5" s="20" t="inlineStr">
        <is>
          <t>Solitron Devices, Inc.</t>
        </is>
      </c>
      <c r="D5" s="21" t="n">
        <v>53.5</v>
      </c>
      <c r="E5" s="33" t="n">
        <v>24.9</v>
      </c>
      <c r="F5" s="34" t="n">
        <v>0.491</v>
      </c>
      <c r="G5" s="34" t="n">
        <v>0.65</v>
      </c>
      <c r="H5" s="34" t="n">
        <v>0.343</v>
      </c>
      <c r="I5" s="34" t="n">
        <v>0.01</v>
      </c>
      <c r="J5" s="34" t="n">
        <v>0.226</v>
      </c>
      <c r="K5" s="35" t="n">
        <v>96.59999999999999</v>
      </c>
      <c r="L5" s="35" t="n">
        <v>98.2</v>
      </c>
      <c r="M5" s="36" t="n">
        <v>97.2</v>
      </c>
      <c r="N5" s="23" t="inlineStr">
        <is>
          <t>High</t>
        </is>
      </c>
      <c r="O5" s="34" t="n">
        <v>0.0362047</v>
      </c>
      <c r="P5" s="34" t="n">
        <v>0.2146341</v>
      </c>
      <c r="Q5" s="34" t="n">
        <v>0.3910615</v>
      </c>
      <c r="R5" s="34" t="n">
        <v>0.3105263</v>
      </c>
      <c r="S5" s="34" t="n">
        <v>0.6881356</v>
      </c>
    </row>
    <row r="6" ht="16" customHeight="1">
      <c r="A6" s="32" t="n">
        <v>2</v>
      </c>
      <c r="B6" s="25" t="inlineStr">
        <is>
          <t>WSTL</t>
        </is>
      </c>
      <c r="C6" s="26" t="inlineStr">
        <is>
          <t>Westell Technologies, Inc.</t>
        </is>
      </c>
      <c r="D6" s="27" t="n">
        <v>50.5</v>
      </c>
      <c r="E6" s="37" t="n">
        <v>4.96</v>
      </c>
      <c r="F6" s="38" t="n">
        <v>0.466</v>
      </c>
      <c r="G6" s="38" t="n">
        <v>0.042</v>
      </c>
      <c r="H6" s="38" t="n">
        <v>0.411</v>
      </c>
      <c r="I6" s="38" t="n">
        <v>-0.113</v>
      </c>
      <c r="J6" s="38" t="n">
        <v>0.186</v>
      </c>
      <c r="K6" s="39" t="n">
        <v>92</v>
      </c>
      <c r="L6" s="39" t="n">
        <v>98.09999999999999</v>
      </c>
      <c r="M6" s="40" t="n">
        <v>94.40000000000001</v>
      </c>
      <c r="N6" s="23" t="inlineStr">
        <is>
          <t>High</t>
        </is>
      </c>
      <c r="O6" s="38" t="n">
        <v>-0.2321981</v>
      </c>
      <c r="P6" s="38" t="n">
        <v>-0.2012882</v>
      </c>
      <c r="Q6" s="38" t="n">
        <v>-0.2126984</v>
      </c>
      <c r="R6" s="38" t="n">
        <v>-0.1343805</v>
      </c>
      <c r="S6" s="38" t="n">
        <v>1.4554455</v>
      </c>
    </row>
    <row r="7" ht="16" customHeight="1">
      <c r="A7" s="32" t="n">
        <v>3</v>
      </c>
      <c r="B7" s="19" t="inlineStr">
        <is>
          <t>SPRU</t>
        </is>
      </c>
      <c r="C7" s="20" t="inlineStr">
        <is>
          <t>Spruce Power Holding Corporation</t>
        </is>
      </c>
      <c r="D7" s="21" t="n">
        <v>62.9</v>
      </c>
      <c r="E7" s="33" t="n">
        <v>3.46</v>
      </c>
      <c r="F7" s="34" t="n">
        <v>0.4370000000000001</v>
      </c>
      <c r="G7" s="34" t="n">
        <v>0.075</v>
      </c>
      <c r="H7" s="34" t="n">
        <v>0.6829999999999999</v>
      </c>
      <c r="I7" s="34" t="n">
        <v>-0.001</v>
      </c>
      <c r="J7" s="34" t="n">
        <v>0.205</v>
      </c>
      <c r="K7" s="35" t="n">
        <v>91.5</v>
      </c>
      <c r="L7" s="35" t="n">
        <v>83.7</v>
      </c>
      <c r="M7" s="36" t="n">
        <v>88.40000000000001</v>
      </c>
      <c r="N7" s="23" t="inlineStr">
        <is>
          <t>High</t>
        </is>
      </c>
      <c r="O7" s="34" t="n">
        <v>-0.2953157</v>
      </c>
      <c r="P7" s="34" t="n">
        <v>-0.3333332999999999</v>
      </c>
      <c r="Q7" s="34" t="n">
        <v>1.2467532</v>
      </c>
      <c r="R7" s="34" t="n">
        <v>-0.3471698</v>
      </c>
      <c r="S7" s="34" t="n">
        <v>0.4476986999999999</v>
      </c>
    </row>
    <row r="8" ht="16" customHeight="1">
      <c r="A8" s="32" t="n">
        <v>4</v>
      </c>
      <c r="B8" s="25" t="inlineStr">
        <is>
          <t>CODA</t>
        </is>
      </c>
      <c r="C8" s="26" t="inlineStr">
        <is>
          <t>Coda Octopus Group, Inc.</t>
        </is>
      </c>
      <c r="D8" s="27" t="n">
        <v>162.3</v>
      </c>
      <c r="E8" s="37" t="n">
        <v>14.4</v>
      </c>
      <c r="F8" s="38" t="n">
        <v>0.4379999999999999</v>
      </c>
      <c r="G8" s="38" t="n">
        <v>0.305</v>
      </c>
      <c r="H8" s="38" t="n">
        <v>0.6759999999999999</v>
      </c>
      <c r="I8" s="38" t="n">
        <v>0.026</v>
      </c>
      <c r="J8" s="38" t="n">
        <v>0.478</v>
      </c>
      <c r="K8" s="39" t="n">
        <v>96.3</v>
      </c>
      <c r="L8" s="39" t="n">
        <v>71.7</v>
      </c>
      <c r="M8" s="40" t="n">
        <v>86.5</v>
      </c>
      <c r="N8" s="23" t="inlineStr">
        <is>
          <t>High</t>
        </is>
      </c>
      <c r="O8" s="38" t="n">
        <v>0.255449</v>
      </c>
      <c r="P8" s="38" t="n">
        <v>0.6457143000000001</v>
      </c>
      <c r="Q8" s="38" t="n">
        <v>0.8</v>
      </c>
      <c r="R8" s="38" t="n">
        <v>0.5141956</v>
      </c>
      <c r="S8" s="38" t="n">
        <v>1.1492537</v>
      </c>
    </row>
    <row r="9" ht="16" customHeight="1">
      <c r="A9" s="32" t="n">
        <v>5</v>
      </c>
      <c r="B9" s="19" t="inlineStr">
        <is>
          <t>TGEN</t>
        </is>
      </c>
      <c r="C9" s="20" t="inlineStr">
        <is>
          <t>Tecogen Inc.</t>
        </is>
      </c>
      <c r="D9" s="21" t="n">
        <v>88.90000000000001</v>
      </c>
      <c r="E9" s="33" t="n">
        <v>2.98</v>
      </c>
      <c r="F9" s="34" t="n">
        <v>0.276</v>
      </c>
      <c r="G9" s="34" t="n">
        <v>0.321</v>
      </c>
      <c r="H9" s="34" t="n">
        <v>0.304</v>
      </c>
      <c r="I9" s="34" t="n">
        <v>0.061</v>
      </c>
      <c r="J9" s="34" t="n">
        <v>0.391</v>
      </c>
      <c r="K9" s="35" t="n">
        <v>80.90000000000001</v>
      </c>
      <c r="L9" s="35" t="n">
        <v>90.7</v>
      </c>
      <c r="M9" s="36" t="n">
        <v>84.8</v>
      </c>
      <c r="N9" s="24" t="inlineStr">
        <is>
          <t>Medium-High</t>
        </is>
      </c>
      <c r="O9" s="34" t="n">
        <v>-0.2053333</v>
      </c>
      <c r="P9" s="34" t="n">
        <v>-0.5649635</v>
      </c>
      <c r="Q9" s="34" t="n">
        <v>-0.5491679</v>
      </c>
      <c r="R9" s="34" t="n">
        <v>-0.4419476</v>
      </c>
      <c r="S9" s="34" t="n">
        <v>0.3545455</v>
      </c>
    </row>
    <row r="10" ht="16" customHeight="1">
      <c r="A10" s="32" t="n">
        <v>6</v>
      </c>
      <c r="B10" s="25" t="inlineStr">
        <is>
          <t>TAYD</t>
        </is>
      </c>
      <c r="C10" s="26" t="inlineStr">
        <is>
          <t>Taylor Devices, Inc.</t>
        </is>
      </c>
      <c r="D10" s="27" t="n">
        <v>260.1</v>
      </c>
      <c r="E10" s="37" t="n">
        <v>82.48999999999999</v>
      </c>
      <c r="F10" s="38" t="n">
        <v>1.986</v>
      </c>
      <c r="G10" s="38" t="n">
        <v>2.669</v>
      </c>
      <c r="H10" s="38" t="n">
        <v>0.47</v>
      </c>
      <c r="I10" s="38" t="n">
        <v>-0.108</v>
      </c>
      <c r="J10" s="38" t="n">
        <v>0.026</v>
      </c>
      <c r="K10" s="39" t="n">
        <v>88.90000000000001</v>
      </c>
      <c r="L10" s="39" t="n">
        <v>78.09999999999999</v>
      </c>
      <c r="M10" s="40" t="n">
        <v>84.59999999999999</v>
      </c>
      <c r="N10" s="24" t="inlineStr">
        <is>
          <t>Medium-High</t>
        </is>
      </c>
      <c r="O10" s="38" t="n">
        <v>0.0298377</v>
      </c>
      <c r="P10" s="38" t="n">
        <v>0.7008247</v>
      </c>
      <c r="Q10" s="38" t="n">
        <v>0.7275393</v>
      </c>
      <c r="R10" s="38" t="n">
        <v>0.2838911</v>
      </c>
      <c r="S10" s="38" t="n">
        <v>1.5365929</v>
      </c>
    </row>
    <row r="11" ht="16" customHeight="1">
      <c r="A11" s="32" t="n">
        <v>7</v>
      </c>
      <c r="B11" s="19" t="inlineStr">
        <is>
          <t>RFIL</t>
        </is>
      </c>
      <c r="C11" s="20" t="inlineStr">
        <is>
          <t>RF Industries, Ltd.</t>
        </is>
      </c>
      <c r="D11" s="21" t="n">
        <v>111.9</v>
      </c>
      <c r="E11" s="33" t="n">
        <v>10.44</v>
      </c>
      <c r="F11" s="34" t="n">
        <v>0.229</v>
      </c>
      <c r="G11" s="34" t="n">
        <v>-0.142</v>
      </c>
      <c r="H11" s="34" t="n">
        <v>0.368</v>
      </c>
      <c r="I11" s="34" t="n">
        <v>0.046</v>
      </c>
      <c r="J11" s="34" t="n">
        <v>0.201</v>
      </c>
      <c r="K11" s="35" t="n">
        <v>69.3</v>
      </c>
      <c r="L11" s="35" t="n">
        <v>99.3</v>
      </c>
      <c r="M11" s="36" t="n">
        <v>81.3</v>
      </c>
      <c r="N11" s="24" t="inlineStr">
        <is>
          <t>Medium-High</t>
        </is>
      </c>
      <c r="O11" s="34" t="n">
        <v>-0.08501310000000001</v>
      </c>
      <c r="P11" s="34" t="n">
        <v>0.7487437</v>
      </c>
      <c r="Q11" s="34" t="n">
        <v>0.4262295</v>
      </c>
      <c r="R11" s="34" t="n">
        <v>0.8380282</v>
      </c>
      <c r="S11" s="34" t="n">
        <v>1.6769231</v>
      </c>
    </row>
    <row r="12" ht="16" customHeight="1">
      <c r="A12" s="32" t="n">
        <v>8</v>
      </c>
      <c r="B12" s="25" t="inlineStr">
        <is>
          <t>MRAM</t>
        </is>
      </c>
      <c r="C12" s="26" t="inlineStr">
        <is>
          <t>Everspin Technologies, Inc.</t>
        </is>
      </c>
      <c r="D12" s="27" t="n">
        <v>200.2</v>
      </c>
      <c r="E12" s="37" t="n">
        <v>8.76</v>
      </c>
      <c r="F12" s="38" t="n">
        <v>0.118</v>
      </c>
      <c r="G12" s="38" t="n">
        <v>0.2</v>
      </c>
      <c r="H12" s="38" t="n">
        <v>0.508</v>
      </c>
      <c r="I12" s="38" t="n">
        <v>0.12</v>
      </c>
      <c r="J12" s="38" t="n">
        <v>0.189</v>
      </c>
      <c r="K12" s="39" t="n">
        <v>71.5</v>
      </c>
      <c r="L12" s="39" t="n">
        <v>93.7</v>
      </c>
      <c r="M12" s="40" t="n">
        <v>80.40000000000001</v>
      </c>
      <c r="N12" s="24" t="inlineStr">
        <is>
          <t>Medium-High</t>
        </is>
      </c>
      <c r="O12" s="38" t="n">
        <v>-0.1978022</v>
      </c>
      <c r="P12" s="38" t="n">
        <v>-0.044711</v>
      </c>
      <c r="Q12" s="38" t="n">
        <v>0.3035714</v>
      </c>
      <c r="R12" s="38" t="n">
        <v>-0.1292247</v>
      </c>
      <c r="S12" s="38" t="n">
        <v>0.6749522</v>
      </c>
    </row>
    <row r="13" ht="16" customHeight="1">
      <c r="A13" s="32" t="n">
        <v>9</v>
      </c>
      <c r="B13" s="19" t="inlineStr">
        <is>
          <t>SCTQ</t>
        </is>
      </c>
      <c r="C13" s="20" t="inlineStr">
        <is>
          <t>Spectra Systems Corporation</t>
        </is>
      </c>
      <c r="D13" s="21" t="n">
        <v>97.09999999999999</v>
      </c>
      <c r="E13" s="33" t="n">
        <v>2.03346</v>
      </c>
      <c r="F13" s="34" t="n">
        <v>5.018</v>
      </c>
      <c r="G13" s="34" t="n">
        <v>0</v>
      </c>
      <c r="H13" s="34" t="n">
        <v>0.57</v>
      </c>
      <c r="I13" s="34" t="n">
        <v>0.052</v>
      </c>
      <c r="J13" s="34" t="n">
        <v>0.18</v>
      </c>
      <c r="K13" s="35" t="n">
        <v>84.8</v>
      </c>
      <c r="L13" s="35" t="n">
        <v>73.2</v>
      </c>
      <c r="M13" s="36" t="n">
        <v>80.2</v>
      </c>
      <c r="N13" s="24" t="inlineStr">
        <is>
          <t>Medium-High</t>
        </is>
      </c>
      <c r="O13" s="34" t="n">
        <v>0.0017044335</v>
      </c>
      <c r="P13" s="34" t="n">
        <v>0.0017044335</v>
      </c>
      <c r="Q13" s="34" t="n">
        <v>0.0017044335</v>
      </c>
      <c r="R13" s="34" t="n">
        <v>0.0017044335</v>
      </c>
      <c r="S13" s="34" t="n">
        <v>0.0017044335</v>
      </c>
    </row>
    <row r="14" ht="16" customHeight="1">
      <c r="A14" s="32" t="n">
        <v>10</v>
      </c>
      <c r="B14" s="25" t="inlineStr">
        <is>
          <t>ZEO</t>
        </is>
      </c>
      <c r="C14" s="26" t="inlineStr">
        <is>
          <t>Zeo Energy Corp.</t>
        </is>
      </c>
      <c r="D14" s="27" t="n">
        <v>52.1</v>
      </c>
      <c r="E14" s="37" t="n">
        <v>0.9444</v>
      </c>
      <c r="F14" s="38" t="n">
        <v>0.216</v>
      </c>
      <c r="G14" s="38" t="n">
        <v>0.361</v>
      </c>
      <c r="H14" s="38" t="n">
        <v>0.579</v>
      </c>
      <c r="I14" s="38" t="n">
        <v>-0.208</v>
      </c>
      <c r="J14" s="38" t="n">
        <v>0.501</v>
      </c>
      <c r="K14" s="39" t="n">
        <v>83</v>
      </c>
      <c r="L14" s="39" t="n">
        <v>75.7</v>
      </c>
      <c r="M14" s="40" t="n">
        <v>80.09999999999999</v>
      </c>
      <c r="N14" s="24" t="inlineStr">
        <is>
          <t>Medium-High</t>
        </is>
      </c>
      <c r="O14" s="38" t="n">
        <v>0.0115681</v>
      </c>
      <c r="P14" s="38" t="n">
        <v>-0.1858621</v>
      </c>
      <c r="Q14" s="38" t="n">
        <v>-0.2952239</v>
      </c>
      <c r="R14" s="38" t="n">
        <v>-0.1928205</v>
      </c>
      <c r="S14" s="38" t="n">
        <v>-0.40975</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SODI</t>
        </is>
      </c>
      <c r="B19" s="35" t="n">
        <v>98.2</v>
      </c>
      <c r="C19" s="35" t="n">
        <v>85.8</v>
      </c>
      <c r="D19" s="35" t="n">
        <v>100</v>
      </c>
      <c r="E19" s="35" t="n">
        <v>100</v>
      </c>
      <c r="F19" s="35" t="n">
        <v>100</v>
      </c>
    </row>
    <row r="20" ht="16" customHeight="1">
      <c r="A20" s="25" t="inlineStr">
        <is>
          <t>WSTL</t>
        </is>
      </c>
      <c r="B20" s="39" t="n">
        <v>93.2</v>
      </c>
      <c r="C20" s="39" t="n">
        <v>100</v>
      </c>
      <c r="D20" s="39" t="n">
        <v>100</v>
      </c>
      <c r="E20" s="39" t="n">
        <v>100</v>
      </c>
      <c r="F20" s="39" t="n">
        <v>60.5</v>
      </c>
    </row>
    <row r="21" ht="16" customHeight="1">
      <c r="A21" s="19" t="inlineStr">
        <is>
          <t>SPRU</t>
        </is>
      </c>
      <c r="B21" s="35" t="n">
        <v>87.40000000000001</v>
      </c>
      <c r="C21" s="35" t="n">
        <v>100</v>
      </c>
      <c r="D21" s="35" t="n">
        <v>100</v>
      </c>
      <c r="E21" s="35" t="n">
        <v>100</v>
      </c>
      <c r="F21" s="35" t="n">
        <v>68.8</v>
      </c>
    </row>
    <row r="22" ht="16" customHeight="1">
      <c r="A22" s="25" t="inlineStr">
        <is>
          <t>CODA</t>
        </is>
      </c>
      <c r="B22" s="39" t="n">
        <v>87.59999999999999</v>
      </c>
      <c r="C22" s="39" t="n">
        <v>100</v>
      </c>
      <c r="D22" s="39" t="n">
        <v>100</v>
      </c>
      <c r="E22" s="39" t="n">
        <v>100</v>
      </c>
      <c r="F22" s="39" t="n">
        <v>100</v>
      </c>
    </row>
    <row r="23" ht="16" customHeight="1">
      <c r="A23" s="19" t="inlineStr">
        <is>
          <t>TGEN</t>
        </is>
      </c>
      <c r="B23" s="35" t="n">
        <v>55.2</v>
      </c>
      <c r="C23" s="35" t="n">
        <v>76</v>
      </c>
      <c r="D23" s="35" t="n">
        <v>95.59999999999999</v>
      </c>
      <c r="E23" s="35" t="n">
        <v>100</v>
      </c>
      <c r="F23" s="35" t="n">
        <v>100</v>
      </c>
    </row>
    <row r="24" ht="16" customHeight="1">
      <c r="A24" s="25" t="inlineStr">
        <is>
          <t>TAYD</t>
        </is>
      </c>
      <c r="B24" s="39" t="n">
        <v>100</v>
      </c>
      <c r="C24" s="39" t="n">
        <v>100</v>
      </c>
      <c r="D24" s="39" t="n">
        <v>100</v>
      </c>
      <c r="E24" s="39" t="n">
        <v>26</v>
      </c>
      <c r="F24" s="39" t="n">
        <v>100</v>
      </c>
    </row>
    <row r="25" ht="16" customHeight="1">
      <c r="A25" s="19" t="inlineStr">
        <is>
          <t>RFIL</t>
        </is>
      </c>
      <c r="B25" s="35" t="n">
        <v>45.8</v>
      </c>
      <c r="C25" s="35" t="n">
        <v>92</v>
      </c>
      <c r="D25" s="35" t="n">
        <v>100</v>
      </c>
      <c r="E25" s="35" t="n">
        <v>100</v>
      </c>
      <c r="F25" s="35" t="n">
        <v>14.5</v>
      </c>
    </row>
    <row r="26" ht="16" customHeight="1">
      <c r="A26" s="25" t="inlineStr">
        <is>
          <t>MRAM</t>
        </is>
      </c>
      <c r="B26" s="39" t="n">
        <v>23.6</v>
      </c>
      <c r="C26" s="39" t="n">
        <v>100</v>
      </c>
      <c r="D26" s="39" t="n">
        <v>72</v>
      </c>
      <c r="E26" s="39" t="n">
        <v>100</v>
      </c>
      <c r="F26" s="39" t="n">
        <v>100</v>
      </c>
    </row>
    <row r="27" ht="16" customHeight="1">
      <c r="A27" s="19" t="inlineStr">
        <is>
          <t>SCTQ</t>
        </is>
      </c>
      <c r="B27" s="35" t="n">
        <v>100</v>
      </c>
      <c r="C27" s="35" t="n">
        <v>100</v>
      </c>
      <c r="D27" s="35" t="n">
        <v>99.2</v>
      </c>
      <c r="E27" s="35" t="n">
        <v>100</v>
      </c>
      <c r="F27" s="35" t="n">
        <v>50</v>
      </c>
    </row>
    <row r="28" ht="16" customHeight="1">
      <c r="A28" s="25" t="inlineStr">
        <is>
          <t>ZEO</t>
        </is>
      </c>
      <c r="B28" s="39" t="n">
        <v>43.2</v>
      </c>
      <c r="C28" s="39" t="n">
        <v>100</v>
      </c>
      <c r="D28" s="39" t="n">
        <v>100</v>
      </c>
      <c r="E28" s="39" t="n">
        <v>100</v>
      </c>
      <c r="F28" s="39" t="n">
        <v>100</v>
      </c>
    </row>
    <row r="60">
      <c r="A60" t="inlineStr">
        <is>
          <t>Ticker</t>
        </is>
      </c>
      <c r="B60" t="inlineStr">
        <is>
          <t>Gross Margin</t>
        </is>
      </c>
      <c r="C60" t="inlineStr">
        <is>
          <t>Rev Growth</t>
        </is>
      </c>
      <c r="D60" t="inlineStr">
        <is>
          <t>Mkt Cap</t>
        </is>
      </c>
    </row>
    <row r="61">
      <c r="A61" t="inlineStr">
        <is>
          <t>SODI</t>
        </is>
      </c>
      <c r="B61" t="n">
        <v>34.3</v>
      </c>
      <c r="C61" t="n">
        <v>49.1</v>
      </c>
      <c r="D61" t="n">
        <v>53.5</v>
      </c>
    </row>
    <row r="62">
      <c r="A62" t="inlineStr">
        <is>
          <t>WSTL</t>
        </is>
      </c>
      <c r="B62" t="n">
        <v>41.1</v>
      </c>
      <c r="C62" t="n">
        <v>46.6</v>
      </c>
      <c r="D62" t="n">
        <v>50.5</v>
      </c>
    </row>
    <row r="63">
      <c r="A63" t="inlineStr">
        <is>
          <t>SPRU</t>
        </is>
      </c>
      <c r="B63" t="n">
        <v>68.3</v>
      </c>
      <c r="C63" t="n">
        <v>43.7</v>
      </c>
      <c r="D63" t="n">
        <v>62.9</v>
      </c>
    </row>
    <row r="64">
      <c r="A64" t="inlineStr">
        <is>
          <t>CODA</t>
        </is>
      </c>
      <c r="B64" t="n">
        <v>67.59999999999999</v>
      </c>
      <c r="C64" t="n">
        <v>43.8</v>
      </c>
      <c r="D64" t="n">
        <v>162.3</v>
      </c>
    </row>
    <row r="65">
      <c r="A65" t="inlineStr">
        <is>
          <t>TGEN</t>
        </is>
      </c>
      <c r="B65" t="n">
        <v>30.4</v>
      </c>
      <c r="C65" t="n">
        <v>27.6</v>
      </c>
      <c r="D65" t="n">
        <v>88.90000000000001</v>
      </c>
    </row>
    <row r="66">
      <c r="A66" t="inlineStr">
        <is>
          <t>TAYD</t>
        </is>
      </c>
      <c r="B66" t="n">
        <v>47</v>
      </c>
      <c r="C66" t="n">
        <v>198.6</v>
      </c>
      <c r="D66" t="n">
        <v>260.1</v>
      </c>
    </row>
    <row r="67">
      <c r="A67" t="inlineStr">
        <is>
          <t>RFIL</t>
        </is>
      </c>
      <c r="B67" t="n">
        <v>36.8</v>
      </c>
      <c r="C67" t="n">
        <v>22.9</v>
      </c>
      <c r="D67" t="n">
        <v>111.9</v>
      </c>
    </row>
    <row r="68">
      <c r="A68" t="inlineStr">
        <is>
          <t>MRAM</t>
        </is>
      </c>
      <c r="B68" t="n">
        <v>50.8</v>
      </c>
      <c r="C68" t="n">
        <v>11.8</v>
      </c>
      <c r="D68" t="n">
        <v>200.2</v>
      </c>
    </row>
    <row r="69">
      <c r="A69" t="inlineStr">
        <is>
          <t>SCTQ</t>
        </is>
      </c>
      <c r="B69" t="n">
        <v>57</v>
      </c>
      <c r="C69" t="n">
        <v>501.8</v>
      </c>
      <c r="D69" t="n">
        <v>97.09999999999999</v>
      </c>
    </row>
    <row r="70">
      <c r="A70" t="inlineStr">
        <is>
          <t>ZEO</t>
        </is>
      </c>
      <c r="B70" t="n">
        <v>57.9</v>
      </c>
      <c r="C70" t="n">
        <v>21.6</v>
      </c>
      <c r="D70" t="n">
        <v>52.1</v>
      </c>
    </row>
  </sheetData>
  <mergeCells count="3">
    <mergeCell ref="A2:S2"/>
    <mergeCell ref="A1:S1"/>
    <mergeCell ref="A17:S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F5:F14">
    <cfRule type="colorScale" priority="4">
      <colorScale>
        <cfvo type="min"/>
        <cfvo type="max"/>
        <color rgb="00FFFFFF"/>
        <color rgb="002A9D8F"/>
      </colorScale>
    </cfRule>
  </conditionalFormatting>
  <conditionalFormatting sqref="H5:H14">
    <cfRule type="colorScale" priority="5">
      <colorScale>
        <cfvo type="min"/>
        <cfvo type="max"/>
        <color rgb="00FFFFFF"/>
        <color rgb="002A9D8F"/>
      </colorScale>
    </cfRule>
  </conditionalFormatting>
  <conditionalFormatting sqref="I5:I14">
    <cfRule type="colorScale" priority="6">
      <colorScale>
        <cfvo type="min"/>
        <cfvo type="max"/>
        <color rgb="002A9D8F"/>
        <color rgb="00E76F51"/>
      </colorScale>
    </cfRule>
  </conditionalFormatting>
  <conditionalFormatting sqref="J5:J14">
    <cfRule type="colorScale" priority="7">
      <colorScale>
        <cfvo type="min"/>
        <cfvo type="max"/>
        <color rgb="00FFFFFF"/>
        <color rgb="002A9D8F"/>
      </colorScale>
    </cfRule>
  </conditionalFormatting>
  <conditionalFormatting sqref="O5:O14">
    <cfRule type="colorScale" priority="8">
      <colorScale>
        <cfvo type="min"/>
        <cfvo type="num" val="0"/>
        <cfvo type="max"/>
        <color rgb="00E76F51"/>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B19:B28">
    <cfRule type="colorScale" priority="13">
      <colorScale>
        <cfvo type="num" val="0"/>
        <cfvo type="num" val="50"/>
        <cfvo type="num" val="100"/>
        <color rgb="00C1121F"/>
        <color rgb="00F9C74F"/>
        <color rgb="001A6B3C"/>
      </colorScale>
    </cfRule>
  </conditionalFormatting>
  <conditionalFormatting sqref="C19:C28">
    <cfRule type="colorScale" priority="14">
      <colorScale>
        <cfvo type="num" val="0"/>
        <cfvo type="num" val="50"/>
        <cfvo type="num" val="100"/>
        <color rgb="00C1121F"/>
        <color rgb="00F9C74F"/>
        <color rgb="001A6B3C"/>
      </colorScale>
    </cfRule>
  </conditionalFormatting>
  <conditionalFormatting sqref="D19:D28">
    <cfRule type="colorScale" priority="15">
      <colorScale>
        <cfvo type="num" val="0"/>
        <cfvo type="num" val="50"/>
        <cfvo type="num" val="100"/>
        <color rgb="00C1121F"/>
        <color rgb="00F9C74F"/>
        <color rgb="001A6B3C"/>
      </colorScale>
    </cfRule>
  </conditionalFormatting>
  <conditionalFormatting sqref="E19:E28">
    <cfRule type="colorScale" priority="16">
      <colorScale>
        <cfvo type="num" val="0"/>
        <cfvo type="num" val="50"/>
        <cfvo type="num" val="100"/>
        <color rgb="00C1121F"/>
        <color rgb="00F9C74F"/>
        <color rgb="001A6B3C"/>
      </colorScale>
    </cfRule>
  </conditionalFormatting>
  <conditionalFormatting sqref="F19:F28">
    <cfRule type="colorScale" priority="17">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3.xml><?xml version="1.0" encoding="utf-8"?>
<worksheet xmlns="http://schemas.openxmlformats.org/spreadsheetml/2006/main">
  <sheetPr>
    <tabColor rgb="002A9D8F"/>
    <outlinePr summaryBelow="1" summaryRight="1"/>
    <pageSetUpPr fitToPage="1"/>
  </sheetPr>
  <dimension ref="A1:S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2" customWidth="1" min="14" max="14"/>
    <col width="10" customWidth="1" min="15" max="15"/>
    <col width="10" customWidth="1" min="16" max="16"/>
    <col width="10" customWidth="1" min="17" max="17"/>
    <col width="10" customWidth="1" min="18" max="18"/>
    <col width="10" customWidth="1" min="19" max="19"/>
  </cols>
  <sheetData>
    <row r="1" ht="28" customHeight="1">
      <c r="A1" s="30" t="inlineStr">
        <is>
          <t>Small Cap ($300M–$2B) — Screener Results</t>
        </is>
      </c>
      <c r="B1" s="11" t="n"/>
      <c r="C1" s="11" t="n"/>
      <c r="D1" s="11" t="n"/>
      <c r="E1" s="11" t="n"/>
      <c r="F1" s="11" t="n"/>
      <c r="G1" s="11" t="n"/>
      <c r="H1" s="11" t="n"/>
      <c r="I1" s="11" t="n"/>
      <c r="J1" s="11" t="n"/>
      <c r="K1" s="11" t="n"/>
      <c r="L1" s="11" t="n"/>
      <c r="M1" s="11" t="n"/>
      <c r="N1" s="11" t="n"/>
      <c r="O1" s="11" t="n"/>
      <c r="P1" s="11" t="n"/>
      <c r="Q1" s="11" t="n"/>
      <c r="R1" s="11" t="n"/>
      <c r="S1" s="11" t="n"/>
    </row>
    <row r="2" ht="22" customHeight="1">
      <c r="A2" s="31" t="inlineStr">
        <is>
          <t>Top 10 by combined score  |  March 08, 2026</t>
        </is>
      </c>
      <c r="B2" s="12" t="n"/>
      <c r="C2" s="12" t="n"/>
      <c r="D2" s="12" t="n"/>
      <c r="E2" s="12" t="n"/>
      <c r="F2" s="12" t="n"/>
      <c r="G2" s="12" t="n"/>
      <c r="H2" s="12" t="n"/>
      <c r="I2" s="12" t="n"/>
      <c r="J2" s="12" t="n"/>
      <c r="K2" s="12" t="n"/>
      <c r="L2" s="12" t="n"/>
      <c r="M2" s="12" t="n"/>
      <c r="N2" s="12" t="n"/>
      <c r="O2" s="12" t="n"/>
      <c r="P2" s="12" t="n"/>
      <c r="Q2" s="12" t="n"/>
      <c r="R2" s="12" t="n"/>
      <c r="S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Conviction</t>
        </is>
      </c>
      <c r="O4" s="18" t="inlineStr">
        <is>
          <t>1M</t>
        </is>
      </c>
      <c r="P4" s="18" t="inlineStr">
        <is>
          <t>3M</t>
        </is>
      </c>
      <c r="Q4" s="18" t="inlineStr">
        <is>
          <t>6M</t>
        </is>
      </c>
      <c r="R4" s="18" t="inlineStr">
        <is>
          <t>YTD</t>
        </is>
      </c>
      <c r="S4" s="18" t="inlineStr">
        <is>
          <t>1Y</t>
        </is>
      </c>
    </row>
    <row r="5" ht="16" customHeight="1">
      <c r="A5" s="32" t="n">
        <v>1</v>
      </c>
      <c r="B5" s="19" t="inlineStr">
        <is>
          <t>GOGO</t>
        </is>
      </c>
      <c r="C5" s="20" t="inlineStr">
        <is>
          <t>Gogo Inc.</t>
        </is>
      </c>
      <c r="D5" s="21" t="n">
        <v>704.4</v>
      </c>
      <c r="E5" s="33" t="n">
        <v>5.23</v>
      </c>
      <c r="F5" s="34" t="n">
        <v>0.6729999999999999</v>
      </c>
      <c r="G5" s="34" t="n">
        <v>0.352</v>
      </c>
      <c r="H5" s="34" t="n">
        <v>0.705</v>
      </c>
      <c r="I5" s="34" t="n">
        <v>0.044</v>
      </c>
      <c r="J5" s="34" t="n">
        <v>0.428</v>
      </c>
      <c r="K5" s="35" t="n">
        <v>100</v>
      </c>
      <c r="L5" s="35" t="n">
        <v>73.40000000000001</v>
      </c>
      <c r="M5" s="36" t="n">
        <v>89.40000000000001</v>
      </c>
      <c r="N5" s="23" t="inlineStr">
        <is>
          <t>High</t>
        </is>
      </c>
      <c r="O5" s="34" t="n">
        <v>0.2511962</v>
      </c>
      <c r="P5" s="34" t="n">
        <v>-0.2251852</v>
      </c>
      <c r="Q5" s="34" t="n">
        <v>-0.5139405</v>
      </c>
      <c r="R5" s="34" t="n">
        <v>0.09873950000000001</v>
      </c>
      <c r="S5" s="34" t="n">
        <v>-0.219403</v>
      </c>
    </row>
    <row r="6" ht="16" customHeight="1">
      <c r="A6" s="32" t="n">
        <v>2</v>
      </c>
      <c r="B6" s="25" t="inlineStr">
        <is>
          <t>MXL</t>
        </is>
      </c>
      <c r="C6" s="26" t="inlineStr">
        <is>
          <t>MaxLinear, Inc.</t>
        </is>
      </c>
      <c r="D6" s="27" t="n">
        <v>1359</v>
      </c>
      <c r="E6" s="37" t="n">
        <v>15.72</v>
      </c>
      <c r="F6" s="38" t="n">
        <v>0.48</v>
      </c>
      <c r="G6" s="38" t="n">
        <v>0.513</v>
      </c>
      <c r="H6" s="38" t="n">
        <v>0.5760000000000001</v>
      </c>
      <c r="I6" s="38" t="n">
        <v>0.098</v>
      </c>
      <c r="J6" s="38" t="n">
        <v>0.068</v>
      </c>
      <c r="K6" s="39" t="n">
        <v>90.2</v>
      </c>
      <c r="L6" s="39" t="n">
        <v>87.09999999999999</v>
      </c>
      <c r="M6" s="40" t="n">
        <v>89</v>
      </c>
      <c r="N6" s="23" t="inlineStr">
        <is>
          <t>High</t>
        </is>
      </c>
      <c r="O6" s="38" t="n">
        <v>-0.1602564</v>
      </c>
      <c r="P6" s="38" t="n">
        <v>-0.1942594</v>
      </c>
      <c r="Q6" s="38" t="n">
        <v>-0.0088272383</v>
      </c>
      <c r="R6" s="38" t="n">
        <v>-0.1507293</v>
      </c>
      <c r="S6" s="38" t="n">
        <v>0.3435897</v>
      </c>
    </row>
    <row r="7" ht="16" customHeight="1">
      <c r="A7" s="32" t="n">
        <v>3</v>
      </c>
      <c r="B7" s="19" t="inlineStr">
        <is>
          <t>CDRE</t>
        </is>
      </c>
      <c r="C7" s="20" t="inlineStr">
        <is>
          <t>Cadre Holdings, Inc.</t>
        </is>
      </c>
      <c r="D7" s="21" t="n">
        <v>1770.1</v>
      </c>
      <c r="E7" s="33" t="n">
        <v>43.51</v>
      </c>
      <c r="F7" s="34" t="n">
        <v>0.425</v>
      </c>
      <c r="G7" s="34" t="n">
        <v>0.547</v>
      </c>
      <c r="H7" s="34" t="n">
        <v>0.419</v>
      </c>
      <c r="I7" s="34" t="n">
        <v>0.08900000000000001</v>
      </c>
      <c r="J7" s="34" t="n">
        <v>0.349</v>
      </c>
      <c r="K7" s="35" t="n">
        <v>92.40000000000001</v>
      </c>
      <c r="L7" s="35" t="n">
        <v>82.09999999999999</v>
      </c>
      <c r="M7" s="36" t="n">
        <v>88.3</v>
      </c>
      <c r="N7" s="23" t="inlineStr">
        <is>
          <t>High</t>
        </is>
      </c>
      <c r="O7" s="34" t="n">
        <v>0.0451597</v>
      </c>
      <c r="P7" s="34" t="n">
        <v>0.0211218</v>
      </c>
      <c r="Q7" s="34" t="n">
        <v>0.3652338000000001</v>
      </c>
      <c r="R7" s="34" t="n">
        <v>0.0581226</v>
      </c>
      <c r="S7" s="34" t="n">
        <v>0.2853767</v>
      </c>
    </row>
    <row r="8" ht="16" customHeight="1">
      <c r="A8" s="32" t="n">
        <v>4</v>
      </c>
      <c r="B8" s="25" t="inlineStr">
        <is>
          <t>ADTN</t>
        </is>
      </c>
      <c r="C8" s="26" t="inlineStr">
        <is>
          <t>ADTRAN Holdings, Inc.</t>
        </is>
      </c>
      <c r="D8" s="27" t="n">
        <v>773.5</v>
      </c>
      <c r="E8" s="37" t="n">
        <v>9.59</v>
      </c>
      <c r="F8" s="38" t="n">
        <v>0.201</v>
      </c>
      <c r="G8" s="38" t="n">
        <v>0.127</v>
      </c>
      <c r="H8" s="38" t="n">
        <v>0.39</v>
      </c>
      <c r="I8" s="38" t="n">
        <v>0.019</v>
      </c>
      <c r="J8" s="38" t="n">
        <v>0.116</v>
      </c>
      <c r="K8" s="39" t="n">
        <v>78.8</v>
      </c>
      <c r="L8" s="39" t="n">
        <v>100</v>
      </c>
      <c r="M8" s="40" t="n">
        <v>87.3</v>
      </c>
      <c r="N8" s="23" t="inlineStr">
        <is>
          <t>High</t>
        </is>
      </c>
      <c r="O8" s="38" t="n">
        <v>-0.0273834</v>
      </c>
      <c r="P8" s="38" t="n">
        <v>0.1229508</v>
      </c>
      <c r="Q8" s="38" t="n">
        <v>-0.0598039</v>
      </c>
      <c r="R8" s="38" t="n">
        <v>0.1048387</v>
      </c>
      <c r="S8" s="38" t="n">
        <v>0.1295642</v>
      </c>
    </row>
    <row r="9" ht="16" customHeight="1">
      <c r="A9" s="32" t="n">
        <v>5</v>
      </c>
      <c r="B9" s="19" t="inlineStr">
        <is>
          <t>PKE</t>
        </is>
      </c>
      <c r="C9" s="20" t="inlineStr">
        <is>
          <t>Park Aerospace Corp.</t>
        </is>
      </c>
      <c r="D9" s="21" t="n">
        <v>536</v>
      </c>
      <c r="E9" s="33" t="n">
        <v>26.9</v>
      </c>
      <c r="F9" s="34" t="n">
        <v>0.203</v>
      </c>
      <c r="G9" s="34" t="n">
        <v>0.321</v>
      </c>
      <c r="H9" s="34" t="n">
        <v>0.341</v>
      </c>
      <c r="I9" s="34" t="n">
        <v>-0.027</v>
      </c>
      <c r="J9" s="34" t="n">
        <v>0.096</v>
      </c>
      <c r="K9" s="35" t="n">
        <v>78.59999999999999</v>
      </c>
      <c r="L9" s="35" t="n">
        <v>100</v>
      </c>
      <c r="M9" s="36" t="n">
        <v>87.2</v>
      </c>
      <c r="N9" s="23" t="inlineStr">
        <is>
          <t>High</t>
        </is>
      </c>
      <c r="O9" s="34" t="n">
        <v>0.1060855</v>
      </c>
      <c r="P9" s="34" t="n">
        <v>0.3592724</v>
      </c>
      <c r="Q9" s="34" t="n">
        <v>0.4105926</v>
      </c>
      <c r="R9" s="34" t="n">
        <v>0.2652869</v>
      </c>
      <c r="S9" s="34" t="n">
        <v>1.0301887</v>
      </c>
    </row>
    <row r="10" ht="16" customHeight="1">
      <c r="A10" s="32" t="n">
        <v>6</v>
      </c>
      <c r="B10" s="25" t="inlineStr">
        <is>
          <t>MVST</t>
        </is>
      </c>
      <c r="C10" s="26" t="inlineStr">
        <is>
          <t>Microvast Holdings, Inc.</t>
        </is>
      </c>
      <c r="D10" s="27" t="n">
        <v>682.6</v>
      </c>
      <c r="E10" s="37" t="n">
        <v>2.08</v>
      </c>
      <c r="F10" s="38" t="n">
        <v>0.216</v>
      </c>
      <c r="G10" s="38" t="n">
        <v>0.246</v>
      </c>
      <c r="H10" s="38" t="n">
        <v>0.376</v>
      </c>
      <c r="I10" s="38" t="n">
        <v>0.052</v>
      </c>
      <c r="J10" s="38" t="n">
        <v>0.392</v>
      </c>
      <c r="K10" s="39" t="n">
        <v>81.59999999999999</v>
      </c>
      <c r="L10" s="39" t="n">
        <v>92.5</v>
      </c>
      <c r="M10" s="40" t="n">
        <v>86</v>
      </c>
      <c r="N10" s="23" t="inlineStr">
        <is>
          <t>High</t>
        </is>
      </c>
      <c r="O10" s="38" t="n">
        <v>-0.1778656</v>
      </c>
      <c r="P10" s="38" t="n">
        <v>-0.4173669</v>
      </c>
      <c r="Q10" s="38" t="n">
        <v>-0.2777778</v>
      </c>
      <c r="R10" s="38" t="n">
        <v>-0.2624113</v>
      </c>
      <c r="S10" s="38" t="n">
        <v>0.4444444</v>
      </c>
    </row>
    <row r="11" ht="16" customHeight="1">
      <c r="A11" s="32" t="n">
        <v>7</v>
      </c>
      <c r="B11" s="19" t="inlineStr">
        <is>
          <t>CLFD</t>
        </is>
      </c>
      <c r="C11" s="20" t="inlineStr">
        <is>
          <t>Clearfield, Inc.</t>
        </is>
      </c>
      <c r="D11" s="21" t="n">
        <v>415.5</v>
      </c>
      <c r="E11" s="33" t="n">
        <v>30.01</v>
      </c>
      <c r="F11" s="34" t="n">
        <v>0.156</v>
      </c>
      <c r="G11" s="34" t="n">
        <v>0.351</v>
      </c>
      <c r="H11" s="34" t="n">
        <v>0.332</v>
      </c>
      <c r="I11" s="34" t="n">
        <v>-0.09</v>
      </c>
      <c r="J11" s="34" t="n">
        <v>0.186</v>
      </c>
      <c r="K11" s="35" t="n">
        <v>76</v>
      </c>
      <c r="L11" s="35" t="n">
        <v>100</v>
      </c>
      <c r="M11" s="36" t="n">
        <v>85.59999999999999</v>
      </c>
      <c r="N11" s="23" t="inlineStr">
        <is>
          <t>High</t>
        </is>
      </c>
      <c r="O11" s="34" t="n">
        <v>-0.0291168</v>
      </c>
      <c r="P11" s="34" t="n">
        <v>0.0176331</v>
      </c>
      <c r="Q11" s="34" t="n">
        <v>-0.1079073</v>
      </c>
      <c r="R11" s="34" t="n">
        <v>0.0176331</v>
      </c>
      <c r="S11" s="34" t="n">
        <v>0.1000733</v>
      </c>
    </row>
    <row r="12" ht="16" customHeight="1">
      <c r="A12" s="32" t="n">
        <v>8</v>
      </c>
      <c r="B12" s="25" t="inlineStr">
        <is>
          <t>ISSC</t>
        </is>
      </c>
      <c r="C12" s="26" t="inlineStr">
        <is>
          <t>Innovative Solutions and Support, Inc.</t>
        </is>
      </c>
      <c r="D12" s="27" t="n">
        <v>465.6</v>
      </c>
      <c r="E12" s="37" t="n">
        <v>26.19</v>
      </c>
      <c r="F12" s="38" t="n">
        <v>0.366</v>
      </c>
      <c r="G12" s="38" t="n">
        <v>-0.121</v>
      </c>
      <c r="H12" s="38" t="n">
        <v>0.545</v>
      </c>
      <c r="I12" s="38" t="n">
        <v>0.02</v>
      </c>
      <c r="J12" s="38" t="n">
        <v>0.08800000000000001</v>
      </c>
      <c r="K12" s="39" t="n">
        <v>78.09999999999999</v>
      </c>
      <c r="L12" s="39" t="n">
        <v>96.40000000000001</v>
      </c>
      <c r="M12" s="40" t="n">
        <v>85.40000000000001</v>
      </c>
      <c r="N12" s="23" t="inlineStr">
        <is>
          <t>High</t>
        </is>
      </c>
      <c r="O12" s="38" t="n">
        <v>0.3369066</v>
      </c>
      <c r="P12" s="38" t="n">
        <v>1.520693</v>
      </c>
      <c r="Q12" s="38" t="n">
        <v>1.2993854</v>
      </c>
      <c r="R12" s="38" t="n">
        <v>0.3968</v>
      </c>
      <c r="S12" s="38" t="n">
        <v>3.0858034</v>
      </c>
    </row>
    <row r="13" ht="16" customHeight="1">
      <c r="A13" s="32" t="n">
        <v>9</v>
      </c>
      <c r="B13" s="19" t="inlineStr">
        <is>
          <t>CECO</t>
        </is>
      </c>
      <c r="C13" s="20" t="inlineStr">
        <is>
          <t>CECO Environmental Corp.</t>
        </is>
      </c>
      <c r="D13" s="21" t="n">
        <v>1873.5</v>
      </c>
      <c r="E13" s="33" t="n">
        <v>52.53</v>
      </c>
      <c r="F13" s="34" t="n">
        <v>0.354</v>
      </c>
      <c r="G13" s="34" t="n">
        <v>0.099</v>
      </c>
      <c r="H13" s="34" t="n">
        <v>0.333</v>
      </c>
      <c r="I13" s="34" t="n">
        <v>0.035</v>
      </c>
      <c r="J13" s="34" t="n">
        <v>0.158</v>
      </c>
      <c r="K13" s="35" t="n">
        <v>84.09999999999999</v>
      </c>
      <c r="L13" s="35" t="n">
        <v>87.2</v>
      </c>
      <c r="M13" s="36" t="n">
        <v>85.3</v>
      </c>
      <c r="N13" s="23" t="inlineStr">
        <is>
          <t>High</t>
        </is>
      </c>
      <c r="O13" s="34" t="n">
        <v>-0.2741467</v>
      </c>
      <c r="P13" s="34" t="n">
        <v>-0.0617967</v>
      </c>
      <c r="Q13" s="34" t="n">
        <v>0.1642287</v>
      </c>
      <c r="R13" s="34" t="n">
        <v>-0.121425</v>
      </c>
      <c r="S13" s="34" t="n">
        <v>1.2613</v>
      </c>
    </row>
    <row r="14" ht="16" customHeight="1">
      <c r="A14" s="32" t="n">
        <v>10</v>
      </c>
      <c r="B14" s="25" t="inlineStr">
        <is>
          <t>ALNT</t>
        </is>
      </c>
      <c r="C14" s="26" t="inlineStr">
        <is>
          <t>Allient Inc.</t>
        </is>
      </c>
      <c r="D14" s="27" t="n">
        <v>1105.6</v>
      </c>
      <c r="E14" s="37" t="n">
        <v>65.25</v>
      </c>
      <c r="F14" s="38" t="n">
        <v>0.175</v>
      </c>
      <c r="G14" s="38" t="n">
        <v>0.343</v>
      </c>
      <c r="H14" s="38" t="n">
        <v>0.302</v>
      </c>
      <c r="I14" s="38" t="n">
        <v>0.052</v>
      </c>
      <c r="J14" s="38" t="n">
        <v>0.206</v>
      </c>
      <c r="K14" s="39" t="n">
        <v>75.40000000000001</v>
      </c>
      <c r="L14" s="39" t="n">
        <v>99.8</v>
      </c>
      <c r="M14" s="40" t="n">
        <v>85.2</v>
      </c>
      <c r="N14" s="23" t="inlineStr">
        <is>
          <t>High</t>
        </is>
      </c>
      <c r="O14" s="38" t="n">
        <v>-0.0074536051</v>
      </c>
      <c r="P14" s="38" t="n">
        <v>0.1939616</v>
      </c>
      <c r="Q14" s="38" t="n">
        <v>0.4259178</v>
      </c>
      <c r="R14" s="38" t="n">
        <v>0.1739834</v>
      </c>
      <c r="S14" s="38" t="n">
        <v>1.9025801</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GOGO</t>
        </is>
      </c>
      <c r="B19" s="35" t="n">
        <v>100</v>
      </c>
      <c r="C19" s="35" t="n">
        <v>100</v>
      </c>
      <c r="D19" s="35" t="n">
        <v>100</v>
      </c>
      <c r="E19" s="35" t="n">
        <v>100</v>
      </c>
      <c r="F19" s="35" t="n">
        <v>100</v>
      </c>
    </row>
    <row r="20" ht="16" customHeight="1">
      <c r="A20" s="25" t="inlineStr">
        <is>
          <t>MXL</t>
        </is>
      </c>
      <c r="B20" s="39" t="n">
        <v>96</v>
      </c>
      <c r="C20" s="39" t="n">
        <v>100</v>
      </c>
      <c r="D20" s="39" t="n">
        <v>80.8</v>
      </c>
      <c r="E20" s="39" t="n">
        <v>68</v>
      </c>
      <c r="F20" s="39" t="n">
        <v>100</v>
      </c>
    </row>
    <row r="21" ht="16" customHeight="1">
      <c r="A21" s="19" t="inlineStr">
        <is>
          <t>CDRE</t>
        </is>
      </c>
      <c r="B21" s="35" t="n">
        <v>85</v>
      </c>
      <c r="C21" s="35" t="n">
        <v>100</v>
      </c>
      <c r="D21" s="35" t="n">
        <v>84.40000000000001</v>
      </c>
      <c r="E21" s="35" t="n">
        <v>100</v>
      </c>
      <c r="F21" s="35" t="n">
        <v>100</v>
      </c>
    </row>
    <row r="22" ht="16" customHeight="1">
      <c r="A22" s="25" t="inlineStr">
        <is>
          <t>ADTN</t>
        </is>
      </c>
      <c r="B22" s="39" t="n">
        <v>40.2</v>
      </c>
      <c r="C22" s="39" t="n">
        <v>97.5</v>
      </c>
      <c r="D22" s="39" t="n">
        <v>100</v>
      </c>
      <c r="E22" s="39" t="n">
        <v>100</v>
      </c>
      <c r="F22" s="39" t="n">
        <v>81.8</v>
      </c>
    </row>
    <row r="23" ht="16" customHeight="1">
      <c r="A23" s="19" t="inlineStr">
        <is>
          <t>PKE</t>
        </is>
      </c>
      <c r="B23" s="35" t="n">
        <v>40.6</v>
      </c>
      <c r="C23" s="35" t="n">
        <v>85.2</v>
      </c>
      <c r="D23" s="35" t="n">
        <v>100</v>
      </c>
      <c r="E23" s="35" t="n">
        <v>96</v>
      </c>
      <c r="F23" s="35" t="n">
        <v>100</v>
      </c>
    </row>
    <row r="24" ht="16" customHeight="1">
      <c r="A24" s="25" t="inlineStr">
        <is>
          <t>MVST</t>
        </is>
      </c>
      <c r="B24" s="39" t="n">
        <v>43.2</v>
      </c>
      <c r="C24" s="39" t="n">
        <v>94</v>
      </c>
      <c r="D24" s="39" t="n">
        <v>99.2</v>
      </c>
      <c r="E24" s="39" t="n">
        <v>100</v>
      </c>
      <c r="F24" s="39" t="n">
        <v>100</v>
      </c>
    </row>
    <row r="25" ht="16" customHeight="1">
      <c r="A25" s="19" t="inlineStr">
        <is>
          <t>CLFD</t>
        </is>
      </c>
      <c r="B25" s="35" t="n">
        <v>31.2</v>
      </c>
      <c r="C25" s="35" t="n">
        <v>83</v>
      </c>
      <c r="D25" s="35" t="n">
        <v>100</v>
      </c>
      <c r="E25" s="35" t="n">
        <v>100</v>
      </c>
      <c r="F25" s="35" t="n">
        <v>100</v>
      </c>
    </row>
    <row r="26" ht="16" customHeight="1">
      <c r="A26" s="25" t="inlineStr">
        <is>
          <t>ISSC</t>
        </is>
      </c>
      <c r="B26" s="39" t="n">
        <v>73.2</v>
      </c>
      <c r="C26" s="39" t="n">
        <v>100</v>
      </c>
      <c r="D26" s="39" t="n">
        <v>100</v>
      </c>
      <c r="E26" s="39" t="n">
        <v>88</v>
      </c>
      <c r="F26" s="39" t="n">
        <v>19.8</v>
      </c>
    </row>
    <row r="27" ht="16" customHeight="1">
      <c r="A27" s="19" t="inlineStr">
        <is>
          <t>CECO</t>
        </is>
      </c>
      <c r="B27" s="35" t="n">
        <v>70.8</v>
      </c>
      <c r="C27" s="35" t="n">
        <v>83.2</v>
      </c>
      <c r="D27" s="35" t="n">
        <v>100</v>
      </c>
      <c r="E27" s="35" t="n">
        <v>100</v>
      </c>
      <c r="F27" s="35" t="n">
        <v>74.8</v>
      </c>
    </row>
    <row r="28" ht="16" customHeight="1">
      <c r="A28" s="25" t="inlineStr">
        <is>
          <t>ALNT</t>
        </is>
      </c>
      <c r="B28" s="39" t="n">
        <v>35</v>
      </c>
      <c r="C28" s="39" t="n">
        <v>75.5</v>
      </c>
      <c r="D28" s="39" t="n">
        <v>99.2</v>
      </c>
      <c r="E28" s="39" t="n">
        <v>100</v>
      </c>
      <c r="F28" s="39" t="n">
        <v>100</v>
      </c>
    </row>
    <row r="60">
      <c r="A60" t="inlineStr">
        <is>
          <t>Ticker</t>
        </is>
      </c>
      <c r="B60" t="inlineStr">
        <is>
          <t>Gross Margin</t>
        </is>
      </c>
      <c r="C60" t="inlineStr">
        <is>
          <t>Rev Growth</t>
        </is>
      </c>
      <c r="D60" t="inlineStr">
        <is>
          <t>Mkt Cap</t>
        </is>
      </c>
    </row>
    <row r="61">
      <c r="A61" t="inlineStr">
        <is>
          <t>GOGO</t>
        </is>
      </c>
      <c r="B61" t="n">
        <v>70.5</v>
      </c>
      <c r="C61" t="n">
        <v>67.3</v>
      </c>
      <c r="D61" t="n">
        <v>704.4</v>
      </c>
    </row>
    <row r="62">
      <c r="A62" t="inlineStr">
        <is>
          <t>MXL</t>
        </is>
      </c>
      <c r="B62" t="n">
        <v>57.6</v>
      </c>
      <c r="C62" t="n">
        <v>48</v>
      </c>
      <c r="D62" t="n">
        <v>1359</v>
      </c>
    </row>
    <row r="63">
      <c r="A63" t="inlineStr">
        <is>
          <t>CDRE</t>
        </is>
      </c>
      <c r="B63" t="n">
        <v>41.9</v>
      </c>
      <c r="C63" t="n">
        <v>42.5</v>
      </c>
      <c r="D63" t="n">
        <v>1770.1</v>
      </c>
    </row>
    <row r="64">
      <c r="A64" t="inlineStr">
        <is>
          <t>ADTN</t>
        </is>
      </c>
      <c r="B64" t="n">
        <v>39</v>
      </c>
      <c r="C64" t="n">
        <v>20.1</v>
      </c>
      <c r="D64" t="n">
        <v>773.5</v>
      </c>
    </row>
    <row r="65">
      <c r="A65" t="inlineStr">
        <is>
          <t>PKE</t>
        </is>
      </c>
      <c r="B65" t="n">
        <v>34.1</v>
      </c>
      <c r="C65" t="n">
        <v>20.3</v>
      </c>
      <c r="D65" t="n">
        <v>536</v>
      </c>
    </row>
    <row r="66">
      <c r="A66" t="inlineStr">
        <is>
          <t>MVST</t>
        </is>
      </c>
      <c r="B66" t="n">
        <v>37.6</v>
      </c>
      <c r="C66" t="n">
        <v>21.6</v>
      </c>
      <c r="D66" t="n">
        <v>682.6</v>
      </c>
    </row>
    <row r="67">
      <c r="A67" t="inlineStr">
        <is>
          <t>CLFD</t>
        </is>
      </c>
      <c r="B67" t="n">
        <v>33.2</v>
      </c>
      <c r="C67" t="n">
        <v>15.6</v>
      </c>
      <c r="D67" t="n">
        <v>415.5</v>
      </c>
    </row>
    <row r="68">
      <c r="A68" t="inlineStr">
        <is>
          <t>ISSC</t>
        </is>
      </c>
      <c r="B68" t="n">
        <v>54.5</v>
      </c>
      <c r="C68" t="n">
        <v>36.6</v>
      </c>
      <c r="D68" t="n">
        <v>465.6</v>
      </c>
    </row>
    <row r="69">
      <c r="A69" t="inlineStr">
        <is>
          <t>CECO</t>
        </is>
      </c>
      <c r="B69" t="n">
        <v>33.3</v>
      </c>
      <c r="C69" t="n">
        <v>35.4</v>
      </c>
      <c r="D69" t="n">
        <v>1873.5</v>
      </c>
    </row>
    <row r="70">
      <c r="A70" t="inlineStr">
        <is>
          <t>ALNT</t>
        </is>
      </c>
      <c r="B70" t="n">
        <v>30.2</v>
      </c>
      <c r="C70" t="n">
        <v>17.5</v>
      </c>
      <c r="D70" t="n">
        <v>1105.6</v>
      </c>
    </row>
  </sheetData>
  <mergeCells count="3">
    <mergeCell ref="A2:S2"/>
    <mergeCell ref="A1:S1"/>
    <mergeCell ref="A17:S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F5:F14">
    <cfRule type="colorScale" priority="4">
      <colorScale>
        <cfvo type="min"/>
        <cfvo type="max"/>
        <color rgb="00FFFFFF"/>
        <color rgb="002A9D8F"/>
      </colorScale>
    </cfRule>
  </conditionalFormatting>
  <conditionalFormatting sqref="H5:H14">
    <cfRule type="colorScale" priority="5">
      <colorScale>
        <cfvo type="min"/>
        <cfvo type="max"/>
        <color rgb="00FFFFFF"/>
        <color rgb="002A9D8F"/>
      </colorScale>
    </cfRule>
  </conditionalFormatting>
  <conditionalFormatting sqref="I5:I14">
    <cfRule type="colorScale" priority="6">
      <colorScale>
        <cfvo type="min"/>
        <cfvo type="max"/>
        <color rgb="002A9D8F"/>
        <color rgb="00E76F51"/>
      </colorScale>
    </cfRule>
  </conditionalFormatting>
  <conditionalFormatting sqref="J5:J14">
    <cfRule type="colorScale" priority="7">
      <colorScale>
        <cfvo type="min"/>
        <cfvo type="max"/>
        <color rgb="00FFFFFF"/>
        <color rgb="002A9D8F"/>
      </colorScale>
    </cfRule>
  </conditionalFormatting>
  <conditionalFormatting sqref="O5:O14">
    <cfRule type="colorScale" priority="8">
      <colorScale>
        <cfvo type="min"/>
        <cfvo type="num" val="0"/>
        <cfvo type="max"/>
        <color rgb="00E76F51"/>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B19:B28">
    <cfRule type="colorScale" priority="13">
      <colorScale>
        <cfvo type="num" val="0"/>
        <cfvo type="num" val="50"/>
        <cfvo type="num" val="100"/>
        <color rgb="00C1121F"/>
        <color rgb="00F9C74F"/>
        <color rgb="001A6B3C"/>
      </colorScale>
    </cfRule>
  </conditionalFormatting>
  <conditionalFormatting sqref="C19:C28">
    <cfRule type="colorScale" priority="14">
      <colorScale>
        <cfvo type="num" val="0"/>
        <cfvo type="num" val="50"/>
        <cfvo type="num" val="100"/>
        <color rgb="00C1121F"/>
        <color rgb="00F9C74F"/>
        <color rgb="001A6B3C"/>
      </colorScale>
    </cfRule>
  </conditionalFormatting>
  <conditionalFormatting sqref="D19:D28">
    <cfRule type="colorScale" priority="15">
      <colorScale>
        <cfvo type="num" val="0"/>
        <cfvo type="num" val="50"/>
        <cfvo type="num" val="100"/>
        <color rgb="00C1121F"/>
        <color rgb="00F9C74F"/>
        <color rgb="001A6B3C"/>
      </colorScale>
    </cfRule>
  </conditionalFormatting>
  <conditionalFormatting sqref="E19:E28">
    <cfRule type="colorScale" priority="16">
      <colorScale>
        <cfvo type="num" val="0"/>
        <cfvo type="num" val="50"/>
        <cfvo type="num" val="100"/>
        <color rgb="00C1121F"/>
        <color rgb="00F9C74F"/>
        <color rgb="001A6B3C"/>
      </colorScale>
    </cfRule>
  </conditionalFormatting>
  <conditionalFormatting sqref="F19:F28">
    <cfRule type="colorScale" priority="17">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4.xml><?xml version="1.0" encoding="utf-8"?>
<worksheet xmlns="http://schemas.openxmlformats.org/spreadsheetml/2006/main">
  <sheetPr>
    <tabColor rgb="000D1B2A"/>
    <outlinePr summaryBelow="1" summaryRight="1"/>
    <pageSetUpPr fitToPage="1"/>
  </sheetPr>
  <dimension ref="A1:S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2" customWidth="1" min="14" max="14"/>
    <col width="10" customWidth="1" min="15" max="15"/>
    <col width="10" customWidth="1" min="16" max="16"/>
    <col width="10" customWidth="1" min="17" max="17"/>
    <col width="10" customWidth="1" min="18" max="18"/>
    <col width="10" customWidth="1" min="19" max="19"/>
  </cols>
  <sheetData>
    <row r="1" ht="28" customHeight="1">
      <c r="A1" s="30" t="inlineStr">
        <is>
          <t>Breakout ($2B–$15B) — Screener Results</t>
        </is>
      </c>
      <c r="B1" s="11" t="n"/>
      <c r="C1" s="11" t="n"/>
      <c r="D1" s="11" t="n"/>
      <c r="E1" s="11" t="n"/>
      <c r="F1" s="11" t="n"/>
      <c r="G1" s="11" t="n"/>
      <c r="H1" s="11" t="n"/>
      <c r="I1" s="11" t="n"/>
      <c r="J1" s="11" t="n"/>
      <c r="K1" s="11" t="n"/>
      <c r="L1" s="11" t="n"/>
      <c r="M1" s="11" t="n"/>
      <c r="N1" s="11" t="n"/>
      <c r="O1" s="11" t="n"/>
      <c r="P1" s="11" t="n"/>
      <c r="Q1" s="11" t="n"/>
      <c r="R1" s="11" t="n"/>
      <c r="S1" s="11" t="n"/>
    </row>
    <row r="2" ht="22" customHeight="1">
      <c r="A2" s="31" t="inlineStr">
        <is>
          <t>Top 10 by combined score  |  March 08, 2026</t>
        </is>
      </c>
      <c r="B2" s="12" t="n"/>
      <c r="C2" s="12" t="n"/>
      <c r="D2" s="12" t="n"/>
      <c r="E2" s="12" t="n"/>
      <c r="F2" s="12" t="n"/>
      <c r="G2" s="12" t="n"/>
      <c r="H2" s="12" t="n"/>
      <c r="I2" s="12" t="n"/>
      <c r="J2" s="12" t="n"/>
      <c r="K2" s="12" t="n"/>
      <c r="L2" s="12" t="n"/>
      <c r="M2" s="12" t="n"/>
      <c r="N2" s="12" t="n"/>
      <c r="O2" s="12" t="n"/>
      <c r="P2" s="12" t="n"/>
      <c r="Q2" s="12" t="n"/>
      <c r="R2" s="12" t="n"/>
      <c r="S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Conviction</t>
        </is>
      </c>
      <c r="O4" s="18" t="inlineStr">
        <is>
          <t>1M</t>
        </is>
      </c>
      <c r="P4" s="18" t="inlineStr">
        <is>
          <t>3M</t>
        </is>
      </c>
      <c r="Q4" s="18" t="inlineStr">
        <is>
          <t>6M</t>
        </is>
      </c>
      <c r="R4" s="18" t="inlineStr">
        <is>
          <t>YTD</t>
        </is>
      </c>
      <c r="S4" s="18" t="inlineStr">
        <is>
          <t>1Y</t>
        </is>
      </c>
    </row>
    <row r="5" ht="16" customHeight="1">
      <c r="A5" s="32" t="n">
        <v>1</v>
      </c>
      <c r="B5" s="19" t="inlineStr">
        <is>
          <t>COMM</t>
        </is>
      </c>
      <c r="C5" s="20" t="inlineStr">
        <is>
          <t>CommScope Holding Company, Inc.</t>
        </is>
      </c>
      <c r="D5" s="21" t="n">
        <v>3958</v>
      </c>
      <c r="E5" s="33" t="n">
        <v>17.865</v>
      </c>
      <c r="F5" s="34" t="n">
        <v>0.506</v>
      </c>
      <c r="G5" s="34" t="n">
        <v>0.334</v>
      </c>
      <c r="H5" s="34" t="n">
        <v>0.3779999999999999</v>
      </c>
      <c r="I5" s="34" t="n">
        <v>0.063</v>
      </c>
      <c r="J5" s="34" t="n">
        <v>0.036</v>
      </c>
      <c r="K5" s="35" t="n">
        <v>88.3</v>
      </c>
      <c r="L5" s="35" t="n">
        <v>77.8</v>
      </c>
      <c r="M5" s="36" t="n">
        <v>84.09999999999999</v>
      </c>
      <c r="N5" s="24" t="inlineStr">
        <is>
          <t>Medium-High</t>
        </is>
      </c>
      <c r="O5" s="34" t="n">
        <v>-0.0597368</v>
      </c>
      <c r="P5" s="34" t="n">
        <v>-0.095443</v>
      </c>
      <c r="Q5" s="34" t="n">
        <v>0.1027778</v>
      </c>
      <c r="R5" s="34" t="n">
        <v>-0.021632</v>
      </c>
      <c r="S5" s="34" t="n">
        <v>2.833691</v>
      </c>
    </row>
    <row r="6" ht="16" customHeight="1">
      <c r="A6" s="32" t="n">
        <v>2</v>
      </c>
      <c r="B6" s="25" t="inlineStr">
        <is>
          <t>ALGM</t>
        </is>
      </c>
      <c r="C6" s="26" t="inlineStr">
        <is>
          <t>Allegro MicroSystems, Inc.</t>
        </is>
      </c>
      <c r="D6" s="27" t="n">
        <v>5916.3</v>
      </c>
      <c r="E6" s="37" t="n">
        <v>31.93</v>
      </c>
      <c r="F6" s="38" t="n">
        <v>0.289</v>
      </c>
      <c r="G6" s="38" t="n">
        <v>0.55</v>
      </c>
      <c r="H6" s="38" t="n">
        <v>0.467</v>
      </c>
      <c r="I6" s="38" t="n">
        <v>-0.033</v>
      </c>
      <c r="J6" s="38" t="n">
        <v>0.33</v>
      </c>
      <c r="K6" s="39" t="n">
        <v>87.3</v>
      </c>
      <c r="L6" s="39" t="n">
        <v>77.59999999999999</v>
      </c>
      <c r="M6" s="40" t="n">
        <v>83.40000000000001</v>
      </c>
      <c r="N6" s="24" t="inlineStr">
        <is>
          <t>Medium-High</t>
        </is>
      </c>
      <c r="O6" s="38" t="n">
        <v>-0.231898</v>
      </c>
      <c r="P6" s="38" t="n">
        <v>0.1106087</v>
      </c>
      <c r="Q6" s="38" t="n">
        <v>0.05067459999999999</v>
      </c>
      <c r="R6" s="38" t="n">
        <v>0.1865478</v>
      </c>
      <c r="S6" s="38" t="n">
        <v>0.2565919</v>
      </c>
    </row>
    <row r="7" ht="16" customHeight="1">
      <c r="A7" s="32" t="n">
        <v>3</v>
      </c>
      <c r="B7" s="19" t="inlineStr">
        <is>
          <t>XMTR</t>
        </is>
      </c>
      <c r="C7" s="20" t="inlineStr">
        <is>
          <t>Xometry, Inc.</t>
        </is>
      </c>
      <c r="D7" s="21" t="n">
        <v>2159.6</v>
      </c>
      <c r="E7" s="33" t="n">
        <v>43.39</v>
      </c>
      <c r="F7" s="34" t="n">
        <v>0.295</v>
      </c>
      <c r="G7" s="34" t="n">
        <v>0.08400000000000001</v>
      </c>
      <c r="H7" s="34" t="n">
        <v>0.391</v>
      </c>
      <c r="I7" s="34" t="n">
        <v>0.065</v>
      </c>
      <c r="J7" s="34" t="n">
        <v>0.105</v>
      </c>
      <c r="K7" s="35" t="n">
        <v>81.7</v>
      </c>
      <c r="L7" s="35" t="n">
        <v>80.5</v>
      </c>
      <c r="M7" s="36" t="n">
        <v>81.2</v>
      </c>
      <c r="N7" s="24" t="inlineStr">
        <is>
          <t>Medium-High</t>
        </is>
      </c>
      <c r="O7" s="34" t="n">
        <v>-0.3428745</v>
      </c>
      <c r="P7" s="34" t="n">
        <v>-0.2548515</v>
      </c>
      <c r="Q7" s="34" t="n">
        <v>-0.1621935</v>
      </c>
      <c r="R7" s="34" t="n">
        <v>-0.3086361</v>
      </c>
      <c r="S7" s="34" t="n">
        <v>0.8832465</v>
      </c>
    </row>
    <row r="8" ht="16" customHeight="1">
      <c r="A8" s="32" t="n">
        <v>4</v>
      </c>
      <c r="B8" s="25" t="inlineStr">
        <is>
          <t>KRMN</t>
        </is>
      </c>
      <c r="C8" s="26" t="inlineStr">
        <is>
          <t>Karman Holdings Inc.</t>
        </is>
      </c>
      <c r="D8" s="27" t="n">
        <v>13303.7</v>
      </c>
      <c r="E8" s="37" t="n">
        <v>100.54</v>
      </c>
      <c r="F8" s="38" t="n">
        <v>0.417</v>
      </c>
      <c r="G8" s="38" t="n">
        <v>0.3</v>
      </c>
      <c r="H8" s="38" t="n">
        <v>0.41</v>
      </c>
      <c r="I8" s="38" t="n">
        <v>0.001</v>
      </c>
      <c r="J8" s="38" t="n">
        <v>0.777</v>
      </c>
      <c r="K8" s="39" t="n">
        <v>95</v>
      </c>
      <c r="L8" s="39" t="n">
        <v>60</v>
      </c>
      <c r="M8" s="40" t="n">
        <v>81</v>
      </c>
      <c r="N8" s="24" t="inlineStr">
        <is>
          <t>Medium-High</t>
        </is>
      </c>
      <c r="O8" s="38" t="n">
        <v>0.0543205</v>
      </c>
      <c r="P8" s="38" t="n">
        <v>0.5219497</v>
      </c>
      <c r="Q8" s="38" t="n">
        <v>0.6122514</v>
      </c>
      <c r="R8" s="38" t="n">
        <v>0.3082628</v>
      </c>
      <c r="S8" s="38" t="n">
        <v>2.5376495</v>
      </c>
    </row>
    <row r="9" ht="16" customHeight="1">
      <c r="A9" s="32" t="n">
        <v>5</v>
      </c>
      <c r="B9" s="19" t="inlineStr">
        <is>
          <t>RUN</t>
        </is>
      </c>
      <c r="C9" s="20" t="inlineStr">
        <is>
          <t>Sunrun Inc.</t>
        </is>
      </c>
      <c r="D9" s="21" t="n">
        <v>2659.1</v>
      </c>
      <c r="E9" s="33" t="n">
        <v>11.34</v>
      </c>
      <c r="F9" s="34" t="n">
        <v>1.235</v>
      </c>
      <c r="G9" s="34" t="n">
        <v>1.103</v>
      </c>
      <c r="H9" s="34" t="n">
        <v>0.353</v>
      </c>
      <c r="I9" s="34" t="n">
        <v>0.08400000000000001</v>
      </c>
      <c r="J9" s="34" t="n">
        <v>0.036</v>
      </c>
      <c r="K9" s="35" t="n">
        <v>85.3</v>
      </c>
      <c r="L9" s="35" t="n">
        <v>69.3</v>
      </c>
      <c r="M9" s="36" t="n">
        <v>78.90000000000001</v>
      </c>
      <c r="N9" s="24" t="inlineStr">
        <is>
          <t>Medium-High</t>
        </is>
      </c>
      <c r="O9" s="34" t="n">
        <v>-0.4310085</v>
      </c>
      <c r="P9" s="34" t="n">
        <v>-0.372093</v>
      </c>
      <c r="Q9" s="34" t="n">
        <v>-0.3297872</v>
      </c>
      <c r="R9" s="34" t="n">
        <v>-0.4166667000000001</v>
      </c>
      <c r="S9" s="34" t="n">
        <v>0.6223176</v>
      </c>
    </row>
    <row r="10" ht="16" customHeight="1">
      <c r="A10" s="32" t="n">
        <v>6</v>
      </c>
      <c r="B10" s="25" t="inlineStr">
        <is>
          <t>MOG-A</t>
        </is>
      </c>
      <c r="C10" s="26" t="inlineStr">
        <is>
          <t>Moog Inc.</t>
        </is>
      </c>
      <c r="D10" s="27" t="n">
        <v>10055</v>
      </c>
      <c r="E10" s="37" t="n">
        <v>316.8</v>
      </c>
      <c r="F10" s="38" t="n">
        <v>0.209</v>
      </c>
      <c r="G10" s="38" t="n">
        <v>0.23</v>
      </c>
      <c r="H10" s="38" t="n">
        <v>0.267</v>
      </c>
      <c r="I10" s="38" t="n">
        <v>-0.005</v>
      </c>
      <c r="J10" s="38" t="n">
        <v>0.098</v>
      </c>
      <c r="K10" s="39" t="n">
        <v>75.59999999999999</v>
      </c>
      <c r="L10" s="39" t="n">
        <v>80</v>
      </c>
      <c r="M10" s="40" t="n">
        <v>77.40000000000001</v>
      </c>
      <c r="N10" s="24" t="inlineStr">
        <is>
          <t>Medium-High</t>
        </is>
      </c>
      <c r="O10" s="38" t="n">
        <v>-0.0228254</v>
      </c>
      <c r="P10" s="38" t="n">
        <v>0.3463663</v>
      </c>
      <c r="Q10" s="38" t="n">
        <v>0.630888</v>
      </c>
      <c r="R10" s="38" t="n">
        <v>0.2678593</v>
      </c>
      <c r="S10" s="38" t="n">
        <v>0.8588277</v>
      </c>
    </row>
    <row r="11" ht="16" customHeight="1">
      <c r="A11" s="32" t="n">
        <v>7</v>
      </c>
      <c r="B11" s="19" t="inlineStr">
        <is>
          <t>LASR</t>
        </is>
      </c>
      <c r="C11" s="20" t="inlineStr">
        <is>
          <t>nLIGHT, Inc.</t>
        </is>
      </c>
      <c r="D11" s="21" t="n">
        <v>3271.6</v>
      </c>
      <c r="E11" s="33" t="n">
        <v>58.64</v>
      </c>
      <c r="F11" s="34" t="n">
        <v>0.713</v>
      </c>
      <c r="G11" s="34" t="n">
        <v>0.649</v>
      </c>
      <c r="H11" s="34" t="n">
        <v>0.307</v>
      </c>
      <c r="I11" s="34" t="n">
        <v>0.114</v>
      </c>
      <c r="J11" s="34" t="n">
        <v>0.032</v>
      </c>
      <c r="K11" s="35" t="n">
        <v>80</v>
      </c>
      <c r="L11" s="35" t="n">
        <v>73.40000000000001</v>
      </c>
      <c r="M11" s="36" t="n">
        <v>77.40000000000001</v>
      </c>
      <c r="N11" s="24" t="inlineStr">
        <is>
          <t>Medium-High</t>
        </is>
      </c>
      <c r="O11" s="34" t="n">
        <v>0.1471049</v>
      </c>
      <c r="P11" s="34" t="n">
        <v>0.5870095</v>
      </c>
      <c r="Q11" s="34" t="n">
        <v>1.0582661</v>
      </c>
      <c r="R11" s="34" t="n">
        <v>0.5282773000000001</v>
      </c>
      <c r="S11" s="34" t="n">
        <v>5.465270100000001</v>
      </c>
    </row>
    <row r="12" ht="16" customHeight="1">
      <c r="A12" s="32" t="n">
        <v>8</v>
      </c>
      <c r="B12" s="25" t="inlineStr">
        <is>
          <t>IPGP</t>
        </is>
      </c>
      <c r="C12" s="26" t="inlineStr">
        <is>
          <t>IPG Photonics Corporation</t>
        </is>
      </c>
      <c r="D12" s="27" t="n">
        <v>5092.5</v>
      </c>
      <c r="E12" s="37" t="n">
        <v>120.7</v>
      </c>
      <c r="F12" s="38" t="n">
        <v>0.171</v>
      </c>
      <c r="G12" s="38" t="n">
        <v>0.241</v>
      </c>
      <c r="H12" s="38" t="n">
        <v>0.361</v>
      </c>
      <c r="I12" s="38" t="n">
        <v>-0.114</v>
      </c>
      <c r="J12" s="38" t="n">
        <v>0.355</v>
      </c>
      <c r="K12" s="39" t="n">
        <v>78.3</v>
      </c>
      <c r="L12" s="39" t="n">
        <v>75.59999999999999</v>
      </c>
      <c r="M12" s="40" t="n">
        <v>77.2</v>
      </c>
      <c r="N12" s="24" t="inlineStr">
        <is>
          <t>Medium-High</t>
        </is>
      </c>
      <c r="O12" s="38" t="n">
        <v>0.1011769</v>
      </c>
      <c r="P12" s="38" t="n">
        <v>0.4818907</v>
      </c>
      <c r="Q12" s="38" t="n">
        <v>0.4563224</v>
      </c>
      <c r="R12" s="38" t="n">
        <v>0.6127739</v>
      </c>
      <c r="S12" s="38" t="n">
        <v>0.9622826000000001</v>
      </c>
    </row>
    <row r="13" ht="16" customHeight="1">
      <c r="A13" s="32" t="n">
        <v>9</v>
      </c>
      <c r="B13" s="19" t="inlineStr">
        <is>
          <t>ESE</t>
        </is>
      </c>
      <c r="C13" s="20" t="inlineStr">
        <is>
          <t>ESCO Technologies Inc.</t>
        </is>
      </c>
      <c r="D13" s="21" t="n">
        <v>6899.1</v>
      </c>
      <c r="E13" s="33" t="n">
        <v>266.42</v>
      </c>
      <c r="F13" s="34" t="n">
        <v>0.35</v>
      </c>
      <c r="G13" s="34" t="n">
        <v>0.489</v>
      </c>
      <c r="H13" s="34" t="n">
        <v>0.414</v>
      </c>
      <c r="I13" s="34" t="n">
        <v>0.003</v>
      </c>
      <c r="J13" s="34" t="n">
        <v>0.006</v>
      </c>
      <c r="K13" s="35" t="n">
        <v>76.90000000000001</v>
      </c>
      <c r="L13" s="35" t="n">
        <v>76.5</v>
      </c>
      <c r="M13" s="36" t="n">
        <v>76.7</v>
      </c>
      <c r="N13" s="24" t="inlineStr">
        <is>
          <t>Medium-High</t>
        </is>
      </c>
      <c r="O13" s="34" t="n">
        <v>0.0526274</v>
      </c>
      <c r="P13" s="34" t="n">
        <v>0.34413</v>
      </c>
      <c r="Q13" s="34" t="n">
        <v>0.2967632</v>
      </c>
      <c r="R13" s="34" t="n">
        <v>0.3481429</v>
      </c>
      <c r="S13" s="34" t="n">
        <v>0.7034527</v>
      </c>
    </row>
    <row r="14" ht="16" customHeight="1">
      <c r="A14" s="32" t="n">
        <v>10</v>
      </c>
      <c r="B14" s="25" t="inlineStr">
        <is>
          <t>VIAV</t>
        </is>
      </c>
      <c r="C14" s="26" t="inlineStr">
        <is>
          <t>Viavi Solutions Inc.</t>
        </is>
      </c>
      <c r="D14" s="27" t="n">
        <v>6451.1</v>
      </c>
      <c r="E14" s="37" t="n">
        <v>27.88</v>
      </c>
      <c r="F14" s="38" t="n">
        <v>0.364</v>
      </c>
      <c r="G14" s="38" t="n">
        <v>0.263</v>
      </c>
      <c r="H14" s="38" t="n">
        <v>0.5529999999999999</v>
      </c>
      <c r="I14" s="38" t="n">
        <v>-0.003</v>
      </c>
      <c r="J14" s="38" t="n">
        <v>0.014</v>
      </c>
      <c r="K14" s="39" t="n">
        <v>78.90000000000001</v>
      </c>
      <c r="L14" s="39" t="n">
        <v>72.90000000000001</v>
      </c>
      <c r="M14" s="40" t="n">
        <v>76.5</v>
      </c>
      <c r="N14" s="24" t="inlineStr">
        <is>
          <t>Medium-High</t>
        </is>
      </c>
      <c r="O14" s="38" t="n">
        <v>0.0568613</v>
      </c>
      <c r="P14" s="38" t="n">
        <v>0.499731</v>
      </c>
      <c r="Q14" s="38" t="n">
        <v>1.4013781</v>
      </c>
      <c r="R14" s="38" t="n">
        <v>0.5360882</v>
      </c>
      <c r="S14" s="38" t="n">
        <v>1.6031746</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COMM</t>
        </is>
      </c>
      <c r="B19" s="35" t="n">
        <v>100</v>
      </c>
      <c r="C19" s="35" t="n">
        <v>94.5</v>
      </c>
      <c r="D19" s="35" t="n">
        <v>94.8</v>
      </c>
      <c r="E19" s="35" t="n">
        <v>36</v>
      </c>
      <c r="F19" s="35" t="n">
        <v>100</v>
      </c>
    </row>
    <row r="20" ht="16" customHeight="1">
      <c r="A20" s="25" t="inlineStr">
        <is>
          <t>ALGM</t>
        </is>
      </c>
      <c r="B20" s="39" t="n">
        <v>57.8</v>
      </c>
      <c r="C20" s="39" t="n">
        <v>100</v>
      </c>
      <c r="D20" s="39" t="n">
        <v>100</v>
      </c>
      <c r="E20" s="39" t="n">
        <v>100</v>
      </c>
      <c r="F20" s="39" t="n">
        <v>100</v>
      </c>
    </row>
    <row r="21" ht="16" customHeight="1">
      <c r="A21" s="19" t="inlineStr">
        <is>
          <t>XMTR</t>
        </is>
      </c>
      <c r="B21" s="35" t="n">
        <v>59</v>
      </c>
      <c r="C21" s="35" t="n">
        <v>97.8</v>
      </c>
      <c r="D21" s="35" t="n">
        <v>94</v>
      </c>
      <c r="E21" s="35" t="n">
        <v>100</v>
      </c>
      <c r="F21" s="35" t="n">
        <v>71</v>
      </c>
    </row>
    <row r="22" ht="16" customHeight="1">
      <c r="A22" s="25" t="inlineStr">
        <is>
          <t>KRMN</t>
        </is>
      </c>
      <c r="B22" s="39" t="n">
        <v>83.40000000000001</v>
      </c>
      <c r="C22" s="39" t="n">
        <v>100</v>
      </c>
      <c r="D22" s="39" t="n">
        <v>100</v>
      </c>
      <c r="E22" s="39" t="n">
        <v>100</v>
      </c>
      <c r="F22" s="39" t="n">
        <v>100</v>
      </c>
    </row>
    <row r="23" ht="16" customHeight="1">
      <c r="A23" s="19" t="inlineStr">
        <is>
          <t>RUN</t>
        </is>
      </c>
      <c r="B23" s="35" t="n">
        <v>100</v>
      </c>
      <c r="C23" s="35" t="n">
        <v>88.2</v>
      </c>
      <c r="D23" s="35" t="n">
        <v>86.40000000000001</v>
      </c>
      <c r="E23" s="35" t="n">
        <v>36</v>
      </c>
      <c r="F23" s="35" t="n">
        <v>100</v>
      </c>
    </row>
    <row r="24" ht="16" customHeight="1">
      <c r="A24" s="25" t="inlineStr">
        <is>
          <t>MOG-A</t>
        </is>
      </c>
      <c r="B24" s="39" t="n">
        <v>41.8</v>
      </c>
      <c r="C24" s="39" t="n">
        <v>66.8</v>
      </c>
      <c r="D24" s="39" t="n">
        <v>100</v>
      </c>
      <c r="E24" s="39" t="n">
        <v>98</v>
      </c>
      <c r="F24" s="39" t="n">
        <v>100</v>
      </c>
    </row>
    <row r="25" ht="16" customHeight="1">
      <c r="A25" s="19" t="inlineStr">
        <is>
          <t>LASR</t>
        </is>
      </c>
      <c r="B25" s="35" t="n">
        <v>100</v>
      </c>
      <c r="C25" s="35" t="n">
        <v>76.8</v>
      </c>
      <c r="D25" s="35" t="n">
        <v>74.40000000000001</v>
      </c>
      <c r="E25" s="35" t="n">
        <v>32</v>
      </c>
      <c r="F25" s="35" t="n">
        <v>100</v>
      </c>
    </row>
    <row r="26" ht="16" customHeight="1">
      <c r="A26" s="25" t="inlineStr">
        <is>
          <t>IPGP</t>
        </is>
      </c>
      <c r="B26" s="39" t="n">
        <v>34.2</v>
      </c>
      <c r="C26" s="39" t="n">
        <v>90.3</v>
      </c>
      <c r="D26" s="39" t="n">
        <v>100</v>
      </c>
      <c r="E26" s="39" t="n">
        <v>100</v>
      </c>
      <c r="F26" s="39" t="n">
        <v>100</v>
      </c>
    </row>
    <row r="27" ht="16" customHeight="1">
      <c r="A27" s="19" t="inlineStr">
        <is>
          <t>ESE</t>
        </is>
      </c>
      <c r="B27" s="35" t="n">
        <v>70</v>
      </c>
      <c r="C27" s="35" t="n">
        <v>100</v>
      </c>
      <c r="D27" s="35" t="n">
        <v>100</v>
      </c>
      <c r="E27" s="35" t="n">
        <v>6</v>
      </c>
      <c r="F27" s="35" t="n">
        <v>100</v>
      </c>
    </row>
    <row r="28" ht="16" customHeight="1">
      <c r="A28" s="25" t="inlineStr">
        <is>
          <t>VIAV</t>
        </is>
      </c>
      <c r="B28" s="39" t="n">
        <v>72.8</v>
      </c>
      <c r="C28" s="39" t="n">
        <v>100</v>
      </c>
      <c r="D28" s="39" t="n">
        <v>100</v>
      </c>
      <c r="E28" s="39" t="n">
        <v>14</v>
      </c>
      <c r="F28" s="39" t="n">
        <v>100</v>
      </c>
    </row>
    <row r="60">
      <c r="A60" t="inlineStr">
        <is>
          <t>Ticker</t>
        </is>
      </c>
      <c r="B60" t="inlineStr">
        <is>
          <t>Gross Margin</t>
        </is>
      </c>
      <c r="C60" t="inlineStr">
        <is>
          <t>Rev Growth</t>
        </is>
      </c>
      <c r="D60" t="inlineStr">
        <is>
          <t>Mkt Cap</t>
        </is>
      </c>
    </row>
    <row r="61">
      <c r="A61" t="inlineStr">
        <is>
          <t>COMM</t>
        </is>
      </c>
      <c r="B61" t="n">
        <v>37.8</v>
      </c>
      <c r="C61" t="n">
        <v>50.6</v>
      </c>
      <c r="D61" t="n">
        <v>3958</v>
      </c>
    </row>
    <row r="62">
      <c r="A62" t="inlineStr">
        <is>
          <t>ALGM</t>
        </is>
      </c>
      <c r="B62" t="n">
        <v>46.7</v>
      </c>
      <c r="C62" t="n">
        <v>28.9</v>
      </c>
      <c r="D62" t="n">
        <v>5916.3</v>
      </c>
    </row>
    <row r="63">
      <c r="A63" t="inlineStr">
        <is>
          <t>XMTR</t>
        </is>
      </c>
      <c r="B63" t="n">
        <v>39.1</v>
      </c>
      <c r="C63" t="n">
        <v>29.5</v>
      </c>
      <c r="D63" t="n">
        <v>2159.6</v>
      </c>
    </row>
    <row r="64">
      <c r="A64" t="inlineStr">
        <is>
          <t>KRMN</t>
        </is>
      </c>
      <c r="B64" t="n">
        <v>41</v>
      </c>
      <c r="C64" t="n">
        <v>41.7</v>
      </c>
      <c r="D64" t="n">
        <v>13303.7</v>
      </c>
    </row>
    <row r="65">
      <c r="A65" t="inlineStr">
        <is>
          <t>RUN</t>
        </is>
      </c>
      <c r="B65" t="n">
        <v>35.3</v>
      </c>
      <c r="C65" t="n">
        <v>123.5</v>
      </c>
      <c r="D65" t="n">
        <v>2659.1</v>
      </c>
    </row>
    <row r="66">
      <c r="A66" t="inlineStr">
        <is>
          <t>MOG-A</t>
        </is>
      </c>
      <c r="B66" t="n">
        <v>26.7</v>
      </c>
      <c r="C66" t="n">
        <v>20.9</v>
      </c>
      <c r="D66" t="n">
        <v>10055</v>
      </c>
    </row>
    <row r="67">
      <c r="A67" t="inlineStr">
        <is>
          <t>LASR</t>
        </is>
      </c>
      <c r="B67" t="n">
        <v>30.7</v>
      </c>
      <c r="C67" t="n">
        <v>71.3</v>
      </c>
      <c r="D67" t="n">
        <v>3271.6</v>
      </c>
    </row>
    <row r="68">
      <c r="A68" t="inlineStr">
        <is>
          <t>IPGP</t>
        </is>
      </c>
      <c r="B68" t="n">
        <v>36.1</v>
      </c>
      <c r="C68" t="n">
        <v>17.1</v>
      </c>
      <c r="D68" t="n">
        <v>5092.5</v>
      </c>
    </row>
    <row r="69">
      <c r="A69" t="inlineStr">
        <is>
          <t>ESE</t>
        </is>
      </c>
      <c r="B69" t="n">
        <v>41.4</v>
      </c>
      <c r="C69" t="n">
        <v>35</v>
      </c>
      <c r="D69" t="n">
        <v>6899.1</v>
      </c>
    </row>
    <row r="70">
      <c r="A70" t="inlineStr">
        <is>
          <t>VIAV</t>
        </is>
      </c>
      <c r="B70" t="n">
        <v>55.3</v>
      </c>
      <c r="C70" t="n">
        <v>36.4</v>
      </c>
      <c r="D70" t="n">
        <v>6451.1</v>
      </c>
    </row>
  </sheetData>
  <mergeCells count="3">
    <mergeCell ref="A2:S2"/>
    <mergeCell ref="A1:S1"/>
    <mergeCell ref="A17:S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F5:F14">
    <cfRule type="colorScale" priority="4">
      <colorScale>
        <cfvo type="min"/>
        <cfvo type="max"/>
        <color rgb="00FFFFFF"/>
        <color rgb="002A9D8F"/>
      </colorScale>
    </cfRule>
  </conditionalFormatting>
  <conditionalFormatting sqref="H5:H14">
    <cfRule type="colorScale" priority="5">
      <colorScale>
        <cfvo type="min"/>
        <cfvo type="max"/>
        <color rgb="00FFFFFF"/>
        <color rgb="002A9D8F"/>
      </colorScale>
    </cfRule>
  </conditionalFormatting>
  <conditionalFormatting sqref="I5:I14">
    <cfRule type="colorScale" priority="6">
      <colorScale>
        <cfvo type="min"/>
        <cfvo type="max"/>
        <color rgb="002A9D8F"/>
        <color rgb="00E76F51"/>
      </colorScale>
    </cfRule>
  </conditionalFormatting>
  <conditionalFormatting sqref="J5:J14">
    <cfRule type="colorScale" priority="7">
      <colorScale>
        <cfvo type="min"/>
        <cfvo type="max"/>
        <color rgb="00FFFFFF"/>
        <color rgb="002A9D8F"/>
      </colorScale>
    </cfRule>
  </conditionalFormatting>
  <conditionalFormatting sqref="O5:O14">
    <cfRule type="colorScale" priority="8">
      <colorScale>
        <cfvo type="min"/>
        <cfvo type="num" val="0"/>
        <cfvo type="max"/>
        <color rgb="00E76F51"/>
        <color rgb="00FFFFFF"/>
        <color rgb="002A9D8F"/>
      </colorScale>
    </cfRule>
  </conditionalFormatting>
  <conditionalFormatting sqref="P5:P14">
    <cfRule type="colorScale" priority="9">
      <colorScale>
        <cfvo type="min"/>
        <cfvo type="num" val="0"/>
        <cfvo type="max"/>
        <color rgb="00E76F51"/>
        <color rgb="00FFFFFF"/>
        <color rgb="002A9D8F"/>
      </colorScale>
    </cfRule>
  </conditionalFormatting>
  <conditionalFormatting sqref="Q5:Q14">
    <cfRule type="colorScale" priority="10">
      <colorScale>
        <cfvo type="min"/>
        <cfvo type="num" val="0"/>
        <cfvo type="max"/>
        <color rgb="00E76F51"/>
        <color rgb="00FFFFFF"/>
        <color rgb="002A9D8F"/>
      </colorScale>
    </cfRule>
  </conditionalFormatting>
  <conditionalFormatting sqref="R5:R14">
    <cfRule type="colorScale" priority="11">
      <colorScale>
        <cfvo type="min"/>
        <cfvo type="num" val="0"/>
        <cfvo type="max"/>
        <color rgb="00E76F51"/>
        <color rgb="00FFFFFF"/>
        <color rgb="002A9D8F"/>
      </colorScale>
    </cfRule>
  </conditionalFormatting>
  <conditionalFormatting sqref="S5:S14">
    <cfRule type="colorScale" priority="12">
      <colorScale>
        <cfvo type="min"/>
        <cfvo type="num" val="0"/>
        <cfvo type="max"/>
        <color rgb="00E76F51"/>
        <color rgb="00FFFFFF"/>
        <color rgb="002A9D8F"/>
      </colorScale>
    </cfRule>
  </conditionalFormatting>
  <conditionalFormatting sqref="B19:B28">
    <cfRule type="colorScale" priority="13">
      <colorScale>
        <cfvo type="num" val="0"/>
        <cfvo type="num" val="50"/>
        <cfvo type="num" val="100"/>
        <color rgb="00C1121F"/>
        <color rgb="00F9C74F"/>
        <color rgb="001A6B3C"/>
      </colorScale>
    </cfRule>
  </conditionalFormatting>
  <conditionalFormatting sqref="C19:C28">
    <cfRule type="colorScale" priority="14">
      <colorScale>
        <cfvo type="num" val="0"/>
        <cfvo type="num" val="50"/>
        <cfvo type="num" val="100"/>
        <color rgb="00C1121F"/>
        <color rgb="00F9C74F"/>
        <color rgb="001A6B3C"/>
      </colorScale>
    </cfRule>
  </conditionalFormatting>
  <conditionalFormatting sqref="D19:D28">
    <cfRule type="colorScale" priority="15">
      <colorScale>
        <cfvo type="num" val="0"/>
        <cfvo type="num" val="50"/>
        <cfvo type="num" val="100"/>
        <color rgb="00C1121F"/>
        <color rgb="00F9C74F"/>
        <color rgb="001A6B3C"/>
      </colorScale>
    </cfRule>
  </conditionalFormatting>
  <conditionalFormatting sqref="E19:E28">
    <cfRule type="colorScale" priority="16">
      <colorScale>
        <cfvo type="num" val="0"/>
        <cfvo type="num" val="50"/>
        <cfvo type="num" val="100"/>
        <color rgb="00C1121F"/>
        <color rgb="00F9C74F"/>
        <color rgb="001A6B3C"/>
      </colorScale>
    </cfRule>
  </conditionalFormatting>
  <conditionalFormatting sqref="F19:F28">
    <cfRule type="colorScale" priority="17">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5.xml><?xml version="1.0" encoding="utf-8"?>
<worksheet xmlns="http://schemas.openxmlformats.org/spreadsheetml/2006/main">
  <sheetPr>
    <tabColor rgb="002E3B4E"/>
    <outlinePr summaryBelow="1" summaryRight="1"/>
    <pageSetUpPr fitToPage="1"/>
  </sheetPr>
  <dimension ref="A1:F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8" customWidth="1" min="3" max="3"/>
    <col width="22" customWidth="1" min="4" max="4"/>
    <col width="12" customWidth="1" min="5" max="5"/>
    <col width="55" customWidth="1" min="6" max="6"/>
  </cols>
  <sheetData>
    <row r="1" ht="28" customHeight="1">
      <c r="A1" s="30" t="inlineStr">
        <is>
          <t>Company Descriptions &amp; Profiles</t>
        </is>
      </c>
      <c r="B1" s="11" t="n"/>
      <c r="C1" s="11" t="n"/>
      <c r="D1" s="11" t="n"/>
      <c r="E1" s="11" t="n"/>
      <c r="F1" s="11" t="n"/>
    </row>
    <row r="2" ht="22" customHeight="1">
      <c r="A2" s="31" t="inlineStr">
        <is>
          <t>All screened companies  |  March 08, 2026</t>
        </is>
      </c>
      <c r="B2" s="12" t="n"/>
      <c r="C2" s="12" t="n"/>
      <c r="D2" s="12" t="n"/>
      <c r="E2" s="12" t="n"/>
      <c r="F2" s="12" t="n"/>
    </row>
    <row r="3" ht="8" customHeight="1"/>
    <row r="4" ht="18" customHeight="1">
      <c r="A4" s="18" t="inlineStr">
        <is>
          <t>Ticker</t>
        </is>
      </c>
      <c r="B4" s="18" t="inlineStr">
        <is>
          <t>Company</t>
        </is>
      </c>
      <c r="C4" s="18" t="inlineStr">
        <is>
          <t>Sector</t>
        </is>
      </c>
      <c r="D4" s="18" t="inlineStr">
        <is>
          <t>Industry</t>
        </is>
      </c>
      <c r="E4" s="18" t="inlineStr">
        <is>
          <t>Tier</t>
        </is>
      </c>
      <c r="F4" s="18" t="inlineStr">
        <is>
          <t>Description</t>
        </is>
      </c>
    </row>
    <row r="5" ht="60" customHeight="1">
      <c r="A5" s="19" t="inlineStr">
        <is>
          <t>SODI</t>
        </is>
      </c>
      <c r="B5" s="20" t="inlineStr">
        <is>
          <t>Solitron Devices, Inc.</t>
        </is>
      </c>
      <c r="C5" s="20" t="inlineStr">
        <is>
          <t>Technology</t>
        </is>
      </c>
      <c r="D5" s="41" t="inlineStr">
        <is>
          <t>Semiconductors</t>
        </is>
      </c>
      <c r="E5" s="42" t="inlineStr">
        <is>
          <t>Nano Cap</t>
        </is>
      </c>
      <c r="F5" s="43" t="inlineStr">
        <is>
          <t>Solitron Devices, Inc. designs, develops, manufactures, and markets solid-state semiconductor components and related devices primarily for the military and aerospace markets. The company offers various bipolar and metal oxide semiconductor (MOS) power transistors, power and control hybrids, junction and power MOS field effect transistors, field effect transistors, and other related products. It also provides joint army/navy transistors, diodes, and standard military drawings voltage regulators. The company's semiconductor products are used as components of military, commercial, and aerospace electronic equipment, such as ground and airborne radar systems, power distribution systems, missiles, missile control systems, satellites, and space applications, as well as for non-military, scientific, and industrial applications. It operates in the United States, Canada, Latin America, the Far East, and the Middle East. The company was incorporated in 1959 and is headquartered in West Palm Beac</t>
        </is>
      </c>
    </row>
    <row r="6" ht="60" customHeight="1">
      <c r="A6" s="25" t="inlineStr">
        <is>
          <t>WSTL</t>
        </is>
      </c>
      <c r="B6" s="26" t="inlineStr">
        <is>
          <t>Westell Technologies, Inc.</t>
        </is>
      </c>
      <c r="C6" s="26" t="inlineStr">
        <is>
          <t>Technology</t>
        </is>
      </c>
      <c r="D6" s="44" t="inlineStr">
        <is>
          <t>Communication Equipment</t>
        </is>
      </c>
      <c r="E6" s="45" t="inlineStr">
        <is>
          <t>Nano Cap</t>
        </is>
      </c>
      <c r="F6" s="46" t="inlineStr">
        <is>
          <t>Westell Technologies, Inc., through its subsidiary, Westell, Inc., designs, manufactures, and distributes telecommunications products to telephone companies in the United States. It operates through three segments: In-Building Wireless (IBW), Intelligent Site Management (ISM), and Communications Network Solutions (CNS). The IBW segment provides indoor distributed antenna systems (DAS); DAS conditioners and digital repeaters; class A and B repeaters, class A/B fiber DAS systems, and battery backup units; and system components and antennas for cellular services and public safety markets. The ISM segment offers a suite of remote units, which provide machine-to-machine communications that enable operators to remotely monitor, manage, and control site infrastructure and support systems, as well as support and deployment services. The CNS segment provides a range of indoor and outdoor network infrastructure, such as integrated cabinets, power distribution products, copper and fiber network c</t>
        </is>
      </c>
    </row>
    <row r="7" ht="60" customHeight="1">
      <c r="A7" s="19" t="inlineStr">
        <is>
          <t>SPRU</t>
        </is>
      </c>
      <c r="B7" s="20" t="inlineStr">
        <is>
          <t>Spruce Power Holding Corporation</t>
        </is>
      </c>
      <c r="C7" s="20" t="inlineStr">
        <is>
          <t>Energy</t>
        </is>
      </c>
      <c r="D7" s="47" t="inlineStr">
        <is>
          <t>Solar</t>
        </is>
      </c>
      <c r="E7" s="42" t="inlineStr">
        <is>
          <t>Nano Cap</t>
        </is>
      </c>
      <c r="F7" s="43" t="inlineStr">
        <is>
          <t>XL Fleet Corp. provides fleet electrification solutions for commercial vehicles in North America. Its products include hybrid electric drive systems are comprised of an electric motor that is mounted onto the vehicle's drive shaft, an inverter motor controller, and a lithium-ion battery pack to store energy to be used for propulsion; plug-in hybrid electric drive system, which are fitted to vehicles. In addition, the company offers vehicle electrification and infrastructure solutions, and charging stations. It serves end-use customer base comprising Fortune 500 corporate enterprises, public utilities, and various municipalities. The company was incorporated in 2009 and is headquartered in Boston, Massachusetts.</t>
        </is>
      </c>
    </row>
    <row r="8" ht="60" customHeight="1">
      <c r="A8" s="25" t="inlineStr">
        <is>
          <t>CODA</t>
        </is>
      </c>
      <c r="B8" s="26" t="inlineStr">
        <is>
          <t>Coda Octopus Group, Inc.</t>
        </is>
      </c>
      <c r="C8" s="26" t="inlineStr">
        <is>
          <t>Industrials</t>
        </is>
      </c>
      <c r="D8" s="48" t="inlineStr">
        <is>
          <t>Aerospace &amp; Defense</t>
        </is>
      </c>
      <c r="E8" s="45" t="inlineStr">
        <is>
          <t>Nano Cap</t>
        </is>
      </c>
      <c r="F8" s="46" t="inlineStr">
        <is>
          <t>Coda Octopus Group, Inc., together with its subsidiaries, develops and sells underwater technologies and equipment for 3D imaging, mapping, defense, and survey applications in the Americas, Europe, Australia, Asia, the Middle East, and Africa. The company operates through two segments, Marine Engineering Business and Marine Technology Business. It sells technology solutions to the subsea and underwater markets. The company's solutions include geophysical systems, a geophysical data acquisition systems, processing, and analysis software that are used primarily by survey companies, offshore renewable companies, research institutions, and salvage companies; GNSS-aided navigation systems; Echoscope and Echoscope PIPE used for real time monitoring of cable installations for offshore wind projects; and diver augmented vision display system. It offers CodaOctopus GeoSurvey products, such as hardware and software solutions for field acquisition of sidescan sonar and sub-bottom profiler; and Co</t>
        </is>
      </c>
    </row>
    <row r="9" ht="60" customHeight="1">
      <c r="A9" s="19" t="inlineStr">
        <is>
          <t>TGEN</t>
        </is>
      </c>
      <c r="B9" s="20" t="inlineStr">
        <is>
          <t>Tecogen Inc.</t>
        </is>
      </c>
      <c r="C9" s="20" t="inlineStr">
        <is>
          <t>Industrials</t>
        </is>
      </c>
      <c r="D9" s="20" t="inlineStr">
        <is>
          <t>Electrical Equipment &amp; Parts</t>
        </is>
      </c>
      <c r="E9" s="42" t="inlineStr">
        <is>
          <t>Nano Cap</t>
        </is>
      </c>
      <c r="F9" s="43" t="inlineStr">
        <is>
          <t>Tecogen Inc. designs, manufactures, markets, and maintains industrial and commercial cogeneration systems for residential, commercial, recreational, and industrial use in the United States and internationally. It operates through three segments: Products, Services, and Energy Production. The company offers InVerde e+ and TecoPower, a cogeneration product that supplies electricity and hot water; TECOCHILL air-conditioning and refrigeration chillers; Tecofrost gas engine-driven refrigeration compressors; and water heaters under the Ilios brand name, as well as emissions control technology under the Ultera brand name. It also provides long-term maintenance contracts, parts sales, and turnkey installation services through a network of eleven field service centers in California, the Midwest, the Northeast, and the Southeast, as well as in Ontario, Canada. In addition, the company installs, owns, operates, and maintains distributed generation of electricity, energy, and other complementary s</t>
        </is>
      </c>
    </row>
    <row r="10" ht="60" customHeight="1">
      <c r="A10" s="25" t="inlineStr">
        <is>
          <t>TAYD</t>
        </is>
      </c>
      <c r="B10" s="26" t="inlineStr">
        <is>
          <t>Taylor Devices, Inc.</t>
        </is>
      </c>
      <c r="C10" s="26" t="inlineStr">
        <is>
          <t>Industrials</t>
        </is>
      </c>
      <c r="D10" s="26" t="inlineStr">
        <is>
          <t>Industrial - Machinery</t>
        </is>
      </c>
      <c r="E10" s="45" t="inlineStr">
        <is>
          <t>Nano Cap</t>
        </is>
      </c>
      <c r="F10" s="46" t="inlineStr">
        <is>
          <t>Taylor Devices, Inc. engages in design, development, manufacture, and marketing of shock absorption, rate control, and energy storage devices for use in machinery, equipment, and structures in North America, Asia, and internationally. Its products include seismic dampers that are designed to mitigate the effects of earthquakes on structures; Fluidicshoks, which are compact shock absorbers primarily used in defense, aerospace, and commercial industries; and crane and industrial buffers, which are larger versions of the Fluidicshoks for industrial application on cranes and crane trolleys, truck docks, ladle and ingot cars, ore trolleys, and car stops. The company's products also comprise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t>
        </is>
      </c>
    </row>
    <row r="11" ht="60" customHeight="1">
      <c r="A11" s="19" t="inlineStr">
        <is>
          <t>RFIL</t>
        </is>
      </c>
      <c r="B11" s="20" t="inlineStr">
        <is>
          <t>RF Industries, Ltd.</t>
        </is>
      </c>
      <c r="C11" s="20" t="inlineStr">
        <is>
          <t>Industrials</t>
        </is>
      </c>
      <c r="D11" s="20" t="inlineStr">
        <is>
          <t>Electrical Equipment &amp; Parts</t>
        </is>
      </c>
      <c r="E11" s="42" t="inlineStr">
        <is>
          <t>Nano Cap</t>
        </is>
      </c>
      <c r="F11" s="43" t="inlineStr">
        <is>
          <t>RF Industries, Ltd., together with its subsidiaries, designs, manufactures, and markets interconnect products and systems in the United States, Canada, Mexico, and internationally. The company operates through two segments, RF Connector and Cable Assembly and Custom Cabling Manufacturing and Assembly. The company's RF Connector and Cable Assembly segment designs, manufactures, and distributes various coaxial connectors and cable assemblies that are integrated with coaxial connectors. The Custom Cabling Manufacturing and Assembly segment designs, manufactures, markets, and distributes custom copper and fiber cable assemblies, complex hybrid fiber optic and power solution cables, energy-efficient cooling systems for wireless base stations and remote equipment shelters, and custom designed pole-ready 5G small cell integrated enclosures. It also manufactures and sells custom and standard cable assemblies, hybrid fiber optic power solution cables, adapters, and electromechanical wiring harn</t>
        </is>
      </c>
    </row>
    <row r="12" ht="60" customHeight="1">
      <c r="A12" s="25" t="inlineStr">
        <is>
          <t>MRAM</t>
        </is>
      </c>
      <c r="B12" s="26" t="inlineStr">
        <is>
          <t>Everspin Technologies, Inc.</t>
        </is>
      </c>
      <c r="C12" s="26" t="inlineStr">
        <is>
          <t>Technology</t>
        </is>
      </c>
      <c r="D12" s="41" t="inlineStr">
        <is>
          <t>Semiconductors</t>
        </is>
      </c>
      <c r="E12" s="45" t="inlineStr">
        <is>
          <t>Nano Cap</t>
        </is>
      </c>
      <c r="F12" s="46" t="inlineStr">
        <is>
          <t>Everspin Technologies, Inc. manufactures and sells magnetoresistive random access memory (MRAM) products in the United States, Hong Kong, Japan, China, Canada, and internationally. It offers Toggle MRAM, spin-transfer torque MRAM, and tunnel magneto resistance sensor products, as well as foundry services for embedded MRAM. The company provides its products for applications, including data center, industrial, medical, automotive/transportation, and aerospace markets. It serves original equipment manufacturers and original design manufacturers through a direct sales channel and a network of representatives and distributors. Everspin Technologies, Inc. was incorporated in 2008 and is headquartered in Chandler, Arizona.</t>
        </is>
      </c>
    </row>
    <row r="13" ht="60" customHeight="1">
      <c r="A13" s="19" t="inlineStr">
        <is>
          <t>SCTQ</t>
        </is>
      </c>
      <c r="B13" s="20" t="inlineStr">
        <is>
          <t>Spectra Systems Corporation</t>
        </is>
      </c>
      <c r="C13" s="20" t="inlineStr">
        <is>
          <t>Technology</t>
        </is>
      </c>
      <c r="D13" s="20" t="inlineStr">
        <is>
          <t>Computer Hardware</t>
        </is>
      </c>
      <c r="E13" s="42" t="inlineStr">
        <is>
          <t>Nano Cap</t>
        </is>
      </c>
      <c r="F13" s="43" t="inlineStr">
        <is>
          <t>Spectra Systems Corporation invents, develops, and sells integrated optical systems in Rhode Island and internationally. It operates through three segments: Authentication Systems, Secure Transactions, and Banknote Cleaning. The company offers integrated solutions, including a system of taggant materials and sensor technology to authenticate banknotes that are used by central banks, as well as G7 country for passport security; banknote cleaning and disinfection systems that lifts sebum and other substances from the banknote through a dry process based on supercritical CO2 cleaning; and solutions to authenticate brand name products. It also provides optical materials for security and quality control, such as fluorescent and phosphorescent pigments and dyes, invisible pigments and dyes, and gasochromic response materials; customized materials and hardware solutions; and internal control systems used to verify the accuracy of transactions logged by providers of lottery and gaming operator</t>
        </is>
      </c>
    </row>
    <row r="14" ht="60" customHeight="1">
      <c r="A14" s="25" t="inlineStr">
        <is>
          <t>ZEO</t>
        </is>
      </c>
      <c r="B14" s="26" t="inlineStr">
        <is>
          <t>Zeo Energy Corp.</t>
        </is>
      </c>
      <c r="C14" s="26" t="inlineStr">
        <is>
          <t>Energy</t>
        </is>
      </c>
      <c r="D14" s="47" t="inlineStr">
        <is>
          <t>Solar</t>
        </is>
      </c>
      <c r="E14" s="45" t="inlineStr">
        <is>
          <t>Nano Cap</t>
        </is>
      </c>
      <c r="F14" s="46" t="inlineStr">
        <is>
          <t>Zeo Energy Corp. is a vertically integrated provider of residential solar energy systems, other energy efficient equipment, and related services. The company is headquartered in New Port Richey, FL.</t>
        </is>
      </c>
    </row>
    <row r="15" ht="60" customHeight="1">
      <c r="A15" s="19" t="inlineStr">
        <is>
          <t>GOGO</t>
        </is>
      </c>
      <c r="B15" s="20" t="inlineStr">
        <is>
          <t>Gogo Inc.</t>
        </is>
      </c>
      <c r="C15" s="20" t="inlineStr">
        <is>
          <t>Communication Services</t>
        </is>
      </c>
      <c r="D15" s="20" t="inlineStr">
        <is>
          <t>Telecommunications Services</t>
        </is>
      </c>
      <c r="E15" s="42" t="inlineStr">
        <is>
          <t>Small Cap</t>
        </is>
      </c>
      <c r="F15" s="43" t="inlineStr">
        <is>
          <t xml:space="preserve">Gogo Inc., through its subsidiaries, provides broadband connectivity services to the aviation industry in the United States and internationally. It operates through Commercial Aviation North America (CA-NA), Commercial Aviation Rest of World (CA-ROW), and Business Aviation (BA) segments. The company design, build and operate air-to-ground networks, engineer and maintain in-flight systems of proprietary hardware and software, and deliver customizable connectivity and wireless entertainment services. It also offers suite of integrated equipment, network, and internet connectivity products and services, as well as includes suite of smart cabin systems for integrated connectivity, in-flight entertainment, and voice solutions. In addition, the company portfolio comprises of in-flight network, in-flight systems, in-flight services, aviation partner support, and production operations functions. Further, the company offers satellite-based voice and data services. Gogo Inc. was founded in 1991 </t>
        </is>
      </c>
    </row>
    <row r="16" ht="60" customHeight="1">
      <c r="A16" s="25" t="inlineStr">
        <is>
          <t>MXL</t>
        </is>
      </c>
      <c r="B16" s="26" t="inlineStr">
        <is>
          <t>MaxLinear, Inc.</t>
        </is>
      </c>
      <c r="C16" s="26" t="inlineStr">
        <is>
          <t>Technology</t>
        </is>
      </c>
      <c r="D16" s="41" t="inlineStr">
        <is>
          <t>Semiconductors</t>
        </is>
      </c>
      <c r="E16" s="45" t="inlineStr">
        <is>
          <t>Small Cap</t>
        </is>
      </c>
      <c r="F16" s="46" t="inlineStr">
        <is>
          <t>MaxLinear, Inc. provides radiofrequency (RF), high-performance analog, and mixed-signal communications systems-on-chip solutions (SoCs) for the connected home, wired and wireless infrastructure, and industrial and multi-market applications worldwide. Its products integrate various portions of a high-speed communication system, including RF, high-performance analog, mixed-signal, digital signal processing, security engines, data compression, networking layers, and power management. The company offers broadband radio transceiver front ends, data converters, embedded systems and software architecture, and architecture and system design for highly integrated end-to-end communication platform solutions. Its products are used in various electronic devices, such as cable data over cable service interface specifications (DOCSIS), fiber and DSL broadband modems and gateways; Wi-Fi and wireline routers for home networking; radio transceivers and modems for 4G/5G base-station and backhaul infrast</t>
        </is>
      </c>
    </row>
    <row r="17" ht="60" customHeight="1">
      <c r="A17" s="19" t="inlineStr">
        <is>
          <t>CDRE</t>
        </is>
      </c>
      <c r="B17" s="20" t="inlineStr">
        <is>
          <t>Cadre Holdings, Inc.</t>
        </is>
      </c>
      <c r="C17" s="20" t="inlineStr">
        <is>
          <t>Industrials</t>
        </is>
      </c>
      <c r="D17" s="48" t="inlineStr">
        <is>
          <t>Aerospace &amp; Defense</t>
        </is>
      </c>
      <c r="E17" s="42" t="inlineStr">
        <is>
          <t>Small Cap</t>
        </is>
      </c>
      <c r="F17" s="43" t="inlineStr">
        <is>
          <t>Cadre Holdings, Inc. manufactures and distributes safety and survivability equipment that provides protection to users in hazardous or life-threatening situations in the United States and internationally. The company operates in two segments, Products and Distribution. It primarily provides body armor product, such as concealable, corrections, and tactical armor under the Safariland and Protech Tactical brands; survival suits, remotely operated vehicles, specialty tools, blast sensors, accessories, and vehicle blast attenuation seats for bomb safety technicians; bomb suits; duty gear, including belts and accessories; and other protective and law enforcement equipment comprising communications gear, forensic and investigation products, firearms cleaning solutions, and crowd control products. The company also offers third-party products, such as uniforms, optics, boots, firearms, and ammunition. It serves first responders, such as state and local law enforcement, fire and rescue, explosi</t>
        </is>
      </c>
    </row>
    <row r="18" ht="60" customHeight="1">
      <c r="A18" s="25" t="inlineStr">
        <is>
          <t>ADTN</t>
        </is>
      </c>
      <c r="B18" s="26" t="inlineStr">
        <is>
          <t>ADTRAN Holdings, Inc.</t>
        </is>
      </c>
      <c r="C18" s="26" t="inlineStr">
        <is>
          <t>Technology</t>
        </is>
      </c>
      <c r="D18" s="44" t="inlineStr">
        <is>
          <t>Communication Equipment</t>
        </is>
      </c>
      <c r="E18" s="45" t="inlineStr">
        <is>
          <t>Small Cap</t>
        </is>
      </c>
      <c r="F18" s="46" t="inlineStr">
        <is>
          <t>ADTRAN Holdings, Inc., through its subsidiaries, provides end-to-end fiber networking solutions for communications service provider, enterprises, and government customers in the United States, Germany, the United Kingdom, Mexico, and internationally. It operates through two segments, Network Solutions, and Services &amp; Support. The company offers fiber access and fiber to the node platforms; transceivers, cables, and other miscellaneous materials; passive optical network optical line terminals; fiber to the distribution point Gfast distribution point units; cabinet and outside plant enclosures and services; packet optical transports; fixed wireless access platforms; and network management and subscriber services, and control and orchestration software. It also provides broadband customer premises solutions, ethernet switches and routers, residential gateways, cloud-based software-as-a-service management platforms, virtual wireless local area networks, Internet of Things gateways, pre-sal</t>
        </is>
      </c>
    </row>
    <row r="19" ht="60" customHeight="1">
      <c r="A19" s="19" t="inlineStr">
        <is>
          <t>PKE</t>
        </is>
      </c>
      <c r="B19" s="20" t="inlineStr">
        <is>
          <t>Park Aerospace Corp.</t>
        </is>
      </c>
      <c r="C19" s="20" t="inlineStr">
        <is>
          <t>Industrials</t>
        </is>
      </c>
      <c r="D19" s="48" t="inlineStr">
        <is>
          <t>Aerospace &amp; Defense</t>
        </is>
      </c>
      <c r="E19" s="42" t="inlineStr">
        <is>
          <t>Small Cap</t>
        </is>
      </c>
      <c r="F19" s="43" t="inlineStr">
        <is>
          <t>Park Aerospace Corp. develops and manufactures solution and hot-melt advanced composite materials used to produce composite structures for the aerospace market in North America, Asia, and Europe. It offers advanced composite materials, including film adhesives and lightning strike materials that are used to produce primary and secondary structures for jet engines, large and regional transport aircrafts, military aircrafts, unmanned aerial vehicles, business jets, general aviation aircrafts, and rotary wing aircrafts.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t>
        </is>
      </c>
    </row>
    <row r="20" ht="60" customHeight="1">
      <c r="A20" s="25" t="inlineStr">
        <is>
          <t>MVST</t>
        </is>
      </c>
      <c r="B20" s="26" t="inlineStr">
        <is>
          <t>Microvast Holdings, Inc.</t>
        </is>
      </c>
      <c r="C20" s="26" t="inlineStr">
        <is>
          <t>Industrials</t>
        </is>
      </c>
      <c r="D20" s="26" t="inlineStr">
        <is>
          <t>Electrical Equipment &amp; Parts</t>
        </is>
      </c>
      <c r="E20" s="45" t="inlineStr">
        <is>
          <t>Small Cap</t>
        </is>
      </c>
      <c r="F20" s="46" t="inlineStr">
        <is>
          <t>Microvast Holdings, Inc. designs, develops, and manufactures battery systems for electric vehicles and energy storage systems. The company offers a range of cell chemistries, such as lithium titanate oxide, lithium iron phosphate, and nickel manganese cobalt version 1 and 2.It also designs, develops, and manufactures battery components, such as cathode, anode, electrolyte, and separator. In addition, the company offers battery solutions for commercial vehicles and energy storage systems. Its commercial vehicle markets cover buses, trains, mining trucks, marine and port applications, and automated guided and specialty vehicles, as well as light, medium, heavy-duty trucks in the United States and internationally. The company was incorporated in 2006 and is based in Stafford, Texas.</t>
        </is>
      </c>
    </row>
    <row r="21" ht="60" customHeight="1">
      <c r="A21" s="19" t="inlineStr">
        <is>
          <t>CLFD</t>
        </is>
      </c>
      <c r="B21" s="20" t="inlineStr">
        <is>
          <t>Clearfield, Inc.</t>
        </is>
      </c>
      <c r="C21" s="20" t="inlineStr">
        <is>
          <t>Technology</t>
        </is>
      </c>
      <c r="D21" s="44" t="inlineStr">
        <is>
          <t>Communication Equipment</t>
        </is>
      </c>
      <c r="E21" s="42" t="inlineStr">
        <is>
          <t>Small Cap</t>
        </is>
      </c>
      <c r="F21" s="43" t="inlineStr">
        <is>
          <t>Clearfield, Inc. manufactures, markets, and sells standard and custom passive connectivity products to the fiber-to-the-premises, enterprises, and original equipment manufacturers markets in the United States and internationally. The company offers FieldSmart, a series of panels, cabinets, wall boxes, and other enclosures. It also provides WaveSmart, which are optical components integrated for signal coupling, splitting, termination, multiplexing, demultiplexing, and attenuation for integration within its fiber management platform; and outdoor cabinet and fiber active cabinet products. The company offers StreetSmart, a portfolio of fiber management products; FieldShield, a fiber pathway and protection method for reducing the cost of broadband deployment; and YOURx platform that consists of hardened terminals, test access points, and various drop cable options for portions of the access network across various fiber drop cable media. It also provides CraftSmart, a line of optical protect</t>
        </is>
      </c>
    </row>
    <row r="22" ht="60" customHeight="1">
      <c r="A22" s="25" t="inlineStr">
        <is>
          <t>ISSC</t>
        </is>
      </c>
      <c r="B22" s="26" t="inlineStr">
        <is>
          <t>Innovative Solutions and Support, Inc.</t>
        </is>
      </c>
      <c r="C22" s="26" t="inlineStr">
        <is>
          <t>Industrials</t>
        </is>
      </c>
      <c r="D22" s="48" t="inlineStr">
        <is>
          <t>Aerospace &amp; Defense</t>
        </is>
      </c>
      <c r="E22" s="45" t="inlineStr">
        <is>
          <t>Small Cap</t>
        </is>
      </c>
      <c r="F22" s="46" t="inlineStr">
        <is>
          <t>Innovative Solutions and Support, Inc., a systems integrator, designs, develops, manufactures, sells, and services flight guidance, autothrottle, and cockpit display systems in the United States and internationally. It offers flat panel display systems that replicate the display of analog or digital displays on one screen and replace existing displays in legacy aircraft, as well as used for security monitoring on-board aircraft and as tactical workstations on military aircraft; and flight management systems that complement the flat panel display system upgrade for commercial air transport aircraft. The company also provides integrated standby units, which incorporate the measurement and display of attitude, altitude, airspeed, and navigation data into a single standby/backup navigation instrument for military, commercial air transport, and corporate/general aviation applications. In addition, it offers digital air data computers that calculate various air data parameters, such as altit</t>
        </is>
      </c>
    </row>
    <row r="23" ht="60" customHeight="1">
      <c r="A23" s="19" t="inlineStr">
        <is>
          <t>CECO</t>
        </is>
      </c>
      <c r="B23" s="20" t="inlineStr">
        <is>
          <t>CECO Environmental Corp.</t>
        </is>
      </c>
      <c r="C23" s="20" t="inlineStr">
        <is>
          <t>Industrials</t>
        </is>
      </c>
      <c r="D23" s="20" t="inlineStr">
        <is>
          <t>Industrial - Pollution &amp; Treatment Controls</t>
        </is>
      </c>
      <c r="E23" s="42" t="inlineStr">
        <is>
          <t>Small Cap</t>
        </is>
      </c>
      <c r="F23" s="43" t="inlineStr">
        <is>
          <t>CECO Environmental Corp. provides industrial air quality and fluid handling systems worldwide. It operates in two segments: Engineered Systems Segment and Industrial Process Solutions Segment. The company engineers, designs, builds, and installs systems that capture, clean, and destroy air- and water-borne emissions from industrial facilities as well as fluid handling, gas separation, and filtration systems. It offers dampers and diverters, selective catalytic reduction and selective non-catalytic reduction systems, cyclonic technology, thermal oxidizers, filtration systems, scrubbers, and water and fluid handling equipment, as well as plant engineering services and engineered design build fabrication. The company markets its products and services to natural gas processors, transmission and distribution companies, refineries, power generators, industrial manufacturing, engineering and construction companies, semiconductor manufacturers, compressor manufacturers, beverage can manufactur</t>
        </is>
      </c>
    </row>
    <row r="24" ht="60" customHeight="1">
      <c r="A24" s="25" t="inlineStr">
        <is>
          <t>ALNT</t>
        </is>
      </c>
      <c r="B24" s="26" t="inlineStr">
        <is>
          <t>Allient Inc.</t>
        </is>
      </c>
      <c r="C24" s="26" t="inlineStr">
        <is>
          <t>Technology</t>
        </is>
      </c>
      <c r="D24" s="26" t="inlineStr">
        <is>
          <t>Hardware, Equipment &amp; Parts</t>
        </is>
      </c>
      <c r="E24" s="45" t="inlineStr">
        <is>
          <t>Small Cap</t>
        </is>
      </c>
      <c r="F24" s="46" t="inlineStr">
        <is>
          <t>Allient Inc., together with its subsidiaries, designs, manufactures, and sells precision and specialty controlled motion components and systems for various industries worldwide. It offers brush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The company sells its products to end customers and original equipment manufacturers in vehicle, medical, aerospace and defense, and industrial markets through direct sales force, authorized manufacturers' representatives, and distributors. The company was formerly known as Allied Motion Technologies Inc. and changed its name to Allient Inc. in August 2023. Allient Inc. was incorporated in 1962 and is headquartered in Amherst, New York.</t>
        </is>
      </c>
    </row>
    <row r="25" ht="60" customHeight="1">
      <c r="A25" s="19" t="inlineStr">
        <is>
          <t>COMM</t>
        </is>
      </c>
      <c r="B25" s="20" t="inlineStr">
        <is>
          <t>CommScope Holding Company, Inc.</t>
        </is>
      </c>
      <c r="C25" s="20" t="inlineStr">
        <is>
          <t>Technology</t>
        </is>
      </c>
      <c r="D25" s="44" t="inlineStr">
        <is>
          <t>Communication Equipment</t>
        </is>
      </c>
      <c r="E25" s="42" t="inlineStr">
        <is>
          <t>Breakout</t>
        </is>
      </c>
      <c r="F25" s="43" t="inlineStr">
        <is>
          <t>CommScope Holding Company, Inc. provides infrastructure solutions for communications and entertainment networks. It operates through four segments: Broadband Networks (Broadband), Outdoor Wireless Networks (OWN), Venue and Campus Networks (VCN), and Home Networks (Home). The Broadband segment provides converged cable access platforms, passive optical networking products, video systems, access technologies, fiber and coaxial cables, fiber and copper connectivity products, and hardened closures to the telco and cable provider broadband market. The OWN segment provides base station antennas, radio frequency filters, tower connectivity, microwave antennas, metro cell products, cabinets, steel towers, accessories, Spectrum Access System, and Comsearch products to the macro and metro cell markets. The VCN segment offers Wi-Fi and switching, distributed antenna systems, licensed and unlicensed small cells, enterprise fiber, and copper infrastructures for campuses, venues, data centers, and bu</t>
        </is>
      </c>
    </row>
    <row r="26" ht="60" customHeight="1">
      <c r="A26" s="25" t="inlineStr">
        <is>
          <t>ALGM</t>
        </is>
      </c>
      <c r="B26" s="26" t="inlineStr">
        <is>
          <t>Allegro MicroSystems, Inc.</t>
        </is>
      </c>
      <c r="C26" s="26" t="inlineStr">
        <is>
          <t>Technology</t>
        </is>
      </c>
      <c r="D26" s="41" t="inlineStr">
        <is>
          <t>Semiconductors</t>
        </is>
      </c>
      <c r="E26" s="45" t="inlineStr">
        <is>
          <t>Breakout</t>
        </is>
      </c>
      <c r="F26" s="46" t="inlineStr">
        <is>
          <t>Allegro MicroSystems, Inc. designs, develops, manufactures, and markets sensor integrated circuits (ICs) and application-specific analog power ICs for motion control and energy-efficient systems. Its products include magnetic sensor ICs, such as position, speed, and current sensor ICs; power ICs comprising motor driver ICs, and regulator and LED driver ICs; and photonic and 3D sensing components, including photodiodes, eye-safe lasers, and readout ICs for LiDAR applications. The company sells its products to original equipment manufacturers and suppliers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 Allegro MicroSystems, Inc. is a subsidiary of Sanken Electric Co., Ltd.</t>
        </is>
      </c>
    </row>
    <row r="27" ht="60" customHeight="1">
      <c r="A27" s="19" t="inlineStr">
        <is>
          <t>XMTR</t>
        </is>
      </c>
      <c r="B27" s="20" t="inlineStr">
        <is>
          <t>Xometry, Inc.</t>
        </is>
      </c>
      <c r="C27" s="20" t="inlineStr">
        <is>
          <t>Industrials</t>
        </is>
      </c>
      <c r="D27" s="20" t="inlineStr">
        <is>
          <t>Industrial - Machinery</t>
        </is>
      </c>
      <c r="E27" s="42" t="inlineStr">
        <is>
          <t>Breakout</t>
        </is>
      </c>
      <c r="F27" s="43" t="inlineStr">
        <is>
          <t>Xometry, Inc. operates a marketplace that enables buyers to source manufactured parts and assemblies in the United States and internationally. It provides CNC machining, milling, and turning services; sheet, laser, waterjet, and plasma cutting services; and sheet metal forming services. The company also offers 3D printing services, such as carbon digital light synthesis, fused deposition modeling, HP multi jet fusion, PolyJet, selective laser sintering, stereolithography, metal 3D printing service, direct metal laser sintering, and metal binder jetting; and injection molding services, including plastic injection, over, insert, and prototype molding, as well as bridge and production tooling. In addition, it provides other services comprising urethane and die casting, vapor smoothing, finishing, rapid prototyping, high- volume production, and assembly services. The company offers its products under the Allied Machine &amp; Engineering, Brubaker, HTC, OSG, Kyocera, Mitsubishi Materials, SOWA,</t>
        </is>
      </c>
    </row>
    <row r="28" ht="60" customHeight="1">
      <c r="A28" s="25" t="inlineStr">
        <is>
          <t>KRMN</t>
        </is>
      </c>
      <c r="B28" s="26" t="inlineStr">
        <is>
          <t>Karman Holdings Inc.</t>
        </is>
      </c>
      <c r="C28" s="26" t="inlineStr">
        <is>
          <t>Industrials</t>
        </is>
      </c>
      <c r="D28" s="48" t="inlineStr">
        <is>
          <t>Aerospace &amp; Defense</t>
        </is>
      </c>
      <c r="E28" s="45" t="inlineStr">
        <is>
          <t>Breakout</t>
        </is>
      </c>
      <c r="F28" s="46" t="inlineStr">
        <is>
          <t>Karman Holdings Inc., through its subsidiary, Karman Space and Defense, engages in designing, testing, manufacturing, and sale of mission-critical systems for missile and defense, space programs, hypersonic, and launch vehicle markets. It also supplies metallic and composite flight hardware and sub-assemblies. In addition, the company provides solutions for payload protection and deployment systems, aerodynamic interstage systems, and propulsion systems. The company was incorporated in 2020 and is based in Huntington Beach, California. Karman Holdings Inc. is a subsidiary of TCFIII Spaceco SPV LP.</t>
        </is>
      </c>
    </row>
    <row r="29" ht="60" customHeight="1">
      <c r="A29" s="19" t="inlineStr">
        <is>
          <t>RUN</t>
        </is>
      </c>
      <c r="B29" s="20" t="inlineStr">
        <is>
          <t>Sunrun Inc.</t>
        </is>
      </c>
      <c r="C29" s="20" t="inlineStr">
        <is>
          <t>Energy</t>
        </is>
      </c>
      <c r="D29" s="47" t="inlineStr">
        <is>
          <t>Solar</t>
        </is>
      </c>
      <c r="E29" s="42" t="inlineStr">
        <is>
          <t>Breakout</t>
        </is>
      </c>
      <c r="F29" s="43" t="inlineStr">
        <is>
          <t>Sunrun Inc. engages in the design, development, installation, sale, ownership, and maintenance of residential solar energy systems in the United States. It also sells solar energy systems and products, such as panels and racking; and solar leads generated to customers. In addition, the company offers battery storage along with solar energy systems.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is>
      </c>
    </row>
    <row r="30" ht="60" customHeight="1">
      <c r="A30" s="25" t="inlineStr">
        <is>
          <t>MOG-A</t>
        </is>
      </c>
      <c r="B30" s="26" t="inlineStr">
        <is>
          <t>Moog Inc.</t>
        </is>
      </c>
      <c r="C30" s="26" t="inlineStr">
        <is>
          <t>Industrials</t>
        </is>
      </c>
      <c r="D30" s="48" t="inlineStr">
        <is>
          <t>Aerospace &amp; Defense</t>
        </is>
      </c>
      <c r="E30" s="45" t="inlineStr">
        <is>
          <t>Breakout</t>
        </is>
      </c>
      <c r="F30" s="46" t="inlineStr">
        <is>
          <t>Moog Inc. designs, manufactures, and integrates precision motion and fluid controls and controls systems for original equipment manufacturers and end users in the aerospace, defense, and industrial markets worldwide. The company's Aircraft Controls segment offers primary and secondary flight controls for military and commercial aircrafts; aftermarket support services; and ground-based navigation aids. Its Space and Defense Controls segment provides controls for spacecrafts, space vehicles, launch vehicles, armored combat vehicles, tactical and strategic missiles, security and surveillance, and other defense applications; and gun aiming, stabilization, and automatic ammunition loading for armored combat vehicles. This segment also offers controls for steering tactical and strategic missiles, and naval surface ships and submarines; and weapons stores management systems for light attack aerial reconnaissance, ground, and sea platforms. The company's Industrial Systems segment provides com</t>
        </is>
      </c>
    </row>
    <row r="31" ht="60" customHeight="1">
      <c r="A31" s="19" t="inlineStr">
        <is>
          <t>LASR</t>
        </is>
      </c>
      <c r="B31" s="20" t="inlineStr">
        <is>
          <t>nLIGHT, Inc.</t>
        </is>
      </c>
      <c r="C31" s="20" t="inlineStr">
        <is>
          <t>Technology</t>
        </is>
      </c>
      <c r="D31" s="41" t="inlineStr">
        <is>
          <t>Semiconductors</t>
        </is>
      </c>
      <c r="E31" s="42" t="inlineStr">
        <is>
          <t>Breakout</t>
        </is>
      </c>
      <c r="F31" s="43" t="inlineStr">
        <is>
          <t>nLIGHT, Inc. designs, manufactures, and sells semiconductor and fiber lasers for industrial, microfabrication, and aerospace and defense applications. It operates in two segments, Laser Products and Advanced Development. The company also provides fiber amplifiers, and beam combination and control systems for use in high-energy laser systems in directed energy applications. It sells its products through direct sales force in the United States, China, South Korea, and European countries, as well as through various independent sales representatives and distributors in Asia, Europe, and South America. The company was formerly known as nLight Photonics Corporation and changed its name to nLIGHT, Inc. in January 2016. nLIGHT, Inc. was incorporated in 2000 and is headquartered in Camas, Washington.</t>
        </is>
      </c>
    </row>
    <row r="32" ht="60" customHeight="1">
      <c r="A32" s="25" t="inlineStr">
        <is>
          <t>IPGP</t>
        </is>
      </c>
      <c r="B32" s="26" t="inlineStr">
        <is>
          <t>IPG Photonics Corporation</t>
        </is>
      </c>
      <c r="C32" s="26" t="inlineStr">
        <is>
          <t>Technology</t>
        </is>
      </c>
      <c r="D32" s="41" t="inlineStr">
        <is>
          <t>Semiconductors</t>
        </is>
      </c>
      <c r="E32" s="45" t="inlineStr">
        <is>
          <t>Breakout</t>
        </is>
      </c>
      <c r="F32" s="46" t="inlineStr">
        <is>
          <t>IPG Photonics Corporation develops, manufactures, and sells various high-performance fiber lasers, fiber amplifiers, and diode lasers used in various applications primarily in materials processing worldwide. The company's laser products include hybrid fiber-solid state lasers with green and ultraviolet wavelengths; fiber pigtailed packaged diodes and fiber coupled direct diode laser systems; high-energy pulsed lasers, multi-wavelength and tunable lasers, and single-polarization and single-frequency lasers; and high-power optical fiber delivery cables, fiber couplers, beam switches, chillers, scanners, and other accessories. It also provides erbium-doped fiber and Raman amplifiers, and integrated communications systems, which are deployed in broadband networks; and ytterbium and thulium specialty fiber amplifiers and broadband light sources. In addition, the company offers integrated laser systems; 2D compact flat sheet cutter systems and multi-axis systems; welding seam stepper and pic</t>
        </is>
      </c>
    </row>
    <row r="33" ht="60" customHeight="1">
      <c r="A33" s="19" t="inlineStr">
        <is>
          <t>ESE</t>
        </is>
      </c>
      <c r="B33" s="20" t="inlineStr">
        <is>
          <t>ESCO Technologies Inc.</t>
        </is>
      </c>
      <c r="C33" s="20" t="inlineStr">
        <is>
          <t>Technology</t>
        </is>
      </c>
      <c r="D33" s="20" t="inlineStr">
        <is>
          <t>Hardware, Equipment &amp; Parts</t>
        </is>
      </c>
      <c r="E33" s="42" t="inlineStr">
        <is>
          <t>Breakout</t>
        </is>
      </c>
      <c r="F33" s="43" t="inlineStr">
        <is>
          <t>ESCO Technologies Inc. produces and supplies engineered products and systems for industrial and commercial markets worldwide. It operates through Aerospace &amp; Defense, Utility Solutions Group, and RF Shielding and Test segments. The Aerospace &amp; Defense segment designs and manufactures filtration products, including hydraulic filter elements and fluid control devices used in commercial aerospace applications; filter mechanisms used in micro-propulsion devices for satellites; and custom designed filters for manned aircraft and submarines. It also designs, develops, and manufactures elastomeric-based signature reduction solutions for U.S. naval vessels; and mission-critical bushings, pins, sleeves, and precision-tolerance machined components for landing gear, rotor heads, engine mounts, flight controls, and actuation systems for the aerospace and defense industries. The Utility Solutions Group segment provides diagnostic testing solutions that enable electric power grid operators to assess</t>
        </is>
      </c>
    </row>
    <row r="34" ht="60" customHeight="1">
      <c r="A34" s="25" t="inlineStr">
        <is>
          <t>VIAV</t>
        </is>
      </c>
      <c r="B34" s="26" t="inlineStr">
        <is>
          <t>Viavi Solutions Inc.</t>
        </is>
      </c>
      <c r="C34" s="26" t="inlineStr">
        <is>
          <t>Technology</t>
        </is>
      </c>
      <c r="D34" s="44" t="inlineStr">
        <is>
          <t>Communication Equipment</t>
        </is>
      </c>
      <c r="E34" s="45" t="inlineStr">
        <is>
          <t>Breakout</t>
        </is>
      </c>
      <c r="F34" s="46" t="inlineStr">
        <is>
          <t>Viavi Solutions Inc. provides network test, monitoring, and assurance solutions to communications service providers, enterprises, network equipment manufacturers, original equipment manufacturers, government, and avionics customers worldwide. The company operates through three segments: Network Enablement (NE), Service Enablement (SE), and Optical Security and Performance Products (OSP) segments. The NE segment offers testing solutions that access the network to perform build-out and maintenance tasks. This segment provides solutions that include instruments, software, and services to design, build, activate, certify, troubleshoot, and optimize networks; and instrumentation for communication and safety. It also offers support and professional services, such as repair, calibration, software support, and technical assistance for the products; and system integration projects, including project management, installation, and implementation, as well as product and technology training, and co</t>
        </is>
      </c>
    </row>
  </sheetData>
  <autoFilter ref="A4:F34"/>
  <mergeCells count="2">
    <mergeCell ref="A2:F2"/>
    <mergeCell ref="A1:F1"/>
  </mergeCells>
  <pageMargins left="0.75" right="0.75" top="1" bottom="1" header="0.5" footer="0.5"/>
  <pageSetup orientation="landscape" fitToWidth="1"/>
</worksheet>
</file>

<file path=xl/worksheets/sheet6.xml><?xml version="1.0" encoding="utf-8"?>
<worksheet xmlns="http://schemas.openxmlformats.org/spreadsheetml/2006/main">
  <sheetPr>
    <tabColor rgb="002A9D8F"/>
    <outlinePr summaryBelow="1" summaryRight="1"/>
    <pageSetUpPr fitToPage="1"/>
  </sheetPr>
  <dimension ref="A1:G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22" customWidth="1" min="3" max="3"/>
    <col width="12" customWidth="1" min="4" max="4"/>
    <col width="10" customWidth="1" min="5" max="5"/>
    <col width="10" customWidth="1" min="6" max="6"/>
    <col width="65" customWidth="1" min="7" max="7"/>
  </cols>
  <sheetData>
    <row r="1" ht="28" customHeight="1">
      <c r="A1" s="30" t="inlineStr">
        <is>
          <t>Competitive Moats &amp; Structural Advantages</t>
        </is>
      </c>
      <c r="B1" s="11" t="n"/>
      <c r="C1" s="11" t="n"/>
      <c r="D1" s="11" t="n"/>
      <c r="E1" s="11" t="n"/>
      <c r="F1" s="11" t="n"/>
      <c r="G1" s="11" t="n"/>
    </row>
    <row r="2" ht="22" customHeight="1">
      <c r="A2" s="31" t="inlineStr">
        <is>
          <t>Derived from financial metrics  |  March 08, 2026</t>
        </is>
      </c>
      <c r="B2" s="12" t="n"/>
      <c r="C2" s="12" t="n"/>
      <c r="D2" s="12" t="n"/>
      <c r="E2" s="12" t="n"/>
      <c r="F2" s="12" t="n"/>
      <c r="G2" s="12" t="n"/>
    </row>
    <row r="3" ht="8" customHeight="1"/>
    <row r="4" ht="18" customHeight="1">
      <c r="A4" s="18" t="inlineStr">
        <is>
          <t>Ticker</t>
        </is>
      </c>
      <c r="B4" s="18" t="inlineStr">
        <is>
          <t>Company</t>
        </is>
      </c>
      <c r="C4" s="18" t="inlineStr">
        <is>
          <t>Industry</t>
        </is>
      </c>
      <c r="D4" s="18" t="inlineStr">
        <is>
          <t>Tier</t>
        </is>
      </c>
      <c r="E4" s="18" t="inlineStr">
        <is>
          <t>GM%</t>
        </is>
      </c>
      <c r="F4" s="18" t="inlineStr">
        <is>
          <t>FP Score</t>
        </is>
      </c>
      <c r="G4" s="18" t="inlineStr">
        <is>
          <t>Moat Analysis</t>
        </is>
      </c>
    </row>
    <row r="5" ht="80" customHeight="1">
      <c r="A5" s="19" t="inlineStr">
        <is>
          <t>SODI</t>
        </is>
      </c>
      <c r="B5" s="20" t="inlineStr">
        <is>
          <t>Solitron Devices, Inc.</t>
        </is>
      </c>
      <c r="C5" s="20" t="inlineStr">
        <is>
          <t>Semiconductors</t>
        </is>
      </c>
      <c r="D5" s="42" t="inlineStr">
        <is>
          <t>Nano Cap</t>
        </is>
      </c>
      <c r="E5" s="42" t="inlineStr">
        <is>
          <t>34%</t>
        </is>
      </c>
      <c r="F5" s="42" t="inlineStr">
        <is>
          <t>98</t>
        </is>
      </c>
      <c r="G5" s="43" t="inlineStr">
        <is>
          <t>Moderate margins (GM 34%) — competitive market, but cost structure supports reinvestment. Solid revenue growth (49% YoY) suggests growing demand and competitive positioning in target markets. Revenue acceleration (65% QoQ) — growth is compounding, indicating an inflection point or expanding customer adoption. Exceptional capital discipline (1% share growth over 3yr) — management avoids dilution, signaling confidence in organic cash generation. High insider ownership (23%) — founder/management skin in the game strongly aligns incentives with shareholders. Semiconductor design/fab expertise represents years of R&amp;D investment — a significant moat against new entrants. Fingerprint score of 98 — structural profile closely matches historical multi-bagger winners at their inflection points.</t>
        </is>
      </c>
    </row>
    <row r="6" ht="80" customHeight="1">
      <c r="A6" s="25" t="inlineStr">
        <is>
          <t>WSTL</t>
        </is>
      </c>
      <c r="B6" s="26" t="inlineStr">
        <is>
          <t>Westell Technologies, Inc.</t>
        </is>
      </c>
      <c r="C6" s="26" t="inlineStr">
        <is>
          <t>Communication Equipment</t>
        </is>
      </c>
      <c r="D6" s="45" t="inlineStr">
        <is>
          <t>Nano Cap</t>
        </is>
      </c>
      <c r="E6" s="45" t="inlineStr">
        <is>
          <t>41%</t>
        </is>
      </c>
      <c r="F6" s="45" t="inlineStr">
        <is>
          <t>98</t>
        </is>
      </c>
      <c r="G6" s="46" t="inlineStr">
        <is>
          <t>Healthy margins (GM 41%) indicate differentiated products with some pricing power above commodity levels. Solid revenue growth (47% YoY) suggests growing demand and competitive positioning in target markets. Exceptional capital discipline (-11% share growth over 3yr) — management avoids dilution, signaling confidence in organic cash generation. Meaningful insider ownership (19%) — management has material personal stake in company performance. Networking/communications infrastructure — installed base and switching costs create customer lock-in. Fingerprint score of 98 — structural profile closely matches historical multi-bagger winners at their inflection points.</t>
        </is>
      </c>
    </row>
    <row r="7" ht="80" customHeight="1">
      <c r="A7" s="19" t="inlineStr">
        <is>
          <t>SPRU</t>
        </is>
      </c>
      <c r="B7" s="20" t="inlineStr">
        <is>
          <t>Spruce Power Holding Corporation</t>
        </is>
      </c>
      <c r="C7" s="20" t="inlineStr">
        <is>
          <t>Solar</t>
        </is>
      </c>
      <c r="D7" s="42" t="inlineStr">
        <is>
          <t>Nano Cap</t>
        </is>
      </c>
      <c r="E7" s="42" t="inlineStr">
        <is>
          <t>68%</t>
        </is>
      </c>
      <c r="F7" s="42" t="inlineStr">
        <is>
          <t>84</t>
        </is>
      </c>
      <c r="G7" s="43" t="inlineStr">
        <is>
          <t>Strong pricing power (GM 68%) suggests proprietary technology or IP-protected products with limited direct competition. Solid revenue growth (44% YoY) suggests growing demand and competitive positioning in target markets. Revenue acceleration (8% QoQ) — growth is compounding, indicating an inflection point or expanding customer adoption. Exceptional capital discipline (-0% share growth over 3yr) — management avoids dilution, signaling confidence in organic cash generation. High insider ownership (20%) — founder/management skin in the game strongly aligns incentives with shareholders. Fingerprint score of 84 — structural profile closely matches historical multi-bagger winners at their inflection points.</t>
        </is>
      </c>
    </row>
    <row r="8" ht="80" customHeight="1">
      <c r="A8" s="25" t="inlineStr">
        <is>
          <t>CODA</t>
        </is>
      </c>
      <c r="B8" s="26" t="inlineStr">
        <is>
          <t>Coda Octopus Group, Inc.</t>
        </is>
      </c>
      <c r="C8" s="26" t="inlineStr">
        <is>
          <t>Aerospace &amp; Defense</t>
        </is>
      </c>
      <c r="D8" s="45" t="inlineStr">
        <is>
          <t>Nano Cap</t>
        </is>
      </c>
      <c r="E8" s="45" t="inlineStr">
        <is>
          <t>68%</t>
        </is>
      </c>
      <c r="F8" s="45" t="inlineStr">
        <is>
          <t>72</t>
        </is>
      </c>
      <c r="G8" s="46" t="inlineStr">
        <is>
          <t>Strong pricing power (GM 68%) suggests proprietary technology or IP-protected products with limited direct competition. Solid revenue growth (44% YoY) suggests growing demand and competitive positioning in target markets. Revenue acceleration (30% QoQ) — growth is compounding, indicating an inflection point or expanding customer adoption. Exceptional capital discipline (3% share growth over 3yr) — management avoids dilution, signaling confidence in organic cash generation. High insider ownership (48%) — founder/management skin in the game strongly aligns incentives with shareholders. Defense/aerospace positioning creates high barriers to entry via security clearances, government contracts, and long procurement cycles. Fingerprint score of 72 — structural profile closely matches historical multi-bagger winners at their inflection points.</t>
        </is>
      </c>
    </row>
    <row r="9" ht="80" customHeight="1">
      <c r="A9" s="19" t="inlineStr">
        <is>
          <t>TGEN</t>
        </is>
      </c>
      <c r="B9" s="20" t="inlineStr">
        <is>
          <t>Tecogen Inc.</t>
        </is>
      </c>
      <c r="C9" s="20" t="inlineStr">
        <is>
          <t>Electrical Equipment &amp; Parts</t>
        </is>
      </c>
      <c r="D9" s="42" t="inlineStr">
        <is>
          <t>Nano Cap</t>
        </is>
      </c>
      <c r="E9" s="42" t="inlineStr">
        <is>
          <t>30%</t>
        </is>
      </c>
      <c r="F9" s="42" t="inlineStr">
        <is>
          <t>91</t>
        </is>
      </c>
      <c r="G9" s="43" t="inlineStr">
        <is>
          <t>Moderate margins (GM 30%) — competitive market, but cost structure supports reinvestment. Solid revenue growth (28% YoY) suggests growing demand and competitive positioning in target markets. Revenue acceleration (32% QoQ) — growth is compounding, indicating an inflection point or expanding customer adoption. Reasonable capital discipline (6% 3yr dilution) — moderate equity issuance suggests funded growth without excessive shareholder dilution. High insider ownership (39%) — founder/management skin in the game strongly aligns incentives with shareholders. Fingerprint score of 91 — structural profile closely matches historical multi-bagger winners at their inflection points.</t>
        </is>
      </c>
    </row>
    <row r="10" ht="80" customHeight="1">
      <c r="A10" s="25" t="inlineStr">
        <is>
          <t>TAYD</t>
        </is>
      </c>
      <c r="B10" s="26" t="inlineStr">
        <is>
          <t>Taylor Devices, Inc.</t>
        </is>
      </c>
      <c r="C10" s="26" t="inlineStr">
        <is>
          <t>Industrial - Machinery</t>
        </is>
      </c>
      <c r="D10" s="45" t="inlineStr">
        <is>
          <t>Nano Cap</t>
        </is>
      </c>
      <c r="E10" s="45" t="inlineStr">
        <is>
          <t>47%</t>
        </is>
      </c>
      <c r="F10" s="45" t="inlineStr">
        <is>
          <t>78</t>
        </is>
      </c>
      <c r="G10" s="46" t="inlineStr">
        <is>
          <t>Healthy margins (GM 47%) indicate differentiated products with some pricing power above commodity levels. Rapid revenue growth (199% YoY) signals strong product-market fit and expanding TAM capture. Revenue acceleration (267% QoQ) — growth is compounding, indicating an inflection point or expanding customer adoption. Exceptional capital discipline (-11% share growth over 3yr) — management avoids dilution, signaling confidence in organic cash generation. Fingerprint score of 78 — structural profile closely matches historical multi-bagger winners at their inflection points.</t>
        </is>
      </c>
    </row>
    <row r="11" ht="80" customHeight="1">
      <c r="A11" s="19" t="inlineStr">
        <is>
          <t>RFIL</t>
        </is>
      </c>
      <c r="B11" s="20" t="inlineStr">
        <is>
          <t>RF Industries, Ltd.</t>
        </is>
      </c>
      <c r="C11" s="20" t="inlineStr">
        <is>
          <t>Electrical Equipment &amp; Parts</t>
        </is>
      </c>
      <c r="D11" s="42" t="inlineStr">
        <is>
          <t>Nano Cap</t>
        </is>
      </c>
      <c r="E11" s="42" t="inlineStr">
        <is>
          <t>37%</t>
        </is>
      </c>
      <c r="F11" s="42" t="inlineStr">
        <is>
          <t>99</t>
        </is>
      </c>
      <c r="G11" s="43" t="inlineStr">
        <is>
          <t>Moderate margins (GM 37%) — competitive market, but cost structure supports reinvestment. Reasonable capital discipline (5% 3yr dilution) — moderate equity issuance suggests funded growth without excessive shareholder dilution. High insider ownership (20%) — founder/management skin in the game strongly aligns incentives with shareholders. Fingerprint score of 99 — structural profile closely matches historical multi-bagger winners at their inflection points.</t>
        </is>
      </c>
    </row>
    <row r="12" ht="80" customHeight="1">
      <c r="A12" s="25" t="inlineStr">
        <is>
          <t>MRAM</t>
        </is>
      </c>
      <c r="B12" s="26" t="inlineStr">
        <is>
          <t>Everspin Technologies, Inc.</t>
        </is>
      </c>
      <c r="C12" s="26" t="inlineStr">
        <is>
          <t>Semiconductors</t>
        </is>
      </c>
      <c r="D12" s="45" t="inlineStr">
        <is>
          <t>Nano Cap</t>
        </is>
      </c>
      <c r="E12" s="45" t="inlineStr">
        <is>
          <t>51%</t>
        </is>
      </c>
      <c r="F12" s="45" t="inlineStr">
        <is>
          <t>94</t>
        </is>
      </c>
      <c r="G12" s="46" t="inlineStr">
        <is>
          <t>Healthy margins (GM 51%) indicate differentiated products with some pricing power above commodity levels. Revenue acceleration (20% QoQ) — growth is compounding, indicating an inflection point or expanding customer adoption. Meaningful insider ownership (19%) — management has material personal stake in company performance. Semiconductor design/fab expertise represents years of R&amp;D investment — a significant moat against new entrants. Fingerprint score of 94 — structural profile closely matches historical multi-bagger winners at their inflection points.</t>
        </is>
      </c>
    </row>
    <row r="13" ht="80" customHeight="1">
      <c r="A13" s="19" t="inlineStr">
        <is>
          <t>SCTQ</t>
        </is>
      </c>
      <c r="B13" s="20" t="inlineStr">
        <is>
          <t>Spectra Systems Corporation</t>
        </is>
      </c>
      <c r="C13" s="20" t="inlineStr">
        <is>
          <t>Computer Hardware</t>
        </is>
      </c>
      <c r="D13" s="42" t="inlineStr">
        <is>
          <t>Nano Cap</t>
        </is>
      </c>
      <c r="E13" s="42" t="inlineStr">
        <is>
          <t>57%</t>
        </is>
      </c>
      <c r="F13" s="42" t="inlineStr">
        <is>
          <t>73</t>
        </is>
      </c>
      <c r="G13" s="43" t="inlineStr">
        <is>
          <t>Healthy margins (GM 57%) indicate differentiated products with some pricing power above commodity levels. Rapid revenue growth (502% YoY) signals strong product-market fit and expanding TAM capture. Reasonable capital discipline (5% 3yr dilution) — moderate equity issuance suggests funded growth without excessive shareholder dilution. Meaningful insider ownership (18%) — management has material personal stake in company performance. Fingerprint score of 73 — structural profile closely matches historical multi-bagger winners at their inflection points.</t>
        </is>
      </c>
    </row>
    <row r="14" ht="80" customHeight="1">
      <c r="A14" s="25" t="inlineStr">
        <is>
          <t>ZEO</t>
        </is>
      </c>
      <c r="B14" s="26" t="inlineStr">
        <is>
          <t>Zeo Energy Corp.</t>
        </is>
      </c>
      <c r="C14" s="26" t="inlineStr">
        <is>
          <t>Solar</t>
        </is>
      </c>
      <c r="D14" s="45" t="inlineStr">
        <is>
          <t>Nano Cap</t>
        </is>
      </c>
      <c r="E14" s="45" t="inlineStr">
        <is>
          <t>58%</t>
        </is>
      </c>
      <c r="F14" s="45" t="inlineStr">
        <is>
          <t>76</t>
        </is>
      </c>
      <c r="G14" s="46" t="inlineStr">
        <is>
          <t>Healthy margins (GM 58%) indicate differentiated products with some pricing power above commodity levels. Revenue acceleration (36% QoQ) — growth is compounding, indicating an inflection point or expanding customer adoption. Exceptional capital discipline (-21% share growth over 3yr) — management avoids dilution, signaling confidence in organic cash generation. High insider ownership (50%) — founder/management skin in the game strongly aligns incentives with shareholders. Fingerprint score of 76 — structural profile closely matches historical multi-bagger winners at their inflection points.</t>
        </is>
      </c>
    </row>
    <row r="15" ht="80" customHeight="1">
      <c r="A15" s="19" t="inlineStr">
        <is>
          <t>GOGO</t>
        </is>
      </c>
      <c r="B15" s="20" t="inlineStr">
        <is>
          <t>Gogo Inc.</t>
        </is>
      </c>
      <c r="C15" s="20" t="inlineStr">
        <is>
          <t>Telecommunications Services</t>
        </is>
      </c>
      <c r="D15" s="42" t="inlineStr">
        <is>
          <t>Small Cap</t>
        </is>
      </c>
      <c r="E15" s="42" t="inlineStr">
        <is>
          <t>70%</t>
        </is>
      </c>
      <c r="F15" s="42" t="inlineStr">
        <is>
          <t>73</t>
        </is>
      </c>
      <c r="G15" s="43" t="inlineStr">
        <is>
          <t>Strong pricing power (GM 70%) suggests proprietary technology or IP-protected products with limited direct competition. Rapid revenue growth (67% YoY) signals strong product-market fit and expanding TAM capture. Revenue acceleration (35% QoQ) — growth is compounding, indicating an inflection point or expanding customer adoption. Reasonable capital discipline (4% 3yr dilution) — moderate equity issuance suggests funded growth without excessive shareholder dilution. High insider ownership (43%) — founder/management skin in the game strongly aligns incentives with shareholders. Fingerprint score of 73 — structural profile closely matches historical multi-bagger winners at their inflection points.</t>
        </is>
      </c>
    </row>
    <row r="16" ht="80" customHeight="1">
      <c r="A16" s="25" t="inlineStr">
        <is>
          <t>MXL</t>
        </is>
      </c>
      <c r="B16" s="26" t="inlineStr">
        <is>
          <t>MaxLinear, Inc.</t>
        </is>
      </c>
      <c r="C16" s="26" t="inlineStr">
        <is>
          <t>Semiconductors</t>
        </is>
      </c>
      <c r="D16" s="45" t="inlineStr">
        <is>
          <t>Small Cap</t>
        </is>
      </c>
      <c r="E16" s="45" t="inlineStr">
        <is>
          <t>58%</t>
        </is>
      </c>
      <c r="F16" s="45" t="inlineStr">
        <is>
          <t>87</t>
        </is>
      </c>
      <c r="G16" s="46" t="inlineStr">
        <is>
          <t>Healthy margins (GM 58%) indicate differentiated products with some pricing power above commodity levels. Solid revenue growth (48% YoY) suggests growing demand and competitive positioning in target markets. Revenue acceleration (51% QoQ) — growth is compounding, indicating an inflection point or expanding customer adoption. Reasonable capital discipline (10% 3yr dilution) — moderate equity issuance suggests funded growth without excessive shareholder dilution. Semiconductor design/fab expertise represents years of R&amp;D investment — a significant moat against new entrants. Fingerprint score of 87 — structural profile closely matches historical multi-bagger winners at their inflection points.</t>
        </is>
      </c>
    </row>
    <row r="17" ht="80" customHeight="1">
      <c r="A17" s="19" t="inlineStr">
        <is>
          <t>CDRE</t>
        </is>
      </c>
      <c r="B17" s="20" t="inlineStr">
        <is>
          <t>Cadre Holdings, Inc.</t>
        </is>
      </c>
      <c r="C17" s="20" t="inlineStr">
        <is>
          <t>Aerospace &amp; Defense</t>
        </is>
      </c>
      <c r="D17" s="42" t="inlineStr">
        <is>
          <t>Small Cap</t>
        </is>
      </c>
      <c r="E17" s="42" t="inlineStr">
        <is>
          <t>42%</t>
        </is>
      </c>
      <c r="F17" s="42" t="inlineStr">
        <is>
          <t>82</t>
        </is>
      </c>
      <c r="G17" s="43" t="inlineStr">
        <is>
          <t>Healthy margins (GM 42%) indicate differentiated products with some pricing power above commodity levels. Solid revenue growth (42% YoY) suggests growing demand and competitive positioning in target markets. Revenue acceleration (55% QoQ) — growth is compounding, indicating an inflection point or expanding customer adoption. Reasonable capital discipline (9% 3yr dilution) — moderate equity issuance suggests funded growth without excessive shareholder dilution. High insider ownership (35%) — founder/management skin in the game strongly aligns incentives with shareholders. Defense/aerospace positioning creates high barriers to entry via security clearances, government contracts, and long procurement cycles. Fingerprint score of 82 — structural profile closely matches historical multi-bagger winners at their inflection points.</t>
        </is>
      </c>
    </row>
    <row r="18" ht="80" customHeight="1">
      <c r="A18" s="25" t="inlineStr">
        <is>
          <t>ADTN</t>
        </is>
      </c>
      <c r="B18" s="26" t="inlineStr">
        <is>
          <t>ADTRAN Holdings, Inc.</t>
        </is>
      </c>
      <c r="C18" s="26" t="inlineStr">
        <is>
          <t>Communication Equipment</t>
        </is>
      </c>
      <c r="D18" s="45" t="inlineStr">
        <is>
          <t>Small Cap</t>
        </is>
      </c>
      <c r="E18" s="45" t="inlineStr">
        <is>
          <t>39%</t>
        </is>
      </c>
      <c r="F18" s="45" t="inlineStr">
        <is>
          <t>100</t>
        </is>
      </c>
      <c r="G18" s="46" t="inlineStr">
        <is>
          <t>Moderate margins (GM 39%) — competitive market, but cost structure supports reinvestment. Revenue acceleration (13% QoQ) — growth is compounding, indicating an inflection point or expanding customer adoption. Exceptional capital discipline (2% share growth over 3yr) — management avoids dilution, signaling confidence in organic cash generation. Meaningful insider ownership (12%) — management has material personal stake in company performance. Networking/communications infrastructure — installed base and switching costs create customer lock-in. Fingerprint score of 100 — structural profile closely matches historical multi-bagger winners at their inflection points.</t>
        </is>
      </c>
    </row>
    <row r="19" ht="80" customHeight="1">
      <c r="A19" s="19" t="inlineStr">
        <is>
          <t>PKE</t>
        </is>
      </c>
      <c r="B19" s="20" t="inlineStr">
        <is>
          <t>Park Aerospace Corp.</t>
        </is>
      </c>
      <c r="C19" s="20" t="inlineStr">
        <is>
          <t>Aerospace &amp; Defense</t>
        </is>
      </c>
      <c r="D19" s="42" t="inlineStr">
        <is>
          <t>Small Cap</t>
        </is>
      </c>
      <c r="E19" s="42" t="inlineStr">
        <is>
          <t>34%</t>
        </is>
      </c>
      <c r="F19" s="42" t="inlineStr">
        <is>
          <t>100</t>
        </is>
      </c>
      <c r="G19" s="43" t="inlineStr">
        <is>
          <t>Moderate margins (GM 34%) — competitive market, but cost structure supports reinvestment. Revenue acceleration (32% QoQ) — growth is compounding, indicating an inflection point or expanding customer adoption. Exceptional capital discipline (-3% share growth over 3yr) — management avoids dilution, signaling confidence in organic cash generation. Defense/aerospace positioning creates high barriers to entry via security clearances, government contracts, and long procurement cycles. Fingerprint score of 100 — structural profile closely matches historical multi-bagger winners at their inflection points.</t>
        </is>
      </c>
    </row>
    <row r="20" ht="80" customHeight="1">
      <c r="A20" s="25" t="inlineStr">
        <is>
          <t>MVST</t>
        </is>
      </c>
      <c r="B20" s="26" t="inlineStr">
        <is>
          <t>Microvast Holdings, Inc.</t>
        </is>
      </c>
      <c r="C20" s="26" t="inlineStr">
        <is>
          <t>Electrical Equipment &amp; Parts</t>
        </is>
      </c>
      <c r="D20" s="45" t="inlineStr">
        <is>
          <t>Small Cap</t>
        </is>
      </c>
      <c r="E20" s="45" t="inlineStr">
        <is>
          <t>38%</t>
        </is>
      </c>
      <c r="F20" s="45" t="inlineStr">
        <is>
          <t>92</t>
        </is>
      </c>
      <c r="G20" s="46" t="inlineStr">
        <is>
          <t>Moderate margins (GM 38%) — competitive market, but cost structure supports reinvestment. Revenue acceleration (25% QoQ) — growth is compounding, indicating an inflection point or expanding customer adoption. Reasonable capital discipline (5% 3yr dilution) — moderate equity issuance suggests funded growth without excessive shareholder dilution. High insider ownership (39%) — founder/management skin in the game strongly aligns incentives with shareholders. Fingerprint score of 92 — structural profile closely matches historical multi-bagger winners at their inflection points.</t>
        </is>
      </c>
    </row>
    <row r="21" ht="80" customHeight="1">
      <c r="A21" s="19" t="inlineStr">
        <is>
          <t>CLFD</t>
        </is>
      </c>
      <c r="B21" s="20" t="inlineStr">
        <is>
          <t>Clearfield, Inc.</t>
        </is>
      </c>
      <c r="C21" s="20" t="inlineStr">
        <is>
          <t>Communication Equipment</t>
        </is>
      </c>
      <c r="D21" s="42" t="inlineStr">
        <is>
          <t>Small Cap</t>
        </is>
      </c>
      <c r="E21" s="42" t="inlineStr">
        <is>
          <t>33%</t>
        </is>
      </c>
      <c r="F21" s="42" t="inlineStr">
        <is>
          <t>100</t>
        </is>
      </c>
      <c r="G21" s="43" t="inlineStr">
        <is>
          <t>Moderate margins (GM 33%) — competitive market, but cost structure supports reinvestment. Revenue acceleration (35% QoQ) — growth is compounding, indicating an inflection point or expanding customer adoption. Exceptional capital discipline (-9% share growth over 3yr) — management avoids dilution, signaling confidence in organic cash generation. Meaningful insider ownership (19%) — management has material personal stake in company performance. Networking/communications infrastructure — installed base and switching costs create customer lock-in. Fingerprint score of 100 — structural profile closely matches historical multi-bagger winners at their inflection points.</t>
        </is>
      </c>
    </row>
    <row r="22" ht="80" customHeight="1">
      <c r="A22" s="25" t="inlineStr">
        <is>
          <t>ISSC</t>
        </is>
      </c>
      <c r="B22" s="26" t="inlineStr">
        <is>
          <t>Innovative Solutions and Support, Inc.</t>
        </is>
      </c>
      <c r="C22" s="26" t="inlineStr">
        <is>
          <t>Aerospace &amp; Defense</t>
        </is>
      </c>
      <c r="D22" s="45" t="inlineStr">
        <is>
          <t>Small Cap</t>
        </is>
      </c>
      <c r="E22" s="45" t="inlineStr">
        <is>
          <t>54%</t>
        </is>
      </c>
      <c r="F22" s="45" t="inlineStr">
        <is>
          <t>96</t>
        </is>
      </c>
      <c r="G22" s="46" t="inlineStr">
        <is>
          <t>Healthy margins (GM 54%) indicate differentiated products with some pricing power above commodity levels. Solid revenue growth (37% YoY) suggests growing demand and competitive positioning in target markets. Exceptional capital discipline (2% share growth over 3yr) — management avoids dilution, signaling confidence in organic cash generation. Defense/aerospace positioning creates high barriers to entry via security clearances, government contracts, and long procurement cycles. Fingerprint score of 96 — structural profile closely matches historical multi-bagger winners at their inflection points.</t>
        </is>
      </c>
    </row>
    <row r="23" ht="80" customHeight="1">
      <c r="A23" s="19" t="inlineStr">
        <is>
          <t>CECO</t>
        </is>
      </c>
      <c r="B23" s="20" t="inlineStr">
        <is>
          <t>CECO Environmental Corp.</t>
        </is>
      </c>
      <c r="C23" s="20" t="inlineStr">
        <is>
          <t>Industrial - Pollution &amp; Treatment Controls</t>
        </is>
      </c>
      <c r="D23" s="42" t="inlineStr">
        <is>
          <t>Small Cap</t>
        </is>
      </c>
      <c r="E23" s="42" t="inlineStr">
        <is>
          <t>33%</t>
        </is>
      </c>
      <c r="F23" s="42" t="inlineStr">
        <is>
          <t>87</t>
        </is>
      </c>
      <c r="G23" s="43" t="inlineStr">
        <is>
          <t>Moderate margins (GM 33%) — competitive market, but cost structure supports reinvestment. Solid revenue growth (35% YoY) suggests growing demand and competitive positioning in target markets. Revenue acceleration (10% QoQ) — growth is compounding, indicating an inflection point or expanding customer adoption. Reasonable capital discipline (4% 3yr dilution) — moderate equity issuance suggests funded growth without excessive shareholder dilution. Meaningful insider ownership (16%) — management has material personal stake in company performance. Fingerprint score of 87 — structural profile closely matches historical multi-bagger winners at their inflection points.</t>
        </is>
      </c>
    </row>
    <row r="24" ht="80" customHeight="1">
      <c r="A24" s="25" t="inlineStr">
        <is>
          <t>ALNT</t>
        </is>
      </c>
      <c r="B24" s="26" t="inlineStr">
        <is>
          <t>Allient Inc.</t>
        </is>
      </c>
      <c r="C24" s="26" t="inlineStr">
        <is>
          <t>Hardware, Equipment &amp; Parts</t>
        </is>
      </c>
      <c r="D24" s="45" t="inlineStr">
        <is>
          <t>Small Cap</t>
        </is>
      </c>
      <c r="E24" s="45" t="inlineStr">
        <is>
          <t>30%</t>
        </is>
      </c>
      <c r="F24" s="45" t="inlineStr">
        <is>
          <t>100</t>
        </is>
      </c>
      <c r="G24" s="46" t="inlineStr">
        <is>
          <t>Moderate margins (GM 30%) — competitive market, but cost structure supports reinvestment. Revenue acceleration (34% QoQ) — growth is compounding, indicating an inflection point or expanding customer adoption. Reasonable capital discipline (5% 3yr dilution) — moderate equity issuance suggests funded growth without excessive shareholder dilution. High insider ownership (21%) — founder/management skin in the game strongly aligns incentives with shareholders. Fingerprint score of 100 — structural profile closely matches historical multi-bagger winners at their inflection points.</t>
        </is>
      </c>
    </row>
    <row r="25" ht="80" customHeight="1">
      <c r="A25" s="19" t="inlineStr">
        <is>
          <t>COMM</t>
        </is>
      </c>
      <c r="B25" s="20" t="inlineStr">
        <is>
          <t>CommScope Holding Company, Inc.</t>
        </is>
      </c>
      <c r="C25" s="20" t="inlineStr">
        <is>
          <t>Communication Equipment</t>
        </is>
      </c>
      <c r="D25" s="42" t="inlineStr">
        <is>
          <t>Breakout</t>
        </is>
      </c>
      <c r="E25" s="42" t="inlineStr">
        <is>
          <t>38%</t>
        </is>
      </c>
      <c r="F25" s="42" t="inlineStr">
        <is>
          <t>78</t>
        </is>
      </c>
      <c r="G25" s="43" t="inlineStr">
        <is>
          <t>Moderate margins (GM 38%) — competitive market, but cost structure supports reinvestment. Rapid revenue growth (51% YoY) signals strong product-market fit and expanding TAM capture. Revenue acceleration (33% QoQ) — growth is compounding, indicating an inflection point or expanding customer adoption. Reasonable capital discipline (6% 3yr dilution) — moderate equity issuance suggests funded growth without excessive shareholder dilution. Networking/communications infrastructure — installed base and switching costs create customer lock-in. Fingerprint score of 78 — structural profile closely matches historical multi-bagger winners at their inflection points.</t>
        </is>
      </c>
    </row>
    <row r="26" ht="80" customHeight="1">
      <c r="A26" s="25" t="inlineStr">
        <is>
          <t>ALGM</t>
        </is>
      </c>
      <c r="B26" s="26" t="inlineStr">
        <is>
          <t>Allegro MicroSystems, Inc.</t>
        </is>
      </c>
      <c r="C26" s="26" t="inlineStr">
        <is>
          <t>Semiconductors</t>
        </is>
      </c>
      <c r="D26" s="45" t="inlineStr">
        <is>
          <t>Breakout</t>
        </is>
      </c>
      <c r="E26" s="45" t="inlineStr">
        <is>
          <t>47%</t>
        </is>
      </c>
      <c r="F26" s="45" t="inlineStr">
        <is>
          <t>78</t>
        </is>
      </c>
      <c r="G26" s="46" t="inlineStr">
        <is>
          <t>Healthy margins (GM 47%) indicate differentiated products with some pricing power above commodity levels. Solid revenue growth (29% YoY) suggests growing demand and competitive positioning in target markets. Revenue acceleration (55% QoQ) — growth is compounding, indicating an inflection point or expanding customer adoption. Exceptional capital discipline (-3% share growth over 3yr) — management avoids dilution, signaling confidence in organic cash generation. High insider ownership (33%) — founder/management skin in the game strongly aligns incentives with shareholders. Semiconductor design/fab expertise represents years of R&amp;D investment — a significant moat against new entrants. Fingerprint score of 78 — structural profile closely matches historical multi-bagger winners at their inflection points.</t>
        </is>
      </c>
    </row>
    <row r="27" ht="80" customHeight="1">
      <c r="A27" s="19" t="inlineStr">
        <is>
          <t>XMTR</t>
        </is>
      </c>
      <c r="B27" s="20" t="inlineStr">
        <is>
          <t>Xometry, Inc.</t>
        </is>
      </c>
      <c r="C27" s="20" t="inlineStr">
        <is>
          <t>Industrial - Machinery</t>
        </is>
      </c>
      <c r="D27" s="42" t="inlineStr">
        <is>
          <t>Breakout</t>
        </is>
      </c>
      <c r="E27" s="42" t="inlineStr">
        <is>
          <t>39%</t>
        </is>
      </c>
      <c r="F27" s="42" t="inlineStr">
        <is>
          <t>80</t>
        </is>
      </c>
      <c r="G27" s="43" t="inlineStr">
        <is>
          <t>Moderate margins (GM 39%) — competitive market, but cost structure supports reinvestment. Solid revenue growth (30% YoY) suggests growing demand and competitive positioning in target markets. Revenue acceleration (8% QoQ) — growth is compounding, indicating an inflection point or expanding customer adoption. Reasonable capital discipline (6% 3yr dilution) — moderate equity issuance suggests funded growth without excessive shareholder dilution. Meaningful insider ownership (10%) — management has material personal stake in company performance. Fingerprint score of 80 — structural profile closely matches historical multi-bagger winners at their inflection points.</t>
        </is>
      </c>
    </row>
    <row r="28" ht="80" customHeight="1">
      <c r="A28" s="25" t="inlineStr">
        <is>
          <t>KRMN</t>
        </is>
      </c>
      <c r="B28" s="26" t="inlineStr">
        <is>
          <t>Karman Holdings Inc.</t>
        </is>
      </c>
      <c r="C28" s="26" t="inlineStr">
        <is>
          <t>Aerospace &amp; Defense</t>
        </is>
      </c>
      <c r="D28" s="45" t="inlineStr">
        <is>
          <t>Breakout</t>
        </is>
      </c>
      <c r="E28" s="45" t="inlineStr">
        <is>
          <t>41%</t>
        </is>
      </c>
      <c r="F28" s="45" t="inlineStr">
        <is>
          <t>60</t>
        </is>
      </c>
      <c r="G28" s="46" t="inlineStr">
        <is>
          <t>Healthy margins (GM 41%) indicate differentiated products with some pricing power above commodity levels. Solid revenue growth (42% YoY) suggests growing demand and competitive positioning in target markets. Revenue acceleration (30% QoQ) — growth is compounding, indicating an inflection point or expanding customer adoption. Exceptional capital discipline (0% share growth over 3yr) — management avoids dilution, signaling confidence in organic cash generation. High insider ownership (78%) — founder/management skin in the game strongly aligns incentives with shareholders. Defense/aerospace positioning creates high barriers to entry via security clearances, government contracts, and long procurement cycles.</t>
        </is>
      </c>
    </row>
    <row r="29" ht="80" customHeight="1">
      <c r="A29" s="19" t="inlineStr">
        <is>
          <t>RUN</t>
        </is>
      </c>
      <c r="B29" s="20" t="inlineStr">
        <is>
          <t>Sunrun Inc.</t>
        </is>
      </c>
      <c r="C29" s="20" t="inlineStr">
        <is>
          <t>Solar</t>
        </is>
      </c>
      <c r="D29" s="42" t="inlineStr">
        <is>
          <t>Breakout</t>
        </is>
      </c>
      <c r="E29" s="42" t="inlineStr">
        <is>
          <t>35%</t>
        </is>
      </c>
      <c r="F29" s="42" t="inlineStr">
        <is>
          <t>69</t>
        </is>
      </c>
      <c r="G29" s="43" t="inlineStr">
        <is>
          <t>Moderate margins (GM 35%) — competitive market, but cost structure supports reinvestment. Rapid revenue growth (124% YoY) signals strong product-market fit and expanding TAM capture. Revenue acceleration (110% QoQ) — growth is compounding, indicating an inflection point or expanding customer adoption. Reasonable capital discipline (8% 3yr dilution) — moderate equity issuance suggests funded growth without excessive shareholder dilution. Fingerprint score of 69 — structural profile closely matches historical multi-bagger winners at their inflection points.</t>
        </is>
      </c>
    </row>
    <row r="30" ht="80" customHeight="1">
      <c r="A30" s="25" t="inlineStr">
        <is>
          <t>MOG-A</t>
        </is>
      </c>
      <c r="B30" s="26" t="inlineStr">
        <is>
          <t>Moog Inc.</t>
        </is>
      </c>
      <c r="C30" s="26" t="inlineStr">
        <is>
          <t>Aerospace &amp; Defense</t>
        </is>
      </c>
      <c r="D30" s="45" t="inlineStr">
        <is>
          <t>Breakout</t>
        </is>
      </c>
      <c r="E30" s="45" t="inlineStr">
        <is>
          <t>27%</t>
        </is>
      </c>
      <c r="F30" s="45" t="inlineStr">
        <is>
          <t>80</t>
        </is>
      </c>
      <c r="G30" s="46" t="inlineStr">
        <is>
          <t>Moderate margins (GM 27%) — competitive market, but cost structure supports reinvestment. Revenue acceleration (23% QoQ) — growth is compounding, indicating an inflection point or expanding customer adoption. Exceptional capital discipline (-0% share growth over 3yr) — management avoids dilution, signaling confidence in organic cash generation. Defense/aerospace positioning creates high barriers to entry via security clearances, government contracts, and long procurement cycles. Fingerprint score of 80 — structural profile closely matches historical multi-bagger winners at their inflection points.</t>
        </is>
      </c>
    </row>
    <row r="31" ht="80" customHeight="1">
      <c r="A31" s="19" t="inlineStr">
        <is>
          <t>LASR</t>
        </is>
      </c>
      <c r="B31" s="20" t="inlineStr">
        <is>
          <t>nLIGHT, Inc.</t>
        </is>
      </c>
      <c r="C31" s="20" t="inlineStr">
        <is>
          <t>Semiconductors</t>
        </is>
      </c>
      <c r="D31" s="42" t="inlineStr">
        <is>
          <t>Breakout</t>
        </is>
      </c>
      <c r="E31" s="42" t="inlineStr">
        <is>
          <t>31%</t>
        </is>
      </c>
      <c r="F31" s="42" t="inlineStr">
        <is>
          <t>73</t>
        </is>
      </c>
      <c r="G31" s="43" t="inlineStr">
        <is>
          <t>Moderate margins (GM 31%) — competitive market, but cost structure supports reinvestment. Rapid revenue growth (71% YoY) signals strong product-market fit and expanding TAM capture. Revenue acceleration (65% QoQ) — growth is compounding, indicating an inflection point or expanding customer adoption. Semiconductor design/fab expertise represents years of R&amp;D investment — a significant moat against new entrants. Fingerprint score of 73 — structural profile closely matches historical multi-bagger winners at their inflection points.</t>
        </is>
      </c>
    </row>
    <row r="32" ht="80" customHeight="1">
      <c r="A32" s="25" t="inlineStr">
        <is>
          <t>IPGP</t>
        </is>
      </c>
      <c r="B32" s="26" t="inlineStr">
        <is>
          <t>IPG Photonics Corporation</t>
        </is>
      </c>
      <c r="C32" s="26" t="inlineStr">
        <is>
          <t>Semiconductors</t>
        </is>
      </c>
      <c r="D32" s="45" t="inlineStr">
        <is>
          <t>Breakout</t>
        </is>
      </c>
      <c r="E32" s="45" t="inlineStr">
        <is>
          <t>36%</t>
        </is>
      </c>
      <c r="F32" s="45" t="inlineStr">
        <is>
          <t>76</t>
        </is>
      </c>
      <c r="G32" s="46" t="inlineStr">
        <is>
          <t>Moderate margins (GM 36%) — competitive market, but cost structure supports reinvestment. Revenue acceleration (24% QoQ) — growth is compounding, indicating an inflection point or expanding customer adoption. Exceptional capital discipline (-11% share growth over 3yr) — management avoids dilution, signaling confidence in organic cash generation. High insider ownership (36%) — founder/management skin in the game strongly aligns incentives with shareholders. Semiconductor design/fab expertise represents years of R&amp;D investment — a significant moat against new entrants. Fingerprint score of 76 — structural profile closely matches historical multi-bagger winners at their inflection points.</t>
        </is>
      </c>
    </row>
    <row r="33" ht="80" customHeight="1">
      <c r="A33" s="19" t="inlineStr">
        <is>
          <t>ESE</t>
        </is>
      </c>
      <c r="B33" s="20" t="inlineStr">
        <is>
          <t>ESCO Technologies Inc.</t>
        </is>
      </c>
      <c r="C33" s="20" t="inlineStr">
        <is>
          <t>Hardware, Equipment &amp; Parts</t>
        </is>
      </c>
      <c r="D33" s="42" t="inlineStr">
        <is>
          <t>Breakout</t>
        </is>
      </c>
      <c r="E33" s="42" t="inlineStr">
        <is>
          <t>41%</t>
        </is>
      </c>
      <c r="F33" s="42" t="inlineStr">
        <is>
          <t>76</t>
        </is>
      </c>
      <c r="G33" s="43" t="inlineStr">
        <is>
          <t>Healthy margins (GM 41%) indicate differentiated products with some pricing power above commodity levels. Solid revenue growth (35% YoY) suggests growing demand and competitive positioning in target markets. Revenue acceleration (49% QoQ) — growth is compounding, indicating an inflection point or expanding customer adoption. Exceptional capital discipline (0% share growth over 3yr) — management avoids dilution, signaling confidence in organic cash generation. Fingerprint score of 76 — structural profile closely matches historical multi-bagger winners at their inflection points.</t>
        </is>
      </c>
    </row>
    <row r="34" ht="80" customHeight="1">
      <c r="A34" s="25" t="inlineStr">
        <is>
          <t>VIAV</t>
        </is>
      </c>
      <c r="B34" s="26" t="inlineStr">
        <is>
          <t>Viavi Solutions Inc.</t>
        </is>
      </c>
      <c r="C34" s="26" t="inlineStr">
        <is>
          <t>Communication Equipment</t>
        </is>
      </c>
      <c r="D34" s="45" t="inlineStr">
        <is>
          <t>Breakout</t>
        </is>
      </c>
      <c r="E34" s="45" t="inlineStr">
        <is>
          <t>55%</t>
        </is>
      </c>
      <c r="F34" s="45" t="inlineStr">
        <is>
          <t>73</t>
        </is>
      </c>
      <c r="G34" s="46" t="inlineStr">
        <is>
          <t>Healthy margins (GM 55%) indicate differentiated products with some pricing power above commodity levels. Solid revenue growth (36% YoY) suggests growing demand and competitive positioning in target markets. Revenue acceleration (26% QoQ) — growth is compounding, indicating an inflection point or expanding customer adoption. Exceptional capital discipline (-0% share growth over 3yr) — management avoids dilution, signaling confidence in organic cash generation. Networking/communications infrastructure — installed base and switching costs create customer lock-in. Fingerprint score of 73 — structural profile closely matches historical multi-bagger winners at their inflection points.</t>
        </is>
      </c>
    </row>
  </sheetData>
  <autoFilter ref="A4:G34"/>
  <mergeCells count="2">
    <mergeCell ref="A2:G2"/>
    <mergeCell ref="A1:G1"/>
  </mergeCells>
  <pageMargins left="0.75" right="0.75" top="1" bottom="1" header="0.5" footer="0.5"/>
  <pageSetup orientation="landscape" fitToWidth="1"/>
</worksheet>
</file>

<file path=xl/worksheets/sheet7.xml><?xml version="1.0" encoding="utf-8"?>
<worksheet xmlns="http://schemas.openxmlformats.org/spreadsheetml/2006/main">
  <sheetPr>
    <tabColor rgb="00C9A84C"/>
    <outlinePr summaryBelow="1" summaryRight="1"/>
    <pageSetUpPr fitToPage="1"/>
  </sheetPr>
  <dimension ref="A1:N34"/>
  <sheetViews>
    <sheetView showGridLines="0" workbookViewId="0">
      <pane ySplit="3" topLeftCell="A4" activePane="bottomLeft" state="frozen"/>
      <selection pane="bottomLeft" activeCell="A1" sqref="A1"/>
    </sheetView>
  </sheetViews>
  <sheetFormatPr baseColWidth="8" defaultRowHeight="15"/>
  <cols>
    <col width="3" customWidth="1" min="1" max="1"/>
    <col width="6" customWidth="1" min="2" max="2"/>
    <col width="9" customWidth="1" min="3" max="3"/>
    <col width="24" customWidth="1" min="4" max="4"/>
    <col width="14" customWidth="1" min="5" max="5"/>
    <col width="10" customWidth="1" min="6" max="6"/>
    <col width="12" customWidth="1" min="7" max="7"/>
    <col width="3" customWidth="1" min="8" max="8"/>
    <col width="6" customWidth="1" min="9" max="9"/>
    <col width="9" customWidth="1" min="10" max="10"/>
    <col width="24" customWidth="1" min="11" max="11"/>
    <col width="14" customWidth="1" min="12" max="12"/>
    <col width="10" customWidth="1" min="13" max="13"/>
    <col width="12" customWidth="1" min="14" max="14"/>
  </cols>
  <sheetData>
    <row r="1" ht="28" customHeight="1">
      <c r="A1" s="30" t="inlineStr">
        <is>
          <t>CROSS-TIER STANDOUTS</t>
        </is>
      </c>
      <c r="B1" s="11" t="n"/>
      <c r="C1" s="11" t="n"/>
      <c r="D1" s="11" t="n"/>
      <c r="E1" s="11" t="n"/>
      <c r="F1" s="11" t="n"/>
      <c r="G1" s="11" t="n"/>
      <c r="H1" s="11" t="n"/>
      <c r="I1" s="11" t="n"/>
      <c r="J1" s="11" t="n"/>
      <c r="K1" s="11" t="n"/>
      <c r="L1" s="11" t="n"/>
      <c r="M1" s="11" t="n"/>
      <c r="N1" s="11" t="n"/>
    </row>
    <row r="2" ht="22" customHeight="1">
      <c r="A2" s="31" t="inlineStr">
        <is>
          <t>Top performers across all metrics  |  March 08, 2026</t>
        </is>
      </c>
      <c r="B2" s="12" t="n"/>
      <c r="C2" s="12" t="n"/>
      <c r="D2" s="12" t="n"/>
      <c r="E2" s="12" t="n"/>
      <c r="F2" s="12" t="n"/>
      <c r="G2" s="12" t="n"/>
      <c r="H2" s="12" t="n"/>
      <c r="I2" s="12" t="n"/>
      <c r="J2" s="12" t="n"/>
      <c r="K2" s="12" t="n"/>
      <c r="L2" s="12" t="n"/>
      <c r="M2" s="12" t="n"/>
      <c r="N2" s="12" t="n"/>
    </row>
    <row r="3" ht="8" customHeight="1"/>
    <row r="4" ht="22" customHeight="1">
      <c r="B4" s="49" t="inlineStr">
        <is>
          <t>🏆 Highest Score</t>
        </is>
      </c>
      <c r="C4" s="17" t="n"/>
      <c r="D4" s="17" t="n"/>
      <c r="E4" s="17" t="n"/>
      <c r="F4" s="17" t="n"/>
      <c r="G4" s="50" t="n"/>
      <c r="I4" s="49" t="inlineStr">
        <is>
          <t>🔒 Lowest Dilution</t>
        </is>
      </c>
      <c r="J4" s="17" t="n"/>
      <c r="K4" s="17" t="n"/>
      <c r="L4" s="17" t="n"/>
      <c r="M4" s="17" t="n"/>
      <c r="N4" s="50" t="n"/>
    </row>
    <row r="5" ht="18" customHeight="1">
      <c r="B5" s="51" t="inlineStr">
        <is>
          <t>Rank</t>
        </is>
      </c>
      <c r="C5" s="18" t="inlineStr">
        <is>
          <t>Ticker</t>
        </is>
      </c>
      <c r="D5" s="18" t="inlineStr">
        <is>
          <t>Company</t>
        </is>
      </c>
      <c r="E5" s="18" t="inlineStr">
        <is>
          <t>Score</t>
        </is>
      </c>
      <c r="F5" s="18" t="inlineStr">
        <is>
          <t>Tier</t>
        </is>
      </c>
      <c r="G5" s="52" t="inlineStr">
        <is>
          <t>Score</t>
        </is>
      </c>
      <c r="I5" s="51" t="inlineStr">
        <is>
          <t>Rank</t>
        </is>
      </c>
      <c r="J5" s="18" t="inlineStr">
        <is>
          <t>Ticker</t>
        </is>
      </c>
      <c r="K5" s="18" t="inlineStr">
        <is>
          <t>Company</t>
        </is>
      </c>
      <c r="L5" s="18" t="inlineStr">
        <is>
          <t>Dil %</t>
        </is>
      </c>
      <c r="M5" s="18" t="inlineStr">
        <is>
          <t>Tier</t>
        </is>
      </c>
      <c r="N5" s="52" t="inlineStr">
        <is>
          <t>Score</t>
        </is>
      </c>
    </row>
    <row r="6" ht="16" customHeight="1">
      <c r="B6" s="53" t="inlineStr">
        <is>
          <t>🥇</t>
        </is>
      </c>
      <c r="C6" s="19" t="inlineStr">
        <is>
          <t>SODI</t>
        </is>
      </c>
      <c r="D6" s="20" t="inlineStr">
        <is>
          <t>Solitron Devices, Inc.</t>
        </is>
      </c>
      <c r="E6" s="35" t="n">
        <v>97.2</v>
      </c>
      <c r="F6" s="42" t="inlineStr">
        <is>
          <t>Nano Cap</t>
        </is>
      </c>
      <c r="G6" s="54" t="n">
        <v>97.2</v>
      </c>
      <c r="I6" s="53" t="inlineStr">
        <is>
          <t>🥇</t>
        </is>
      </c>
      <c r="J6" s="19" t="inlineStr">
        <is>
          <t>ZEO</t>
        </is>
      </c>
      <c r="K6" s="20" t="inlineStr">
        <is>
          <t>Zeo Energy Corp.</t>
        </is>
      </c>
      <c r="L6" s="35" t="n">
        <v>-20.8</v>
      </c>
      <c r="M6" s="42" t="inlineStr">
        <is>
          <t>Nano Cap</t>
        </is>
      </c>
      <c r="N6" s="54" t="n">
        <v>80.09999999999999</v>
      </c>
    </row>
    <row r="7" ht="16" customHeight="1">
      <c r="B7" s="55" t="inlineStr">
        <is>
          <t>🥈</t>
        </is>
      </c>
      <c r="C7" s="25" t="inlineStr">
        <is>
          <t>WSTL</t>
        </is>
      </c>
      <c r="D7" s="26" t="inlineStr">
        <is>
          <t>Westell Technologies, Inc.</t>
        </is>
      </c>
      <c r="E7" s="39" t="n">
        <v>94.40000000000001</v>
      </c>
      <c r="F7" s="45" t="inlineStr">
        <is>
          <t>Nano Cap</t>
        </is>
      </c>
      <c r="G7" s="56" t="n">
        <v>94.40000000000001</v>
      </c>
      <c r="I7" s="55" t="inlineStr">
        <is>
          <t>🥈</t>
        </is>
      </c>
      <c r="J7" s="25" t="inlineStr">
        <is>
          <t>IPGP</t>
        </is>
      </c>
      <c r="K7" s="26" t="inlineStr">
        <is>
          <t>IPG Photonics Corporation</t>
        </is>
      </c>
      <c r="L7" s="39" t="n">
        <v>-11.4</v>
      </c>
      <c r="M7" s="45" t="inlineStr">
        <is>
          <t>Breakout</t>
        </is>
      </c>
      <c r="N7" s="56" t="n">
        <v>77.2</v>
      </c>
    </row>
    <row r="8" ht="16" customHeight="1">
      <c r="B8" s="53" t="inlineStr">
        <is>
          <t>🥉</t>
        </is>
      </c>
      <c r="C8" s="19" t="inlineStr">
        <is>
          <t>GOGO</t>
        </is>
      </c>
      <c r="D8" s="20" t="inlineStr">
        <is>
          <t>Gogo Inc.</t>
        </is>
      </c>
      <c r="E8" s="35" t="n">
        <v>89.40000000000001</v>
      </c>
      <c r="F8" s="42" t="inlineStr">
        <is>
          <t>Small Cap</t>
        </is>
      </c>
      <c r="G8" s="54" t="n">
        <v>89.40000000000001</v>
      </c>
      <c r="I8" s="53" t="inlineStr">
        <is>
          <t>🥉</t>
        </is>
      </c>
      <c r="J8" s="19" t="inlineStr">
        <is>
          <t>WSTL</t>
        </is>
      </c>
      <c r="K8" s="20" t="inlineStr">
        <is>
          <t>Westell Technologies, Inc.</t>
        </is>
      </c>
      <c r="L8" s="35" t="n">
        <v>-11.3</v>
      </c>
      <c r="M8" s="42" t="inlineStr">
        <is>
          <t>Nano Cap</t>
        </is>
      </c>
      <c r="N8" s="54" t="n">
        <v>94.40000000000001</v>
      </c>
    </row>
    <row r="9" ht="16" customHeight="1">
      <c r="B9" s="55" t="inlineStr">
        <is>
          <t>4th</t>
        </is>
      </c>
      <c r="C9" s="25" t="inlineStr">
        <is>
          <t>MXL</t>
        </is>
      </c>
      <c r="D9" s="26" t="inlineStr">
        <is>
          <t>MaxLinear, Inc.</t>
        </is>
      </c>
      <c r="E9" s="39" t="n">
        <v>89</v>
      </c>
      <c r="F9" s="45" t="inlineStr">
        <is>
          <t>Small Cap</t>
        </is>
      </c>
      <c r="G9" s="56" t="n">
        <v>89</v>
      </c>
      <c r="I9" s="55" t="inlineStr">
        <is>
          <t>4th</t>
        </is>
      </c>
      <c r="J9" s="25" t="inlineStr">
        <is>
          <t>TAYD</t>
        </is>
      </c>
      <c r="K9" s="26" t="inlineStr">
        <is>
          <t>Taylor Devices, Inc.</t>
        </is>
      </c>
      <c r="L9" s="39" t="n">
        <v>-10.8</v>
      </c>
      <c r="M9" s="45" t="inlineStr">
        <is>
          <t>Nano Cap</t>
        </is>
      </c>
      <c r="N9" s="56" t="n">
        <v>84.59999999999999</v>
      </c>
    </row>
    <row r="10" ht="16" customHeight="1">
      <c r="B10" s="53" t="inlineStr">
        <is>
          <t>5th</t>
        </is>
      </c>
      <c r="C10" s="19" t="inlineStr">
        <is>
          <t>SPRU</t>
        </is>
      </c>
      <c r="D10" s="20" t="inlineStr">
        <is>
          <t>Spruce Power Holding Corporation</t>
        </is>
      </c>
      <c r="E10" s="35" t="n">
        <v>88.40000000000001</v>
      </c>
      <c r="F10" s="42" t="inlineStr">
        <is>
          <t>Nano Cap</t>
        </is>
      </c>
      <c r="G10" s="54" t="n">
        <v>88.40000000000001</v>
      </c>
      <c r="I10" s="53" t="inlineStr">
        <is>
          <t>5th</t>
        </is>
      </c>
      <c r="J10" s="19" t="inlineStr">
        <is>
          <t>CLFD</t>
        </is>
      </c>
      <c r="K10" s="20" t="inlineStr">
        <is>
          <t>Clearfield, Inc.</t>
        </is>
      </c>
      <c r="L10" s="35" t="n">
        <v>-9</v>
      </c>
      <c r="M10" s="42" t="inlineStr">
        <is>
          <t>Small Cap</t>
        </is>
      </c>
      <c r="N10" s="54" t="n">
        <v>85.59999999999999</v>
      </c>
    </row>
    <row r="12" ht="22" customHeight="1">
      <c r="B12" s="49" t="inlineStr">
        <is>
          <t>🧬 Best Fingerprint</t>
        </is>
      </c>
      <c r="C12" s="17" t="n"/>
      <c r="D12" s="17" t="n"/>
      <c r="E12" s="17" t="n"/>
      <c r="F12" s="17" t="n"/>
      <c r="G12" s="50" t="n"/>
      <c r="I12" s="49" t="inlineStr">
        <is>
          <t>👤 Highest Insider</t>
        </is>
      </c>
      <c r="J12" s="17" t="n"/>
      <c r="K12" s="17" t="n"/>
      <c r="L12" s="17" t="n"/>
      <c r="M12" s="17" t="n"/>
      <c r="N12" s="50" t="n"/>
    </row>
    <row r="13" ht="18" customHeight="1">
      <c r="B13" s="51" t="inlineStr">
        <is>
          <t>Rank</t>
        </is>
      </c>
      <c r="C13" s="18" t="inlineStr">
        <is>
          <t>Ticker</t>
        </is>
      </c>
      <c r="D13" s="18" t="inlineStr">
        <is>
          <t>Company</t>
        </is>
      </c>
      <c r="E13" s="18" t="inlineStr">
        <is>
          <t>FP Score</t>
        </is>
      </c>
      <c r="F13" s="18" t="inlineStr">
        <is>
          <t>Tier</t>
        </is>
      </c>
      <c r="G13" s="52" t="inlineStr">
        <is>
          <t>Score</t>
        </is>
      </c>
      <c r="I13" s="51" t="inlineStr">
        <is>
          <t>Rank</t>
        </is>
      </c>
      <c r="J13" s="18" t="inlineStr">
        <is>
          <t>Ticker</t>
        </is>
      </c>
      <c r="K13" s="18" t="inlineStr">
        <is>
          <t>Company</t>
        </is>
      </c>
      <c r="L13" s="18" t="inlineStr">
        <is>
          <t>Insider %</t>
        </is>
      </c>
      <c r="M13" s="18" t="inlineStr">
        <is>
          <t>Tier</t>
        </is>
      </c>
      <c r="N13" s="52" t="inlineStr">
        <is>
          <t>Score</t>
        </is>
      </c>
    </row>
    <row r="14" ht="16" customHeight="1">
      <c r="B14" s="53" t="inlineStr">
        <is>
          <t>🥇</t>
        </is>
      </c>
      <c r="C14" s="19" t="inlineStr">
        <is>
          <t>ADTN</t>
        </is>
      </c>
      <c r="D14" s="20" t="inlineStr">
        <is>
          <t>ADTRAN Holdings, Inc.</t>
        </is>
      </c>
      <c r="E14" s="35" t="n">
        <v>100</v>
      </c>
      <c r="F14" s="42" t="inlineStr">
        <is>
          <t>Small Cap</t>
        </is>
      </c>
      <c r="G14" s="54" t="n">
        <v>87.3</v>
      </c>
      <c r="I14" s="53" t="inlineStr">
        <is>
          <t>🥇</t>
        </is>
      </c>
      <c r="J14" s="19" t="inlineStr">
        <is>
          <t>KRMN</t>
        </is>
      </c>
      <c r="K14" s="20" t="inlineStr">
        <is>
          <t>Karman Holdings Inc.</t>
        </is>
      </c>
      <c r="L14" s="35" t="n">
        <v>77.7</v>
      </c>
      <c r="M14" s="42" t="inlineStr">
        <is>
          <t>Breakout</t>
        </is>
      </c>
      <c r="N14" s="54" t="n">
        <v>81</v>
      </c>
    </row>
    <row r="15" ht="16" customHeight="1">
      <c r="B15" s="55" t="inlineStr">
        <is>
          <t>🥈</t>
        </is>
      </c>
      <c r="C15" s="25" t="inlineStr">
        <is>
          <t>PKE</t>
        </is>
      </c>
      <c r="D15" s="26" t="inlineStr">
        <is>
          <t>Park Aerospace Corp.</t>
        </is>
      </c>
      <c r="E15" s="39" t="n">
        <v>100</v>
      </c>
      <c r="F15" s="45" t="inlineStr">
        <is>
          <t>Small Cap</t>
        </is>
      </c>
      <c r="G15" s="56" t="n">
        <v>87.2</v>
      </c>
      <c r="I15" s="55" t="inlineStr">
        <is>
          <t>🥈</t>
        </is>
      </c>
      <c r="J15" s="25" t="inlineStr">
        <is>
          <t>ZEO</t>
        </is>
      </c>
      <c r="K15" s="26" t="inlineStr">
        <is>
          <t>Zeo Energy Corp.</t>
        </is>
      </c>
      <c r="L15" s="39" t="n">
        <v>50.1</v>
      </c>
      <c r="M15" s="45" t="inlineStr">
        <is>
          <t>Nano Cap</t>
        </is>
      </c>
      <c r="N15" s="56" t="n">
        <v>80.09999999999999</v>
      </c>
    </row>
    <row r="16" ht="16" customHeight="1">
      <c r="B16" s="53" t="inlineStr">
        <is>
          <t>🥉</t>
        </is>
      </c>
      <c r="C16" s="19" t="inlineStr">
        <is>
          <t>CLFD</t>
        </is>
      </c>
      <c r="D16" s="20" t="inlineStr">
        <is>
          <t>Clearfield, Inc.</t>
        </is>
      </c>
      <c r="E16" s="35" t="n">
        <v>100</v>
      </c>
      <c r="F16" s="42" t="inlineStr">
        <is>
          <t>Small Cap</t>
        </is>
      </c>
      <c r="G16" s="54" t="n">
        <v>85.59999999999999</v>
      </c>
      <c r="I16" s="53" t="inlineStr">
        <is>
          <t>🥉</t>
        </is>
      </c>
      <c r="J16" s="19" t="inlineStr">
        <is>
          <t>CODA</t>
        </is>
      </c>
      <c r="K16" s="20" t="inlineStr">
        <is>
          <t>Coda Octopus Group, Inc.</t>
        </is>
      </c>
      <c r="L16" s="35" t="n">
        <v>47.8</v>
      </c>
      <c r="M16" s="42" t="inlineStr">
        <is>
          <t>Nano Cap</t>
        </is>
      </c>
      <c r="N16" s="54" t="n">
        <v>86.5</v>
      </c>
    </row>
    <row r="17" ht="16" customHeight="1">
      <c r="B17" s="55" t="inlineStr">
        <is>
          <t>4th</t>
        </is>
      </c>
      <c r="C17" s="25" t="inlineStr">
        <is>
          <t>ALNT</t>
        </is>
      </c>
      <c r="D17" s="26" t="inlineStr">
        <is>
          <t>Allient Inc.</t>
        </is>
      </c>
      <c r="E17" s="39" t="n">
        <v>99.8</v>
      </c>
      <c r="F17" s="45" t="inlineStr">
        <is>
          <t>Small Cap</t>
        </is>
      </c>
      <c r="G17" s="56" t="n">
        <v>85.2</v>
      </c>
      <c r="I17" s="55" t="inlineStr">
        <is>
          <t>4th</t>
        </is>
      </c>
      <c r="J17" s="25" t="inlineStr">
        <is>
          <t>GOGO</t>
        </is>
      </c>
      <c r="K17" s="26" t="inlineStr">
        <is>
          <t>Gogo Inc.</t>
        </is>
      </c>
      <c r="L17" s="39" t="n">
        <v>42.8</v>
      </c>
      <c r="M17" s="45" t="inlineStr">
        <is>
          <t>Small Cap</t>
        </is>
      </c>
      <c r="N17" s="56" t="n">
        <v>89.40000000000001</v>
      </c>
    </row>
    <row r="18" ht="16" customHeight="1">
      <c r="B18" s="53" t="inlineStr">
        <is>
          <t>5th</t>
        </is>
      </c>
      <c r="C18" s="19" t="inlineStr">
        <is>
          <t>RFIL</t>
        </is>
      </c>
      <c r="D18" s="20" t="inlineStr">
        <is>
          <t>RF Industries, Ltd.</t>
        </is>
      </c>
      <c r="E18" s="35" t="n">
        <v>99.3</v>
      </c>
      <c r="F18" s="42" t="inlineStr">
        <is>
          <t>Nano Cap</t>
        </is>
      </c>
      <c r="G18" s="54" t="n">
        <v>81.3</v>
      </c>
      <c r="I18" s="53" t="inlineStr">
        <is>
          <t>5th</t>
        </is>
      </c>
      <c r="J18" s="19" t="inlineStr">
        <is>
          <t>MVST</t>
        </is>
      </c>
      <c r="K18" s="20" t="inlineStr">
        <is>
          <t>Microvast Holdings, Inc.</t>
        </is>
      </c>
      <c r="L18" s="35" t="n">
        <v>39.2</v>
      </c>
      <c r="M18" s="42" t="inlineStr">
        <is>
          <t>Small Cap</t>
        </is>
      </c>
      <c r="N18" s="54" t="n">
        <v>86</v>
      </c>
    </row>
    <row r="20" ht="22" customHeight="1">
      <c r="B20" s="49" t="inlineStr">
        <is>
          <t>🚀 Fastest Growth</t>
        </is>
      </c>
      <c r="C20" s="17" t="n"/>
      <c r="D20" s="17" t="n"/>
      <c r="E20" s="17" t="n"/>
      <c r="F20" s="17" t="n"/>
      <c r="G20" s="50" t="n"/>
      <c r="I20" s="49" t="inlineStr">
        <is>
          <t>🔬 Smallest Cap</t>
        </is>
      </c>
      <c r="J20" s="17" t="n"/>
      <c r="K20" s="17" t="n"/>
      <c r="L20" s="17" t="n"/>
      <c r="M20" s="17" t="n"/>
      <c r="N20" s="50" t="n"/>
    </row>
    <row r="21" ht="18" customHeight="1">
      <c r="B21" s="51" t="inlineStr">
        <is>
          <t>Rank</t>
        </is>
      </c>
      <c r="C21" s="18" t="inlineStr">
        <is>
          <t>Ticker</t>
        </is>
      </c>
      <c r="D21" s="18" t="inlineStr">
        <is>
          <t>Company</t>
        </is>
      </c>
      <c r="E21" s="18" t="inlineStr">
        <is>
          <t>Rev Gr %</t>
        </is>
      </c>
      <c r="F21" s="18" t="inlineStr">
        <is>
          <t>Tier</t>
        </is>
      </c>
      <c r="G21" s="52" t="inlineStr">
        <is>
          <t>Score</t>
        </is>
      </c>
      <c r="I21" s="51" t="inlineStr">
        <is>
          <t>Rank</t>
        </is>
      </c>
      <c r="J21" s="18" t="inlineStr">
        <is>
          <t>Ticker</t>
        </is>
      </c>
      <c r="K21" s="18" t="inlineStr">
        <is>
          <t>Company</t>
        </is>
      </c>
      <c r="L21" s="18" t="inlineStr">
        <is>
          <t>Mkt Cap</t>
        </is>
      </c>
      <c r="M21" s="18" t="inlineStr">
        <is>
          <t>Tier</t>
        </is>
      </c>
      <c r="N21" s="52" t="inlineStr">
        <is>
          <t>Score</t>
        </is>
      </c>
    </row>
    <row r="22" ht="16" customHeight="1">
      <c r="B22" s="53" t="inlineStr">
        <is>
          <t>🥇</t>
        </is>
      </c>
      <c r="C22" s="19" t="inlineStr">
        <is>
          <t>SCTQ</t>
        </is>
      </c>
      <c r="D22" s="20" t="inlineStr">
        <is>
          <t>Spectra Systems Corporation</t>
        </is>
      </c>
      <c r="E22" s="35" t="n">
        <v>501.8</v>
      </c>
      <c r="F22" s="42" t="inlineStr">
        <is>
          <t>Nano Cap</t>
        </is>
      </c>
      <c r="G22" s="54" t="n">
        <v>80.2</v>
      </c>
      <c r="I22" s="53" t="inlineStr">
        <is>
          <t>🥇</t>
        </is>
      </c>
      <c r="J22" s="19" t="inlineStr">
        <is>
          <t>WSTL</t>
        </is>
      </c>
      <c r="K22" s="20" t="inlineStr">
        <is>
          <t>Westell Technologies, Inc.</t>
        </is>
      </c>
      <c r="L22" s="21" t="n">
        <v>50.5</v>
      </c>
      <c r="M22" s="42" t="inlineStr">
        <is>
          <t>Nano Cap</t>
        </is>
      </c>
      <c r="N22" s="54" t="n">
        <v>94.40000000000001</v>
      </c>
    </row>
    <row r="23" ht="16" customHeight="1">
      <c r="B23" s="55" t="inlineStr">
        <is>
          <t>🥈</t>
        </is>
      </c>
      <c r="C23" s="25" t="inlineStr">
        <is>
          <t>TAYD</t>
        </is>
      </c>
      <c r="D23" s="26" t="inlineStr">
        <is>
          <t>Taylor Devices, Inc.</t>
        </is>
      </c>
      <c r="E23" s="39" t="n">
        <v>198.6</v>
      </c>
      <c r="F23" s="45" t="inlineStr">
        <is>
          <t>Nano Cap</t>
        </is>
      </c>
      <c r="G23" s="56" t="n">
        <v>84.59999999999999</v>
      </c>
      <c r="I23" s="55" t="inlineStr">
        <is>
          <t>🥈</t>
        </is>
      </c>
      <c r="J23" s="25" t="inlineStr">
        <is>
          <t>ZEO</t>
        </is>
      </c>
      <c r="K23" s="26" t="inlineStr">
        <is>
          <t>Zeo Energy Corp.</t>
        </is>
      </c>
      <c r="L23" s="27" t="n">
        <v>52.1</v>
      </c>
      <c r="M23" s="45" t="inlineStr">
        <is>
          <t>Nano Cap</t>
        </is>
      </c>
      <c r="N23" s="56" t="n">
        <v>80.09999999999999</v>
      </c>
    </row>
    <row r="24" ht="16" customHeight="1">
      <c r="B24" s="53" t="inlineStr">
        <is>
          <t>🥉</t>
        </is>
      </c>
      <c r="C24" s="19" t="inlineStr">
        <is>
          <t>RUN</t>
        </is>
      </c>
      <c r="D24" s="20" t="inlineStr">
        <is>
          <t>Sunrun Inc.</t>
        </is>
      </c>
      <c r="E24" s="35" t="n">
        <v>123.5</v>
      </c>
      <c r="F24" s="42" t="inlineStr">
        <is>
          <t>Breakout</t>
        </is>
      </c>
      <c r="G24" s="54" t="n">
        <v>78.90000000000001</v>
      </c>
      <c r="I24" s="53" t="inlineStr">
        <is>
          <t>🥉</t>
        </is>
      </c>
      <c r="J24" s="19" t="inlineStr">
        <is>
          <t>SODI</t>
        </is>
      </c>
      <c r="K24" s="20" t="inlineStr">
        <is>
          <t>Solitron Devices, Inc.</t>
        </is>
      </c>
      <c r="L24" s="21" t="n">
        <v>53.5</v>
      </c>
      <c r="M24" s="42" t="inlineStr">
        <is>
          <t>Nano Cap</t>
        </is>
      </c>
      <c r="N24" s="54" t="n">
        <v>97.2</v>
      </c>
    </row>
    <row r="25" ht="16" customHeight="1">
      <c r="B25" s="55" t="inlineStr">
        <is>
          <t>4th</t>
        </is>
      </c>
      <c r="C25" s="25" t="inlineStr">
        <is>
          <t>LASR</t>
        </is>
      </c>
      <c r="D25" s="26" t="inlineStr">
        <is>
          <t>nLIGHT, Inc.</t>
        </is>
      </c>
      <c r="E25" s="39" t="n">
        <v>71.3</v>
      </c>
      <c r="F25" s="45" t="inlineStr">
        <is>
          <t>Breakout</t>
        </is>
      </c>
      <c r="G25" s="56" t="n">
        <v>77.40000000000001</v>
      </c>
      <c r="I25" s="55" t="inlineStr">
        <is>
          <t>4th</t>
        </is>
      </c>
      <c r="J25" s="25" t="inlineStr">
        <is>
          <t>SPRU</t>
        </is>
      </c>
      <c r="K25" s="26" t="inlineStr">
        <is>
          <t>Spruce Power Holding Corporation</t>
        </is>
      </c>
      <c r="L25" s="27" t="n">
        <v>62.9</v>
      </c>
      <c r="M25" s="45" t="inlineStr">
        <is>
          <t>Nano Cap</t>
        </is>
      </c>
      <c r="N25" s="56" t="n">
        <v>88.40000000000001</v>
      </c>
    </row>
    <row r="26" ht="16" customHeight="1">
      <c r="B26" s="53" t="inlineStr">
        <is>
          <t>5th</t>
        </is>
      </c>
      <c r="C26" s="19" t="inlineStr">
        <is>
          <t>GOGO</t>
        </is>
      </c>
      <c r="D26" s="20" t="inlineStr">
        <is>
          <t>Gogo Inc.</t>
        </is>
      </c>
      <c r="E26" s="35" t="n">
        <v>67.3</v>
      </c>
      <c r="F26" s="42" t="inlineStr">
        <is>
          <t>Small Cap</t>
        </is>
      </c>
      <c r="G26" s="54" t="n">
        <v>89.40000000000001</v>
      </c>
      <c r="I26" s="53" t="inlineStr">
        <is>
          <t>5th</t>
        </is>
      </c>
      <c r="J26" s="19" t="inlineStr">
        <is>
          <t>TGEN</t>
        </is>
      </c>
      <c r="K26" s="20" t="inlineStr">
        <is>
          <t>Tecogen Inc.</t>
        </is>
      </c>
      <c r="L26" s="21" t="n">
        <v>88.90000000000001</v>
      </c>
      <c r="M26" s="42" t="inlineStr">
        <is>
          <t>Nano Cap</t>
        </is>
      </c>
      <c r="N26" s="54" t="n">
        <v>84.8</v>
      </c>
    </row>
    <row r="28" ht="22" customHeight="1">
      <c r="B28" s="49" t="inlineStr">
        <is>
          <t>📈 Best Momentum</t>
        </is>
      </c>
      <c r="C28" s="17" t="n"/>
      <c r="D28" s="17" t="n"/>
      <c r="E28" s="17" t="n"/>
      <c r="F28" s="17" t="n"/>
      <c r="G28" s="50" t="n"/>
    </row>
    <row r="29" ht="18" customHeight="1">
      <c r="B29" s="51" t="inlineStr">
        <is>
          <t>Rank</t>
        </is>
      </c>
      <c r="C29" s="18" t="inlineStr">
        <is>
          <t>Ticker</t>
        </is>
      </c>
      <c r="D29" s="18" t="inlineStr">
        <is>
          <t>Company</t>
        </is>
      </c>
      <c r="E29" s="18" t="inlineStr">
        <is>
          <t>3M %</t>
        </is>
      </c>
      <c r="F29" s="18" t="inlineStr">
        <is>
          <t>Tier</t>
        </is>
      </c>
      <c r="G29" s="52" t="inlineStr">
        <is>
          <t>Score</t>
        </is>
      </c>
    </row>
    <row r="30" ht="16" customHeight="1">
      <c r="B30" s="53" t="inlineStr">
        <is>
          <t>🥇</t>
        </is>
      </c>
      <c r="C30" s="19" t="inlineStr">
        <is>
          <t>ISSC</t>
        </is>
      </c>
      <c r="D30" s="20" t="inlineStr">
        <is>
          <t>Innovative Solutions and Support, Inc.</t>
        </is>
      </c>
      <c r="E30" s="35" t="n">
        <v>152.0693</v>
      </c>
      <c r="F30" s="42" t="inlineStr">
        <is>
          <t>Small Cap</t>
        </is>
      </c>
      <c r="G30" s="54" t="n">
        <v>85.40000000000001</v>
      </c>
    </row>
    <row r="31" ht="16" customHeight="1">
      <c r="B31" s="55" t="inlineStr">
        <is>
          <t>🥈</t>
        </is>
      </c>
      <c r="C31" s="25" t="inlineStr">
        <is>
          <t>RFIL</t>
        </is>
      </c>
      <c r="D31" s="26" t="inlineStr">
        <is>
          <t>RF Industries, Ltd.</t>
        </is>
      </c>
      <c r="E31" s="39" t="n">
        <v>74.87437</v>
      </c>
      <c r="F31" s="45" t="inlineStr">
        <is>
          <t>Nano Cap</t>
        </is>
      </c>
      <c r="G31" s="56" t="n">
        <v>81.3</v>
      </c>
    </row>
    <row r="32" ht="16" customHeight="1">
      <c r="B32" s="53" t="inlineStr">
        <is>
          <t>🥉</t>
        </is>
      </c>
      <c r="C32" s="19" t="inlineStr">
        <is>
          <t>TAYD</t>
        </is>
      </c>
      <c r="D32" s="20" t="inlineStr">
        <is>
          <t>Taylor Devices, Inc.</t>
        </is>
      </c>
      <c r="E32" s="35" t="n">
        <v>70.08247</v>
      </c>
      <c r="F32" s="42" t="inlineStr">
        <is>
          <t>Nano Cap</t>
        </is>
      </c>
      <c r="G32" s="54" t="n">
        <v>84.59999999999999</v>
      </c>
    </row>
    <row r="33" ht="16" customHeight="1">
      <c r="B33" s="55" t="inlineStr">
        <is>
          <t>4th</t>
        </is>
      </c>
      <c r="C33" s="25" t="inlineStr">
        <is>
          <t>CODA</t>
        </is>
      </c>
      <c r="D33" s="26" t="inlineStr">
        <is>
          <t>Coda Octopus Group, Inc.</t>
        </is>
      </c>
      <c r="E33" s="39" t="n">
        <v>64.57143000000001</v>
      </c>
      <c r="F33" s="45" t="inlineStr">
        <is>
          <t>Nano Cap</t>
        </is>
      </c>
      <c r="G33" s="56" t="n">
        <v>86.5</v>
      </c>
    </row>
    <row r="34" ht="16" customHeight="1">
      <c r="B34" s="53" t="inlineStr">
        <is>
          <t>5th</t>
        </is>
      </c>
      <c r="C34" s="19" t="inlineStr">
        <is>
          <t>LASR</t>
        </is>
      </c>
      <c r="D34" s="20" t="inlineStr">
        <is>
          <t>nLIGHT, Inc.</t>
        </is>
      </c>
      <c r="E34" s="35" t="n">
        <v>58.70095</v>
      </c>
      <c r="F34" s="42" t="inlineStr">
        <is>
          <t>Breakout</t>
        </is>
      </c>
      <c r="G34" s="54" t="n">
        <v>77.40000000000001</v>
      </c>
    </row>
  </sheetData>
  <mergeCells count="9">
    <mergeCell ref="B20:G20"/>
    <mergeCell ref="B28:G28"/>
    <mergeCell ref="A2:N2"/>
    <mergeCell ref="B4:G4"/>
    <mergeCell ref="B12:G12"/>
    <mergeCell ref="I12:N12"/>
    <mergeCell ref="I4:N4"/>
    <mergeCell ref="I20:N20"/>
    <mergeCell ref="A1:N1"/>
  </mergeCells>
  <pageMargins left="0.75" right="0.75" top="1" bottom="1" header="0.5" footer="0.5"/>
  <pageSetup orientation="landscape" fitToWidth="1"/>
</worksheet>
</file>

<file path=xl/worksheets/sheet8.xml><?xml version="1.0" encoding="utf-8"?>
<worksheet xmlns="http://schemas.openxmlformats.org/spreadsheetml/2006/main">
  <sheetPr>
    <tabColor rgb="002A9D8F"/>
    <outlinePr summaryBelow="1" summaryRight="1"/>
    <pageSetUpPr fitToPage="1"/>
  </sheetPr>
  <dimension ref="A1:I4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4" customWidth="1" min="4" max="4"/>
    <col width="18" customWidth="1" min="5" max="5"/>
    <col width="12" customWidth="1" min="6" max="6"/>
    <col width="55" customWidth="1" min="7" max="7"/>
    <col width="30" customWidth="1" min="8" max="8"/>
    <col width="30" customWidth="1" min="9" max="9"/>
  </cols>
  <sheetData>
    <row r="1" ht="28" customHeight="1">
      <c r="A1" s="30" t="inlineStr">
        <is>
          <t>INVESTMENT RECOMMENDATIONS</t>
        </is>
      </c>
      <c r="B1" s="11" t="n"/>
      <c r="C1" s="11" t="n"/>
      <c r="D1" s="11" t="n"/>
      <c r="E1" s="11" t="n"/>
      <c r="F1" s="11" t="n"/>
      <c r="G1" s="11" t="n"/>
      <c r="H1" s="11" t="n"/>
      <c r="I1" s="11" t="n"/>
    </row>
    <row r="2" ht="22" customHeight="1">
      <c r="A2" s="31" t="inlineStr">
        <is>
          <t>Conviction levels based on combined scoring, fundamentals, and risk profile  |  March 08, 2026</t>
        </is>
      </c>
      <c r="B2" s="12" t="n"/>
      <c r="C2" s="12" t="n"/>
      <c r="D2" s="12" t="n"/>
      <c r="E2" s="12" t="n"/>
      <c r="F2" s="12" t="n"/>
      <c r="G2" s="12" t="n"/>
      <c r="H2" s="12" t="n"/>
      <c r="I2" s="12" t="n"/>
    </row>
    <row r="3" ht="8" customHeight="1"/>
    <row r="4" ht="22" customHeight="1">
      <c r="A4" s="57" t="inlineStr">
        <is>
          <t>▼ Filter:</t>
        </is>
      </c>
      <c r="B4" s="58" t="inlineStr">
        <is>
          <t>All</t>
        </is>
      </c>
      <c r="C4" s="58" t="inlineStr">
        <is>
          <t>All</t>
        </is>
      </c>
      <c r="D4" s="58" t="inlineStr">
        <is>
          <t>All</t>
        </is>
      </c>
    </row>
    <row r="5" ht="18" customHeight="1">
      <c r="A5" s="18" t="inlineStr">
        <is>
          <t>Ticker</t>
        </is>
      </c>
      <c r="B5" s="18" t="inlineStr">
        <is>
          <t>Name</t>
        </is>
      </c>
      <c r="C5" s="18" t="inlineStr">
        <is>
          <t>Tier</t>
        </is>
      </c>
      <c r="D5" s="18" t="inlineStr">
        <is>
          <t>Conviction</t>
        </is>
      </c>
      <c r="E5" s="18" t="inlineStr">
        <is>
          <t>Thesis Bucket</t>
        </is>
      </c>
      <c r="F5" s="18" t="inlineStr">
        <is>
          <t>Combined</t>
        </is>
      </c>
      <c r="G5" s="18" t="inlineStr">
        <is>
          <t>Rationale</t>
        </is>
      </c>
      <c r="H5" s="18" t="inlineStr">
        <is>
          <t>Key Strengths</t>
        </is>
      </c>
      <c r="I5" s="18" t="inlineStr">
        <is>
          <t>Key Risks</t>
        </is>
      </c>
    </row>
    <row r="6" ht="40" customHeight="1">
      <c r="A6" s="19" t="inlineStr">
        <is>
          <t>SODI</t>
        </is>
      </c>
      <c r="B6" s="20" t="inlineStr">
        <is>
          <t>Solitron Devices, Inc.</t>
        </is>
      </c>
      <c r="C6" s="42" t="inlineStr">
        <is>
          <t>Nano Cap</t>
        </is>
      </c>
      <c r="D6" s="23" t="inlineStr">
        <is>
          <t>High</t>
        </is>
      </c>
      <c r="E6" s="20" t="inlineStr">
        <is>
          <t>Fingerprint Match</t>
        </is>
      </c>
      <c r="F6" s="35" t="n">
        <v>97.2</v>
      </c>
      <c r="G6" s="43" t="inlineStr">
        <is>
          <t>Strengths: strong revenue growth, high insider alignment, minimal dilution, strong fingerprint match. Risks: none significant.</t>
        </is>
      </c>
      <c r="H6" s="59" t="inlineStr">
        <is>
          <t>✓ strong revenue growth
✓ high insider alignment
✓ minimal dilution
✓ strong fingerprint match</t>
        </is>
      </c>
      <c r="I6" s="60" t="inlineStr">
        <is>
          <t>—</t>
        </is>
      </c>
    </row>
    <row r="7" ht="40" customHeight="1">
      <c r="A7" s="25" t="inlineStr">
        <is>
          <t>WSTL</t>
        </is>
      </c>
      <c r="B7" s="26" t="inlineStr">
        <is>
          <t>Westell Technologies, Inc.</t>
        </is>
      </c>
      <c r="C7" s="45" t="inlineStr">
        <is>
          <t>Nano Cap</t>
        </is>
      </c>
      <c r="D7" s="23" t="inlineStr">
        <is>
          <t>High</t>
        </is>
      </c>
      <c r="E7" s="26" t="inlineStr">
        <is>
          <t>High-Growth Quality</t>
        </is>
      </c>
      <c r="F7" s="39" t="n">
        <v>94.40000000000001</v>
      </c>
      <c r="G7" s="46" t="inlineStr">
        <is>
          <t>Strengths: strong revenue growth, healthy margins, high insider alignment, minimal dilution, strong fingerprint match. Risks: none significant.</t>
        </is>
      </c>
      <c r="H7" s="59" t="inlineStr">
        <is>
          <t>✓ strong revenue growth
✓ healthy margins
✓ high insider alignment
✓ minimal dilution
✓ strong fingerprint match</t>
        </is>
      </c>
      <c r="I7" s="60" t="inlineStr">
        <is>
          <t>—</t>
        </is>
      </c>
    </row>
    <row r="8" ht="40" customHeight="1">
      <c r="A8" s="19" t="inlineStr">
        <is>
          <t>GOGO</t>
        </is>
      </c>
      <c r="B8" s="20" t="inlineStr">
        <is>
          <t>Gogo Inc.</t>
        </is>
      </c>
      <c r="C8" s="42" t="inlineStr">
        <is>
          <t>Small Cap</t>
        </is>
      </c>
      <c r="D8" s="23" t="inlineStr">
        <is>
          <t>High</t>
        </is>
      </c>
      <c r="E8" s="20" t="inlineStr">
        <is>
          <t>High-Growth Quality</t>
        </is>
      </c>
      <c r="F8" s="35" t="n">
        <v>89.40000000000001</v>
      </c>
      <c r="G8" s="43" t="inlineStr">
        <is>
          <t>Strengths: strong revenue growth, high-margin business, high insider alignment, minimal dilution. Risks: none significant.</t>
        </is>
      </c>
      <c r="H8" s="59" t="inlineStr">
        <is>
          <t>✓ strong revenue growth
✓ high-margin business
✓ high insider alignment
✓ minimal dilution</t>
        </is>
      </c>
      <c r="I8" s="60" t="inlineStr">
        <is>
          <t>—</t>
        </is>
      </c>
    </row>
    <row r="9" ht="40" customHeight="1">
      <c r="A9" s="25" t="inlineStr">
        <is>
          <t>MXL</t>
        </is>
      </c>
      <c r="B9" s="26" t="inlineStr">
        <is>
          <t>MaxLinear, Inc.</t>
        </is>
      </c>
      <c r="C9" s="45" t="inlineStr">
        <is>
          <t>Small Cap</t>
        </is>
      </c>
      <c r="D9" s="23" t="inlineStr">
        <is>
          <t>High</t>
        </is>
      </c>
      <c r="E9" s="26" t="inlineStr">
        <is>
          <t>High-Growth Quality</t>
        </is>
      </c>
      <c r="F9" s="39" t="n">
        <v>89</v>
      </c>
      <c r="G9" s="46" t="inlineStr">
        <is>
          <t>Strengths: strong revenue growth, high-margin business, strong fingerprint match. Risks: none significant.</t>
        </is>
      </c>
      <c r="H9" s="59" t="inlineStr">
        <is>
          <t>✓ strong revenue growth
✓ high-margin business
✓ strong fingerprint match</t>
        </is>
      </c>
      <c r="I9" s="60" t="inlineStr">
        <is>
          <t>—</t>
        </is>
      </c>
    </row>
    <row r="10" ht="40" customHeight="1">
      <c r="A10" s="19" t="inlineStr">
        <is>
          <t>SPRU</t>
        </is>
      </c>
      <c r="B10" s="20" t="inlineStr">
        <is>
          <t>Spruce Power Holding Corporation</t>
        </is>
      </c>
      <c r="C10" s="42" t="inlineStr">
        <is>
          <t>Nano Cap</t>
        </is>
      </c>
      <c r="D10" s="23" t="inlineStr">
        <is>
          <t>High</t>
        </is>
      </c>
      <c r="E10" s="20" t="inlineStr">
        <is>
          <t>High-Growth Quality</t>
        </is>
      </c>
      <c r="F10" s="35" t="n">
        <v>88.40000000000001</v>
      </c>
      <c r="G10" s="43" t="inlineStr">
        <is>
          <t>Strengths: strong revenue growth, high-margin business, high insider alignment, minimal dilution, strong fingerprint match. Risks: negative momentum.</t>
        </is>
      </c>
      <c r="H10" s="59" t="inlineStr">
        <is>
          <t>✓ strong revenue growth
✓ high-margin business
✓ high insider alignment
✓ minimal dilution
✓ strong fingerprint match</t>
        </is>
      </c>
      <c r="I10" s="60" t="inlineStr">
        <is>
          <t>⚠ negative momentum</t>
        </is>
      </c>
    </row>
    <row r="11" ht="40" customHeight="1">
      <c r="A11" s="25" t="inlineStr">
        <is>
          <t>CDRE</t>
        </is>
      </c>
      <c r="B11" s="26" t="inlineStr">
        <is>
          <t>Cadre Holdings, Inc.</t>
        </is>
      </c>
      <c r="C11" s="45" t="inlineStr">
        <is>
          <t>Small Cap</t>
        </is>
      </c>
      <c r="D11" s="23" t="inlineStr">
        <is>
          <t>High</t>
        </is>
      </c>
      <c r="E11" s="26" t="inlineStr">
        <is>
          <t>High-Growth Quality</t>
        </is>
      </c>
      <c r="F11" s="39" t="n">
        <v>88.3</v>
      </c>
      <c r="G11" s="46" t="inlineStr">
        <is>
          <t>Strengths: strong revenue growth, healthy margins, high insider alignment, strong fingerprint match. Risks: none significant.</t>
        </is>
      </c>
      <c r="H11" s="59" t="inlineStr">
        <is>
          <t>✓ strong revenue growth
✓ healthy margins
✓ high insider alignment
✓ strong fingerprint match</t>
        </is>
      </c>
      <c r="I11" s="60" t="inlineStr">
        <is>
          <t>—</t>
        </is>
      </c>
    </row>
    <row r="12" ht="40" customHeight="1">
      <c r="A12" s="19" t="inlineStr">
        <is>
          <t>ADTN</t>
        </is>
      </c>
      <c r="B12" s="20" t="inlineStr">
        <is>
          <t>ADTRAN Holdings, Inc.</t>
        </is>
      </c>
      <c r="C12" s="42" t="inlineStr">
        <is>
          <t>Small Cap</t>
        </is>
      </c>
      <c r="D12" s="23" t="inlineStr">
        <is>
          <t>High</t>
        </is>
      </c>
      <c r="E12" s="20" t="inlineStr">
        <is>
          <t>Fingerprint Match</t>
        </is>
      </c>
      <c r="F12" s="35" t="n">
        <v>87.3</v>
      </c>
      <c r="G12" s="43" t="inlineStr">
        <is>
          <t>Strengths: solid revenue growth, healthy margins, minimal dilution, strong fingerprint match. Risks: none significant.</t>
        </is>
      </c>
      <c r="H12" s="59" t="inlineStr">
        <is>
          <t>✓ solid revenue growth
✓ healthy margins
✓ minimal dilution
✓ strong fingerprint match</t>
        </is>
      </c>
      <c r="I12" s="60" t="inlineStr">
        <is>
          <t>—</t>
        </is>
      </c>
    </row>
    <row r="13" ht="40" customHeight="1">
      <c r="A13" s="25" t="inlineStr">
        <is>
          <t>PKE</t>
        </is>
      </c>
      <c r="B13" s="26" t="inlineStr">
        <is>
          <t>Park Aerospace Corp.</t>
        </is>
      </c>
      <c r="C13" s="45" t="inlineStr">
        <is>
          <t>Small Cap</t>
        </is>
      </c>
      <c r="D13" s="23" t="inlineStr">
        <is>
          <t>High</t>
        </is>
      </c>
      <c r="E13" s="26" t="inlineStr">
        <is>
          <t>Fingerprint Match</t>
        </is>
      </c>
      <c r="F13" s="39" t="n">
        <v>87.2</v>
      </c>
      <c r="G13" s="46" t="inlineStr">
        <is>
          <t>Strengths: solid revenue growth, minimal dilution, strong fingerprint match, positive momentum. Risks: none significant.</t>
        </is>
      </c>
      <c r="H13" s="59" t="inlineStr">
        <is>
          <t>✓ solid revenue growth
✓ minimal dilution
✓ strong fingerprint match
✓ positive momentum</t>
        </is>
      </c>
      <c r="I13" s="60" t="inlineStr">
        <is>
          <t>—</t>
        </is>
      </c>
    </row>
    <row r="14" ht="40" customHeight="1">
      <c r="A14" s="19" t="inlineStr">
        <is>
          <t>CODA</t>
        </is>
      </c>
      <c r="B14" s="20" t="inlineStr">
        <is>
          <t>Coda Octopus Group, Inc.</t>
        </is>
      </c>
      <c r="C14" s="42" t="inlineStr">
        <is>
          <t>Nano Cap</t>
        </is>
      </c>
      <c r="D14" s="23" t="inlineStr">
        <is>
          <t>High</t>
        </is>
      </c>
      <c r="E14" s="20" t="inlineStr">
        <is>
          <t>High-Growth Quality</t>
        </is>
      </c>
      <c r="F14" s="35" t="n">
        <v>86.5</v>
      </c>
      <c r="G14" s="43" t="inlineStr">
        <is>
          <t>Strengths: strong revenue growth, high-margin business, high insider alignment, minimal dilution, positive momentum. Risks: none significant.</t>
        </is>
      </c>
      <c r="H14" s="59" t="inlineStr">
        <is>
          <t>✓ strong revenue growth
✓ high-margin business
✓ high insider alignment
✓ minimal dilution
✓ positive momentum</t>
        </is>
      </c>
      <c r="I14" s="60" t="inlineStr">
        <is>
          <t>—</t>
        </is>
      </c>
    </row>
    <row r="15" ht="40" customHeight="1">
      <c r="A15" s="25" t="inlineStr">
        <is>
          <t>MVST</t>
        </is>
      </c>
      <c r="B15" s="26" t="inlineStr">
        <is>
          <t>Microvast Holdings, Inc.</t>
        </is>
      </c>
      <c r="C15" s="45" t="inlineStr">
        <is>
          <t>Small Cap</t>
        </is>
      </c>
      <c r="D15" s="23" t="inlineStr">
        <is>
          <t>High</t>
        </is>
      </c>
      <c r="E15" s="26" t="inlineStr">
        <is>
          <t>Fingerprint Match</t>
        </is>
      </c>
      <c r="F15" s="39" t="n">
        <v>86</v>
      </c>
      <c r="G15" s="46" t="inlineStr">
        <is>
          <t>Strengths: solid revenue growth, healthy margins, high insider alignment, strong fingerprint match. Risks: negative momentum.</t>
        </is>
      </c>
      <c r="H15" s="59" t="inlineStr">
        <is>
          <t>✓ solid revenue growth
✓ healthy margins
✓ high insider alignment
✓ strong fingerprint match</t>
        </is>
      </c>
      <c r="I15" s="60" t="inlineStr">
        <is>
          <t>⚠ negative momentum</t>
        </is>
      </c>
    </row>
    <row r="16" ht="40" customHeight="1">
      <c r="A16" s="19" t="inlineStr">
        <is>
          <t>CLFD</t>
        </is>
      </c>
      <c r="B16" s="20" t="inlineStr">
        <is>
          <t>Clearfield, Inc.</t>
        </is>
      </c>
      <c r="C16" s="42" t="inlineStr">
        <is>
          <t>Small Cap</t>
        </is>
      </c>
      <c r="D16" s="23" t="inlineStr">
        <is>
          <t>High</t>
        </is>
      </c>
      <c r="E16" s="20" t="inlineStr">
        <is>
          <t>Emerging Watch</t>
        </is>
      </c>
      <c r="F16" s="35" t="n">
        <v>85.59999999999999</v>
      </c>
      <c r="G16" s="43" t="inlineStr">
        <is>
          <t>Strengths: high insider alignment, minimal dilution, strong fingerprint match. Risks: none significant.</t>
        </is>
      </c>
      <c r="H16" s="59" t="inlineStr">
        <is>
          <t>✓ high insider alignment
✓ minimal dilution
✓ strong fingerprint match</t>
        </is>
      </c>
      <c r="I16" s="60" t="inlineStr">
        <is>
          <t>—</t>
        </is>
      </c>
    </row>
    <row r="17" ht="40" customHeight="1">
      <c r="A17" s="25" t="inlineStr">
        <is>
          <t>ISSC</t>
        </is>
      </c>
      <c r="B17" s="26" t="inlineStr">
        <is>
          <t>Innovative Solutions and Support, Inc.</t>
        </is>
      </c>
      <c r="C17" s="45" t="inlineStr">
        <is>
          <t>Small Cap</t>
        </is>
      </c>
      <c r="D17" s="23" t="inlineStr">
        <is>
          <t>High</t>
        </is>
      </c>
      <c r="E17" s="26" t="inlineStr">
        <is>
          <t>Fingerprint Match</t>
        </is>
      </c>
      <c r="F17" s="39" t="n">
        <v>85.40000000000001</v>
      </c>
      <c r="G17" s="46" t="inlineStr">
        <is>
          <t>Strengths: solid revenue growth, high-margin business, minimal dilution, strong fingerprint match, positive momentum. Risks: none significant.</t>
        </is>
      </c>
      <c r="H17" s="59" t="inlineStr">
        <is>
          <t>✓ solid revenue growth
✓ high-margin business
✓ minimal dilution
✓ strong fingerprint match
✓ positive momentum</t>
        </is>
      </c>
      <c r="I17" s="60" t="inlineStr">
        <is>
          <t>—</t>
        </is>
      </c>
    </row>
    <row r="18" ht="40" customHeight="1">
      <c r="A18" s="19" t="inlineStr">
        <is>
          <t>CECO</t>
        </is>
      </c>
      <c r="B18" s="20" t="inlineStr">
        <is>
          <t>CECO Environmental Corp.</t>
        </is>
      </c>
      <c r="C18" s="42" t="inlineStr">
        <is>
          <t>Small Cap</t>
        </is>
      </c>
      <c r="D18" s="23" t="inlineStr">
        <is>
          <t>High</t>
        </is>
      </c>
      <c r="E18" s="20" t="inlineStr">
        <is>
          <t>Fingerprint Match</t>
        </is>
      </c>
      <c r="F18" s="35" t="n">
        <v>85.3</v>
      </c>
      <c r="G18" s="43" t="inlineStr">
        <is>
          <t>Strengths: solid revenue growth, high insider alignment, minimal dilution, strong fingerprint match. Risks: none significant.</t>
        </is>
      </c>
      <c r="H18" s="59" t="inlineStr">
        <is>
          <t>✓ solid revenue growth
✓ high insider alignment
✓ minimal dilution
✓ strong fingerprint match</t>
        </is>
      </c>
      <c r="I18" s="60" t="inlineStr">
        <is>
          <t>—</t>
        </is>
      </c>
    </row>
    <row r="19" ht="40" customHeight="1">
      <c r="A19" s="25" t="inlineStr">
        <is>
          <t>ALNT</t>
        </is>
      </c>
      <c r="B19" s="26" t="inlineStr">
        <is>
          <t>Allient Inc.</t>
        </is>
      </c>
      <c r="C19" s="45" t="inlineStr">
        <is>
          <t>Small Cap</t>
        </is>
      </c>
      <c r="D19" s="23" t="inlineStr">
        <is>
          <t>High</t>
        </is>
      </c>
      <c r="E19" s="26" t="inlineStr">
        <is>
          <t>Emerging Watch</t>
        </is>
      </c>
      <c r="F19" s="39" t="n">
        <v>85.2</v>
      </c>
      <c r="G19" s="46" t="inlineStr">
        <is>
          <t>Strengths: high insider alignment, strong fingerprint match. Risks: none significant.</t>
        </is>
      </c>
      <c r="H19" s="59" t="inlineStr">
        <is>
          <t>✓ high insider alignment
✓ strong fingerprint match</t>
        </is>
      </c>
      <c r="I19" s="60" t="inlineStr">
        <is>
          <t>—</t>
        </is>
      </c>
    </row>
    <row r="20" ht="40" customHeight="1">
      <c r="A20" s="19" t="inlineStr">
        <is>
          <t>TGEN</t>
        </is>
      </c>
      <c r="B20" s="20" t="inlineStr">
        <is>
          <t>Tecogen Inc.</t>
        </is>
      </c>
      <c r="C20" s="42" t="inlineStr">
        <is>
          <t>Nano Cap</t>
        </is>
      </c>
      <c r="D20" s="24" t="inlineStr">
        <is>
          <t>Medium-High</t>
        </is>
      </c>
      <c r="E20" s="20" t="inlineStr">
        <is>
          <t>Fingerprint Match</t>
        </is>
      </c>
      <c r="F20" s="35" t="n">
        <v>84.8</v>
      </c>
      <c r="G20" s="43" t="inlineStr">
        <is>
          <t>Strengths: solid revenue growth, high insider alignment, strong fingerprint match. Risks: negative momentum.</t>
        </is>
      </c>
      <c r="H20" s="59" t="inlineStr">
        <is>
          <t>✓ solid revenue growth
✓ high insider alignment
✓ strong fingerprint match</t>
        </is>
      </c>
      <c r="I20" s="60" t="inlineStr">
        <is>
          <t>⚠ negative momentum</t>
        </is>
      </c>
    </row>
    <row r="21" ht="40" customHeight="1">
      <c r="A21" s="25" t="inlineStr">
        <is>
          <t>TAYD</t>
        </is>
      </c>
      <c r="B21" s="26" t="inlineStr">
        <is>
          <t>Taylor Devices, Inc.</t>
        </is>
      </c>
      <c r="C21" s="45" t="inlineStr">
        <is>
          <t>Nano Cap</t>
        </is>
      </c>
      <c r="D21" s="24" t="inlineStr">
        <is>
          <t>Medium-High</t>
        </is>
      </c>
      <c r="E21" s="26" t="inlineStr">
        <is>
          <t>High-Growth Quality</t>
        </is>
      </c>
      <c r="F21" s="39" t="n">
        <v>84.59999999999999</v>
      </c>
      <c r="G21" s="46" t="inlineStr">
        <is>
          <t>Strengths: strong revenue growth, healthy margins, minimal dilution, positive momentum. Risks: low insider ownership.</t>
        </is>
      </c>
      <c r="H21" s="59" t="inlineStr">
        <is>
          <t>✓ strong revenue growth
✓ healthy margins
✓ minimal dilution
✓ positive momentum</t>
        </is>
      </c>
      <c r="I21" s="60" t="inlineStr">
        <is>
          <t>⚠ low insider ownership</t>
        </is>
      </c>
    </row>
    <row r="22" ht="40" customHeight="1">
      <c r="A22" s="19" t="inlineStr">
        <is>
          <t>COMM</t>
        </is>
      </c>
      <c r="B22" s="20" t="inlineStr">
        <is>
          <t>CommScope Holding Company, Inc.</t>
        </is>
      </c>
      <c r="C22" s="42" t="inlineStr">
        <is>
          <t>Breakout</t>
        </is>
      </c>
      <c r="D22" s="24" t="inlineStr">
        <is>
          <t>Medium-High</t>
        </is>
      </c>
      <c r="E22" s="20" t="inlineStr">
        <is>
          <t>Growth Inflection</t>
        </is>
      </c>
      <c r="F22" s="35" t="n">
        <v>84.09999999999999</v>
      </c>
      <c r="G22" s="43" t="inlineStr">
        <is>
          <t>Strengths: strong revenue growth, healthy margins. Risks: low insider ownership.</t>
        </is>
      </c>
      <c r="H22" s="59" t="inlineStr">
        <is>
          <t>✓ strong revenue growth
✓ healthy margins</t>
        </is>
      </c>
      <c r="I22" s="60" t="inlineStr">
        <is>
          <t>⚠ low insider ownership</t>
        </is>
      </c>
    </row>
    <row r="23" ht="40" customHeight="1">
      <c r="A23" s="25" t="inlineStr">
        <is>
          <t>ALGM</t>
        </is>
      </c>
      <c r="B23" s="26" t="inlineStr">
        <is>
          <t>Allegro MicroSystems, Inc.</t>
        </is>
      </c>
      <c r="C23" s="45" t="inlineStr">
        <is>
          <t>Breakout</t>
        </is>
      </c>
      <c r="D23" s="24" t="inlineStr">
        <is>
          <t>Medium-High</t>
        </is>
      </c>
      <c r="E23" s="26" t="inlineStr">
        <is>
          <t>Insider Conviction</t>
        </is>
      </c>
      <c r="F23" s="39" t="n">
        <v>83.40000000000001</v>
      </c>
      <c r="G23" s="46" t="inlineStr">
        <is>
          <t>Strengths: solid revenue growth, healthy margins, high insider alignment, minimal dilution. Risks: none significant.</t>
        </is>
      </c>
      <c r="H23" s="59" t="inlineStr">
        <is>
          <t>✓ solid revenue growth
✓ healthy margins
✓ high insider alignment
✓ minimal dilution</t>
        </is>
      </c>
      <c r="I23" s="60" t="inlineStr">
        <is>
          <t>—</t>
        </is>
      </c>
    </row>
    <row r="24" ht="40" customHeight="1">
      <c r="A24" s="19" t="inlineStr">
        <is>
          <t>RFIL</t>
        </is>
      </c>
      <c r="B24" s="20" t="inlineStr">
        <is>
          <t>RF Industries, Ltd.</t>
        </is>
      </c>
      <c r="C24" s="42" t="inlineStr">
        <is>
          <t>Nano Cap</t>
        </is>
      </c>
      <c r="D24" s="24" t="inlineStr">
        <is>
          <t>Medium-High</t>
        </is>
      </c>
      <c r="E24" s="20" t="inlineStr">
        <is>
          <t>Fingerprint Match</t>
        </is>
      </c>
      <c r="F24" s="35" t="n">
        <v>81.3</v>
      </c>
      <c r="G24" s="43" t="inlineStr">
        <is>
          <t>Strengths: solid revenue growth, healthy margins, high insider alignment, minimal dilution, strong fingerprint match, positive momentum. Risks: none significant.</t>
        </is>
      </c>
      <c r="H24" s="59" t="inlineStr">
        <is>
          <t>✓ solid revenue growth
✓ healthy margins
✓ high insider alignment
✓ minimal dilution
✓ strong fingerprint match
✓ positive momentum</t>
        </is>
      </c>
      <c r="I24" s="60" t="inlineStr">
        <is>
          <t>—</t>
        </is>
      </c>
    </row>
    <row r="25" ht="40" customHeight="1">
      <c r="A25" s="25" t="inlineStr">
        <is>
          <t>XMTR</t>
        </is>
      </c>
      <c r="B25" s="26" t="inlineStr">
        <is>
          <t>Xometry, Inc.</t>
        </is>
      </c>
      <c r="C25" s="45" t="inlineStr">
        <is>
          <t>Breakout</t>
        </is>
      </c>
      <c r="D25" s="24" t="inlineStr">
        <is>
          <t>Medium-High</t>
        </is>
      </c>
      <c r="E25" s="26" t="inlineStr">
        <is>
          <t>Fingerprint Match</t>
        </is>
      </c>
      <c r="F25" s="39" t="n">
        <v>81.2</v>
      </c>
      <c r="G25" s="46" t="inlineStr">
        <is>
          <t>Strengths: solid revenue growth, healthy margins, strong fingerprint match. Risks: none significant.</t>
        </is>
      </c>
      <c r="H25" s="59" t="inlineStr">
        <is>
          <t>✓ solid revenue growth
✓ healthy margins
✓ strong fingerprint match</t>
        </is>
      </c>
      <c r="I25" s="60" t="inlineStr">
        <is>
          <t>—</t>
        </is>
      </c>
    </row>
    <row r="26" ht="40" customHeight="1">
      <c r="A26" s="19" t="inlineStr">
        <is>
          <t>KRMN</t>
        </is>
      </c>
      <c r="B26" s="20" t="inlineStr">
        <is>
          <t>Karman Holdings Inc.</t>
        </is>
      </c>
      <c r="C26" s="42" t="inlineStr">
        <is>
          <t>Breakout</t>
        </is>
      </c>
      <c r="D26" s="24" t="inlineStr">
        <is>
          <t>Medium-High</t>
        </is>
      </c>
      <c r="E26" s="20" t="inlineStr">
        <is>
          <t>High-Growth Quality</t>
        </is>
      </c>
      <c r="F26" s="35" t="n">
        <v>81</v>
      </c>
      <c r="G26" s="43" t="inlineStr">
        <is>
          <t>Strengths: strong revenue growth, healthy margins, high insider alignment, minimal dilution, positive momentum. Risks: none significant.</t>
        </is>
      </c>
      <c r="H26" s="59" t="inlineStr">
        <is>
          <t>✓ strong revenue growth
✓ healthy margins
✓ high insider alignment
✓ minimal dilution
✓ positive momentum</t>
        </is>
      </c>
      <c r="I26" s="60" t="inlineStr">
        <is>
          <t>—</t>
        </is>
      </c>
    </row>
    <row r="27" ht="40" customHeight="1">
      <c r="A27" s="25" t="inlineStr">
        <is>
          <t>MRAM</t>
        </is>
      </c>
      <c r="B27" s="26" t="inlineStr">
        <is>
          <t>Everspin Technologies, Inc.</t>
        </is>
      </c>
      <c r="C27" s="45" t="inlineStr">
        <is>
          <t>Nano Cap</t>
        </is>
      </c>
      <c r="D27" s="24" t="inlineStr">
        <is>
          <t>Medium-High</t>
        </is>
      </c>
      <c r="E27" s="26" t="inlineStr">
        <is>
          <t>Emerging Watch</t>
        </is>
      </c>
      <c r="F27" s="39" t="n">
        <v>80.40000000000001</v>
      </c>
      <c r="G27" s="46" t="inlineStr">
        <is>
          <t>Strengths: high-margin business, high insider alignment, strong fingerprint match. Risks: modest growth.</t>
        </is>
      </c>
      <c r="H27" s="59" t="inlineStr">
        <is>
          <t>✓ high-margin business
✓ high insider alignment
✓ strong fingerprint match</t>
        </is>
      </c>
      <c r="I27" s="60" t="inlineStr">
        <is>
          <t>⚠ modest growth</t>
        </is>
      </c>
    </row>
    <row r="28" ht="40" customHeight="1">
      <c r="A28" s="19" t="inlineStr">
        <is>
          <t>SCTQ</t>
        </is>
      </c>
      <c r="B28" s="20" t="inlineStr">
        <is>
          <t>Spectra Systems Corporation</t>
        </is>
      </c>
      <c r="C28" s="42" t="inlineStr">
        <is>
          <t>Nano Cap</t>
        </is>
      </c>
      <c r="D28" s="24" t="inlineStr">
        <is>
          <t>Medium-High</t>
        </is>
      </c>
      <c r="E28" s="20" t="inlineStr">
        <is>
          <t>High-Growth Quality</t>
        </is>
      </c>
      <c r="F28" s="35" t="n">
        <v>80.2</v>
      </c>
      <c r="G28" s="43" t="inlineStr">
        <is>
          <t>Strengths: strong revenue growth, high-margin business, high insider alignment. Risks: none significant.</t>
        </is>
      </c>
      <c r="H28" s="59" t="inlineStr">
        <is>
          <t>✓ strong revenue growth
✓ high-margin business
✓ high insider alignment</t>
        </is>
      </c>
      <c r="I28" s="60" t="inlineStr">
        <is>
          <t>—</t>
        </is>
      </c>
    </row>
    <row r="29" ht="40" customHeight="1">
      <c r="A29" s="25" t="inlineStr">
        <is>
          <t>ZEO</t>
        </is>
      </c>
      <c r="B29" s="26" t="inlineStr">
        <is>
          <t>Zeo Energy Corp.</t>
        </is>
      </c>
      <c r="C29" s="45" t="inlineStr">
        <is>
          <t>Nano Cap</t>
        </is>
      </c>
      <c r="D29" s="24" t="inlineStr">
        <is>
          <t>Medium-High</t>
        </is>
      </c>
      <c r="E29" s="26" t="inlineStr">
        <is>
          <t>Insider Conviction</t>
        </is>
      </c>
      <c r="F29" s="39" t="n">
        <v>80.09999999999999</v>
      </c>
      <c r="G29" s="46" t="inlineStr">
        <is>
          <t>Strengths: solid revenue growth, high-margin business, high insider alignment, minimal dilution. Risks: none significant.</t>
        </is>
      </c>
      <c r="H29" s="59" t="inlineStr">
        <is>
          <t>✓ solid revenue growth
✓ high-margin business
✓ high insider alignment
✓ minimal dilution</t>
        </is>
      </c>
      <c r="I29" s="60" t="inlineStr">
        <is>
          <t>—</t>
        </is>
      </c>
    </row>
    <row r="30" ht="40" customHeight="1">
      <c r="A30" s="19" t="inlineStr">
        <is>
          <t>RUN</t>
        </is>
      </c>
      <c r="B30" s="20" t="inlineStr">
        <is>
          <t>Sunrun Inc.</t>
        </is>
      </c>
      <c r="C30" s="42" t="inlineStr">
        <is>
          <t>Breakout</t>
        </is>
      </c>
      <c r="D30" s="24" t="inlineStr">
        <is>
          <t>Medium-High</t>
        </is>
      </c>
      <c r="E30" s="20" t="inlineStr">
        <is>
          <t>Growth Inflection</t>
        </is>
      </c>
      <c r="F30" s="35" t="n">
        <v>78.90000000000001</v>
      </c>
      <c r="G30" s="43" t="inlineStr">
        <is>
          <t>Strengths: strong revenue growth, healthy margins. Risks: low insider ownership, negative momentum.</t>
        </is>
      </c>
      <c r="H30" s="59" t="inlineStr">
        <is>
          <t>✓ strong revenue growth
✓ healthy margins</t>
        </is>
      </c>
      <c r="I30" s="60" t="inlineStr">
        <is>
          <t>⚠ low insider ownership
⚠ negative momentum</t>
        </is>
      </c>
    </row>
    <row r="31" ht="40" customHeight="1">
      <c r="A31" s="25" t="inlineStr">
        <is>
          <t>MOG-A</t>
        </is>
      </c>
      <c r="B31" s="26" t="inlineStr">
        <is>
          <t>Moog Inc.</t>
        </is>
      </c>
      <c r="C31" s="45" t="inlineStr">
        <is>
          <t>Breakout</t>
        </is>
      </c>
      <c r="D31" s="24" t="inlineStr">
        <is>
          <t>Medium-High</t>
        </is>
      </c>
      <c r="E31" s="26" t="inlineStr">
        <is>
          <t>Fingerprint Match</t>
        </is>
      </c>
      <c r="F31" s="39" t="n">
        <v>77.40000000000001</v>
      </c>
      <c r="G31" s="46" t="inlineStr">
        <is>
          <t>Strengths: solid revenue growth, minimal dilution, strong fingerprint match, positive momentum. Risks: thin margins.</t>
        </is>
      </c>
      <c r="H31" s="59" t="inlineStr">
        <is>
          <t>✓ solid revenue growth
✓ minimal dilution
✓ strong fingerprint match
✓ positive momentum</t>
        </is>
      </c>
      <c r="I31" s="60" t="inlineStr">
        <is>
          <t>⚠ thin margins</t>
        </is>
      </c>
    </row>
    <row r="32" ht="40" customHeight="1">
      <c r="A32" s="19" t="inlineStr">
        <is>
          <t>LASR</t>
        </is>
      </c>
      <c r="B32" s="20" t="inlineStr">
        <is>
          <t>nLIGHT, Inc.</t>
        </is>
      </c>
      <c r="C32" s="42" t="inlineStr">
        <is>
          <t>Breakout</t>
        </is>
      </c>
      <c r="D32" s="24" t="inlineStr">
        <is>
          <t>Medium-High</t>
        </is>
      </c>
      <c r="E32" s="20" t="inlineStr">
        <is>
          <t>Momentum Breakout</t>
        </is>
      </c>
      <c r="F32" s="35" t="n">
        <v>77.40000000000001</v>
      </c>
      <c r="G32" s="43" t="inlineStr">
        <is>
          <t>Strengths: strong revenue growth, positive momentum. Risks: low insider ownership.</t>
        </is>
      </c>
      <c r="H32" s="59" t="inlineStr">
        <is>
          <t>✓ strong revenue growth
✓ positive momentum</t>
        </is>
      </c>
      <c r="I32" s="60" t="inlineStr">
        <is>
          <t>⚠ low insider ownership</t>
        </is>
      </c>
    </row>
    <row r="33" ht="40" customHeight="1">
      <c r="A33" s="25" t="inlineStr">
        <is>
          <t>IPGP</t>
        </is>
      </c>
      <c r="B33" s="26" t="inlineStr">
        <is>
          <t>IPG Photonics Corporation</t>
        </is>
      </c>
      <c r="C33" s="45" t="inlineStr">
        <is>
          <t>Breakout</t>
        </is>
      </c>
      <c r="D33" s="24" t="inlineStr">
        <is>
          <t>Medium-High</t>
        </is>
      </c>
      <c r="E33" s="26" t="inlineStr">
        <is>
          <t>Insider Conviction</t>
        </is>
      </c>
      <c r="F33" s="39" t="n">
        <v>77.2</v>
      </c>
      <c r="G33" s="46" t="inlineStr">
        <is>
          <t>Strengths: healthy margins, high insider alignment, minimal dilution, positive momentum. Risks: none significant.</t>
        </is>
      </c>
      <c r="H33" s="59" t="inlineStr">
        <is>
          <t>✓ healthy margins
✓ high insider alignment
✓ minimal dilution
✓ positive momentum</t>
        </is>
      </c>
      <c r="I33" s="60" t="inlineStr">
        <is>
          <t>—</t>
        </is>
      </c>
    </row>
    <row r="34" ht="40" customHeight="1">
      <c r="A34" s="19" t="inlineStr">
        <is>
          <t>ESE</t>
        </is>
      </c>
      <c r="B34" s="20" t="inlineStr">
        <is>
          <t>ESCO Technologies Inc.</t>
        </is>
      </c>
      <c r="C34" s="42" t="inlineStr">
        <is>
          <t>Breakout</t>
        </is>
      </c>
      <c r="D34" s="24" t="inlineStr">
        <is>
          <t>Medium-High</t>
        </is>
      </c>
      <c r="E34" s="20" t="inlineStr">
        <is>
          <t>Growth Inflection</t>
        </is>
      </c>
      <c r="F34" s="35" t="n">
        <v>76.7</v>
      </c>
      <c r="G34" s="43" t="inlineStr">
        <is>
          <t>Strengths: solid revenue growth, healthy margins, minimal dilution, positive momentum. Risks: low insider ownership.</t>
        </is>
      </c>
      <c r="H34" s="59" t="inlineStr">
        <is>
          <t>✓ solid revenue growth
✓ healthy margins
✓ minimal dilution
✓ positive momentum</t>
        </is>
      </c>
      <c r="I34" s="60" t="inlineStr">
        <is>
          <t>⚠ low insider ownership</t>
        </is>
      </c>
    </row>
    <row r="35" ht="40" customHeight="1">
      <c r="A35" s="25" t="inlineStr">
        <is>
          <t>VIAV</t>
        </is>
      </c>
      <c r="B35" s="26" t="inlineStr">
        <is>
          <t>Viavi Solutions Inc.</t>
        </is>
      </c>
      <c r="C35" s="45" t="inlineStr">
        <is>
          <t>Breakout</t>
        </is>
      </c>
      <c r="D35" s="24" t="inlineStr">
        <is>
          <t>Medium-High</t>
        </is>
      </c>
      <c r="E35" s="26" t="inlineStr">
        <is>
          <t>Growth Inflection</t>
        </is>
      </c>
      <c r="F35" s="39" t="n">
        <v>76.5</v>
      </c>
      <c r="G35" s="46" t="inlineStr">
        <is>
          <t>Strengths: solid revenue growth, high-margin business, minimal dilution, positive momentum. Risks: low insider ownership.</t>
        </is>
      </c>
      <c r="H35" s="59" t="inlineStr">
        <is>
          <t>✓ solid revenue growth
✓ high-margin business
✓ minimal dilution
✓ positive momentum</t>
        </is>
      </c>
      <c r="I35" s="60" t="inlineStr">
        <is>
          <t>⚠ low insider ownership</t>
        </is>
      </c>
    </row>
    <row r="38" ht="22" customHeight="1">
      <c r="A38" s="16" t="inlineStr">
        <is>
          <t>CONVICTION DISTRIBUTION BY TIER</t>
        </is>
      </c>
      <c r="B38" s="17" t="n"/>
      <c r="C38" s="17" t="n"/>
      <c r="D38" s="17" t="n"/>
      <c r="E38" s="17" t="n"/>
      <c r="F38" s="17" t="n"/>
      <c r="G38" s="17" t="n"/>
      <c r="H38" s="17" t="n"/>
      <c r="I38" s="17" t="n"/>
    </row>
    <row r="39">
      <c r="A39" t="inlineStr">
        <is>
          <t>Tier</t>
        </is>
      </c>
      <c r="B39" t="inlineStr">
        <is>
          <t>High</t>
        </is>
      </c>
      <c r="C39" t="inlineStr">
        <is>
          <t>Medium-High</t>
        </is>
      </c>
      <c r="D39" t="inlineStr">
        <is>
          <t>Medium</t>
        </is>
      </c>
      <c r="E39" t="inlineStr">
        <is>
          <t>Speculative</t>
        </is>
      </c>
    </row>
    <row r="40">
      <c r="A40" t="inlineStr">
        <is>
          <t>Nano Cap</t>
        </is>
      </c>
      <c r="B40" t="n">
        <v>4</v>
      </c>
      <c r="C40" t="n">
        <v>6</v>
      </c>
      <c r="D40" t="n">
        <v>0</v>
      </c>
      <c r="E40" t="n">
        <v>0</v>
      </c>
    </row>
    <row r="41">
      <c r="A41" t="inlineStr">
        <is>
          <t>Small Cap</t>
        </is>
      </c>
      <c r="B41" t="n">
        <v>10</v>
      </c>
      <c r="C41" t="n">
        <v>0</v>
      </c>
      <c r="D41" t="n">
        <v>0</v>
      </c>
      <c r="E41" t="n">
        <v>0</v>
      </c>
    </row>
    <row r="42">
      <c r="A42" t="inlineStr">
        <is>
          <t>Breakout</t>
        </is>
      </c>
      <c r="B42" t="n">
        <v>0</v>
      </c>
      <c r="C42" t="n">
        <v>10</v>
      </c>
      <c r="D42" t="n">
        <v>0</v>
      </c>
      <c r="E42" t="n">
        <v>0</v>
      </c>
    </row>
  </sheetData>
  <mergeCells count="3">
    <mergeCell ref="A1:I1"/>
    <mergeCell ref="A38:I38"/>
    <mergeCell ref="A2:I2"/>
  </mergeCells>
  <dataValidations count="3">
    <dataValidation sqref="B4" showDropDown="0" showInputMessage="0" showErrorMessage="0" allowBlank="1" errorTitle="Invalid Selection" error="Please select a valid conviction level" type="list">
      <formula1>"All,High,Medium-High,Medium,Speculative"</formula1>
    </dataValidation>
    <dataValidation sqref="C4" showDropDown="0" showInputMessage="0" showErrorMessage="0" allowBlank="1" type="list">
      <formula1>"All,Nano,Small,Breakout"</formula1>
    </dataValidation>
    <dataValidation sqref="D4" showDropDown="0" showInputMessage="0" showErrorMessage="0" allowBlank="1" type="list">
      <formula1>"All,High-Growth Quality,Fingerprint Match,Insider Conviction,Momentum Breakout,Growth Inflection,Emerging Watch"</formula1>
    </dataValidation>
  </dataValidations>
  <pageMargins left="0.75" right="0.75" top="1" bottom="1" header="0.5" footer="0.5"/>
  <pageSetup orientation="landscape" fitToWidth="1"/>
  <drawing xmlns:r="http://schemas.openxmlformats.org/officeDocument/2006/relationships" r:id="rId1"/>
</worksheet>
</file>

<file path=xl/worksheets/sheet9.xml><?xml version="1.0" encoding="utf-8"?>
<worksheet xmlns="http://schemas.openxmlformats.org/spreadsheetml/2006/main">
  <sheetPr>
    <tabColor rgb="001A6B3C"/>
    <outlinePr summaryBelow="1" summaryRight="1"/>
    <pageSetUpPr fitToPage="1"/>
  </sheetPr>
  <dimension ref="A1:N5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4" customWidth="1" min="10" max="10"/>
    <col width="3" customWidth="1" min="11" max="11"/>
    <col width="14" customWidth="1" min="12" max="12"/>
    <col width="14" customWidth="1" min="13" max="13"/>
    <col width="14" customWidth="1" min="14" max="14"/>
  </cols>
  <sheetData>
    <row r="1" ht="28" customHeight="1">
      <c r="A1" s="30" t="inlineStr">
        <is>
          <t>MODEL PORTFOLIO CONSTRUCTION &amp; RISK METRICS</t>
        </is>
      </c>
      <c r="B1" s="11" t="n"/>
      <c r="C1" s="11" t="n"/>
      <c r="D1" s="11" t="n"/>
      <c r="E1" s="11" t="n"/>
      <c r="F1" s="11" t="n"/>
      <c r="G1" s="11" t="n"/>
      <c r="H1" s="11" t="n"/>
      <c r="I1" s="11" t="n"/>
      <c r="J1" s="11" t="n"/>
      <c r="K1" s="11" t="n"/>
      <c r="L1" s="11" t="n"/>
      <c r="M1" s="11" t="n"/>
      <c r="N1" s="11" t="n"/>
    </row>
    <row r="2" ht="22" customHeight="1">
      <c r="A2" s="31" t="inlineStr">
        <is>
          <t>Position sizing, risk categorization, and portfolio analytics  |  March 08, 2026</t>
        </is>
      </c>
      <c r="B2" s="12" t="n"/>
      <c r="C2" s="12" t="n"/>
      <c r="D2" s="12" t="n"/>
      <c r="E2" s="12" t="n"/>
      <c r="F2" s="12" t="n"/>
      <c r="G2" s="12" t="n"/>
      <c r="H2" s="12" t="n"/>
      <c r="I2" s="12" t="n"/>
      <c r="J2" s="12" t="n"/>
      <c r="K2" s="12" t="n"/>
      <c r="L2" s="12" t="n"/>
      <c r="M2" s="12" t="n"/>
      <c r="N2" s="12" t="n"/>
    </row>
    <row r="4" ht="22" customHeight="1">
      <c r="B4" s="16" t="inlineStr">
        <is>
          <t>PORTFOLIO PARAMETERS</t>
        </is>
      </c>
      <c r="C4" s="17" t="n"/>
      <c r="D4" s="17" t="n"/>
      <c r="E4" s="17" t="n"/>
      <c r="F4" s="17" t="n"/>
      <c r="G4" s="17" t="n"/>
      <c r="H4" s="17" t="n"/>
      <c r="I4" s="17" t="n"/>
      <c r="J4" s="17" t="n"/>
    </row>
    <row r="5" ht="18" customHeight="1">
      <c r="B5" s="61" t="inlineStr">
        <is>
          <t>Portfolio Size ($)</t>
        </is>
      </c>
      <c r="C5" s="62" t="n">
        <v>100000</v>
      </c>
      <c r="D5" s="63" t="inlineStr">
        <is>
          <t>← Input</t>
        </is>
      </c>
    </row>
    <row r="6" ht="18" customHeight="1">
      <c r="B6" s="61" t="inlineStr">
        <is>
          <t>Max Single Position %</t>
        </is>
      </c>
      <c r="C6" s="64" t="n">
        <v>0.08</v>
      </c>
      <c r="D6" s="63" t="inlineStr">
        <is>
          <t>← Input</t>
        </is>
      </c>
    </row>
    <row r="7" ht="18" customHeight="1">
      <c r="B7" s="61" t="inlineStr">
        <is>
          <t>Nano Cap Risk Multiplier</t>
        </is>
      </c>
      <c r="C7" s="65" t="n">
        <v>0.6</v>
      </c>
      <c r="D7" s="63" t="inlineStr">
        <is>
          <t>← Input</t>
        </is>
      </c>
    </row>
    <row r="8" ht="18" customHeight="1">
      <c r="B8" s="61" t="inlineStr">
        <is>
          <t>Breakout Cap Multiplier</t>
        </is>
      </c>
      <c r="C8" s="65" t="n">
        <v>1.2</v>
      </c>
      <c r="D8" s="63" t="inlineStr">
        <is>
          <t>← Input</t>
        </is>
      </c>
    </row>
    <row r="9" ht="18" customHeight="1">
      <c r="B9" s="61" t="inlineStr">
        <is>
          <t>Cash Reserve Target %</t>
        </is>
      </c>
      <c r="C9" s="64" t="n">
        <v>0.1</v>
      </c>
      <c r="D9" s="63" t="inlineStr">
        <is>
          <t>← Input</t>
        </is>
      </c>
    </row>
    <row r="10" ht="8" customHeight="1"/>
    <row r="11" ht="22" customHeight="1">
      <c r="B11" s="16" t="inlineStr">
        <is>
          <t>POSITION SIZING</t>
        </is>
      </c>
      <c r="C11" s="17" t="n"/>
      <c r="D11" s="17" t="n"/>
      <c r="E11" s="17" t="n"/>
      <c r="F11" s="17" t="n"/>
      <c r="G11" s="17" t="n"/>
      <c r="H11" s="17" t="n"/>
      <c r="I11" s="17" t="n"/>
      <c r="J11" s="17" t="n"/>
    </row>
    <row r="12" ht="18" customHeight="1">
      <c r="B12" s="18" t="inlineStr">
        <is>
          <t>Ticker</t>
        </is>
      </c>
      <c r="C12" s="18" t="inlineStr">
        <is>
          <t>Name</t>
        </is>
      </c>
      <c r="D12" s="18" t="inlineStr">
        <is>
          <t>Tier</t>
        </is>
      </c>
      <c r="E12" s="18" t="inlineStr">
        <is>
          <t>Conviction</t>
        </is>
      </c>
      <c r="F12" s="18" t="inlineStr">
        <is>
          <t>Base Wt %</t>
        </is>
      </c>
      <c r="G12" s="18" t="inlineStr">
        <is>
          <t>Risk-Adj Wt %</t>
        </is>
      </c>
      <c r="H12" s="18" t="inlineStr">
        <is>
          <t>Dollar Amt</t>
        </is>
      </c>
      <c r="I12" s="18" t="inlineStr">
        <is>
          <t>Share Ct</t>
        </is>
      </c>
      <c r="J12" s="18" t="inlineStr">
        <is>
          <t>Notes</t>
        </is>
      </c>
    </row>
    <row r="13" ht="16" customHeight="1">
      <c r="B13" s="19" t="inlineStr">
        <is>
          <t>SODI</t>
        </is>
      </c>
      <c r="C13" s="20" t="inlineStr">
        <is>
          <t>Solitron Devices, Inc.</t>
        </is>
      </c>
      <c r="D13" s="42" t="inlineStr">
        <is>
          <t>Nano Cap</t>
        </is>
      </c>
      <c r="E13" s="23" t="inlineStr">
        <is>
          <t>High</t>
        </is>
      </c>
      <c r="F13" s="34" t="n">
        <v>0.08</v>
      </c>
      <c r="G13" s="66" t="n">
        <v>0.048</v>
      </c>
      <c r="H13" s="67" t="n">
        <v>4800</v>
      </c>
      <c r="I13" s="68" t="n">
        <v>192</v>
      </c>
      <c r="J13" s="69" t="inlineStr">
        <is>
          <t>High risk</t>
        </is>
      </c>
    </row>
    <row r="14" ht="16" customHeight="1">
      <c r="B14" s="25" t="inlineStr">
        <is>
          <t>WSTL</t>
        </is>
      </c>
      <c r="C14" s="26" t="inlineStr">
        <is>
          <t>Westell Technologies, Inc.</t>
        </is>
      </c>
      <c r="D14" s="45" t="inlineStr">
        <is>
          <t>Nano Cap</t>
        </is>
      </c>
      <c r="E14" s="23" t="inlineStr">
        <is>
          <t>High</t>
        </is>
      </c>
      <c r="F14" s="38" t="n">
        <v>0.08</v>
      </c>
      <c r="G14" s="70" t="n">
        <v>0.048</v>
      </c>
      <c r="H14" s="71" t="n">
        <v>4800</v>
      </c>
      <c r="I14" s="72" t="n">
        <v>967</v>
      </c>
      <c r="J14" s="73" t="inlineStr">
        <is>
          <t>High risk</t>
        </is>
      </c>
    </row>
    <row r="15" ht="16" customHeight="1">
      <c r="B15" s="19" t="inlineStr">
        <is>
          <t>GOGO</t>
        </is>
      </c>
      <c r="C15" s="20" t="inlineStr">
        <is>
          <t>Gogo Inc.</t>
        </is>
      </c>
      <c r="D15" s="42" t="inlineStr">
        <is>
          <t>Small Cap</t>
        </is>
      </c>
      <c r="E15" s="23" t="inlineStr">
        <is>
          <t>High</t>
        </is>
      </c>
      <c r="F15" s="34" t="n">
        <v>0.08</v>
      </c>
      <c r="G15" s="66" t="n">
        <v>0.08</v>
      </c>
      <c r="H15" s="67" t="n">
        <v>8000</v>
      </c>
      <c r="I15" s="68" t="n">
        <v>1529</v>
      </c>
      <c r="J15" s="69" t="inlineStr"/>
    </row>
    <row r="16" ht="16" customHeight="1">
      <c r="B16" s="25" t="inlineStr">
        <is>
          <t>MXL</t>
        </is>
      </c>
      <c r="C16" s="26" t="inlineStr">
        <is>
          <t>MaxLinear, Inc.</t>
        </is>
      </c>
      <c r="D16" s="45" t="inlineStr">
        <is>
          <t>Small Cap</t>
        </is>
      </c>
      <c r="E16" s="23" t="inlineStr">
        <is>
          <t>High</t>
        </is>
      </c>
      <c r="F16" s="38" t="n">
        <v>0.08</v>
      </c>
      <c r="G16" s="70" t="n">
        <v>0.08</v>
      </c>
      <c r="H16" s="71" t="n">
        <v>8000</v>
      </c>
      <c r="I16" s="72" t="n">
        <v>508</v>
      </c>
      <c r="J16" s="73" t="inlineStr"/>
    </row>
    <row r="17" ht="16" customHeight="1">
      <c r="B17" s="19" t="inlineStr">
        <is>
          <t>SPRU</t>
        </is>
      </c>
      <c r="C17" s="20" t="inlineStr">
        <is>
          <t>Spruce Power Holding Corporation</t>
        </is>
      </c>
      <c r="D17" s="42" t="inlineStr">
        <is>
          <t>Nano Cap</t>
        </is>
      </c>
      <c r="E17" s="23" t="inlineStr">
        <is>
          <t>High</t>
        </is>
      </c>
      <c r="F17" s="34" t="n">
        <v>0.08</v>
      </c>
      <c r="G17" s="66" t="n">
        <v>0.048</v>
      </c>
      <c r="H17" s="67" t="n">
        <v>4800</v>
      </c>
      <c r="I17" s="68" t="n">
        <v>1387</v>
      </c>
      <c r="J17" s="69" t="inlineStr">
        <is>
          <t>High risk</t>
        </is>
      </c>
    </row>
    <row r="18" ht="16" customHeight="1">
      <c r="B18" s="25" t="inlineStr">
        <is>
          <t>CDRE</t>
        </is>
      </c>
      <c r="C18" s="26" t="inlineStr">
        <is>
          <t>Cadre Holdings, Inc.</t>
        </is>
      </c>
      <c r="D18" s="45" t="inlineStr">
        <is>
          <t>Small Cap</t>
        </is>
      </c>
      <c r="E18" s="23" t="inlineStr">
        <is>
          <t>High</t>
        </is>
      </c>
      <c r="F18" s="38" t="n">
        <v>0.08</v>
      </c>
      <c r="G18" s="70" t="n">
        <v>0.08</v>
      </c>
      <c r="H18" s="71" t="n">
        <v>8000</v>
      </c>
      <c r="I18" s="72" t="n">
        <v>183</v>
      </c>
      <c r="J18" s="73" t="inlineStr"/>
    </row>
    <row r="19" ht="16" customHeight="1">
      <c r="B19" s="19" t="inlineStr">
        <is>
          <t>ADTN</t>
        </is>
      </c>
      <c r="C19" s="20" t="inlineStr">
        <is>
          <t>ADTRAN Holdings, Inc.</t>
        </is>
      </c>
      <c r="D19" s="42" t="inlineStr">
        <is>
          <t>Small Cap</t>
        </is>
      </c>
      <c r="E19" s="23" t="inlineStr">
        <is>
          <t>High</t>
        </is>
      </c>
      <c r="F19" s="34" t="n">
        <v>0.08</v>
      </c>
      <c r="G19" s="66" t="n">
        <v>0.08</v>
      </c>
      <c r="H19" s="67" t="n">
        <v>8000</v>
      </c>
      <c r="I19" s="68" t="n">
        <v>834</v>
      </c>
      <c r="J19" s="69" t="inlineStr"/>
    </row>
    <row r="20" ht="16" customHeight="1">
      <c r="B20" s="25" t="inlineStr">
        <is>
          <t>PKE</t>
        </is>
      </c>
      <c r="C20" s="26" t="inlineStr">
        <is>
          <t>Park Aerospace Corp.</t>
        </is>
      </c>
      <c r="D20" s="45" t="inlineStr">
        <is>
          <t>Small Cap</t>
        </is>
      </c>
      <c r="E20" s="23" t="inlineStr">
        <is>
          <t>High</t>
        </is>
      </c>
      <c r="F20" s="38" t="n">
        <v>0.08</v>
      </c>
      <c r="G20" s="70" t="n">
        <v>0.08</v>
      </c>
      <c r="H20" s="71" t="n">
        <v>8000</v>
      </c>
      <c r="I20" s="72" t="n">
        <v>297</v>
      </c>
      <c r="J20" s="73" t="inlineStr">
        <is>
          <t>Medium-High risk</t>
        </is>
      </c>
    </row>
    <row r="21" ht="16" customHeight="1">
      <c r="B21" s="19" t="inlineStr">
        <is>
          <t>CODA</t>
        </is>
      </c>
      <c r="C21" s="20" t="inlineStr">
        <is>
          <t>Coda Octopus Group, Inc.</t>
        </is>
      </c>
      <c r="D21" s="42" t="inlineStr">
        <is>
          <t>Nano Cap</t>
        </is>
      </c>
      <c r="E21" s="23" t="inlineStr">
        <is>
          <t>High</t>
        </is>
      </c>
      <c r="F21" s="34" t="n">
        <v>0.08</v>
      </c>
      <c r="G21" s="66" t="n">
        <v>0.048</v>
      </c>
      <c r="H21" s="67" t="n">
        <v>4800</v>
      </c>
      <c r="I21" s="68" t="n">
        <v>333</v>
      </c>
      <c r="J21" s="69" t="inlineStr">
        <is>
          <t>Medium-High risk</t>
        </is>
      </c>
    </row>
    <row r="22" ht="16" customHeight="1">
      <c r="B22" s="25" t="inlineStr">
        <is>
          <t>MVST</t>
        </is>
      </c>
      <c r="C22" s="26" t="inlineStr">
        <is>
          <t>Microvast Holdings, Inc.</t>
        </is>
      </c>
      <c r="D22" s="45" t="inlineStr">
        <is>
          <t>Small Cap</t>
        </is>
      </c>
      <c r="E22" s="23" t="inlineStr">
        <is>
          <t>High</t>
        </is>
      </c>
      <c r="F22" s="38" t="n">
        <v>0.08</v>
      </c>
      <c r="G22" s="70" t="n">
        <v>0.08</v>
      </c>
      <c r="H22" s="71" t="n">
        <v>8000</v>
      </c>
      <c r="I22" s="72" t="n">
        <v>3846</v>
      </c>
      <c r="J22" s="73" t="inlineStr"/>
    </row>
    <row r="23" ht="16" customHeight="1">
      <c r="B23" s="19" t="inlineStr">
        <is>
          <t>CLFD</t>
        </is>
      </c>
      <c r="C23" s="20" t="inlineStr">
        <is>
          <t>Clearfield, Inc.</t>
        </is>
      </c>
      <c r="D23" s="42" t="inlineStr">
        <is>
          <t>Small Cap</t>
        </is>
      </c>
      <c r="E23" s="23" t="inlineStr">
        <is>
          <t>High</t>
        </is>
      </c>
      <c r="F23" s="34" t="n">
        <v>0.08</v>
      </c>
      <c r="G23" s="66" t="n">
        <v>0.08</v>
      </c>
      <c r="H23" s="67" t="n">
        <v>8000</v>
      </c>
      <c r="I23" s="68" t="n">
        <v>266</v>
      </c>
      <c r="J23" s="69" t="inlineStr">
        <is>
          <t>Medium-High risk</t>
        </is>
      </c>
    </row>
    <row r="24" ht="16" customHeight="1">
      <c r="B24" s="25" t="inlineStr">
        <is>
          <t>ISSC</t>
        </is>
      </c>
      <c r="C24" s="26" t="inlineStr">
        <is>
          <t>Innovative Solutions and Support, Inc.</t>
        </is>
      </c>
      <c r="D24" s="45" t="inlineStr">
        <is>
          <t>Small Cap</t>
        </is>
      </c>
      <c r="E24" s="23" t="inlineStr">
        <is>
          <t>High</t>
        </is>
      </c>
      <c r="F24" s="38" t="n">
        <v>0.08</v>
      </c>
      <c r="G24" s="70" t="n">
        <v>0.08</v>
      </c>
      <c r="H24" s="71" t="n">
        <v>8000</v>
      </c>
      <c r="I24" s="72" t="n">
        <v>305</v>
      </c>
      <c r="J24" s="73" t="inlineStr">
        <is>
          <t>Medium-High risk</t>
        </is>
      </c>
    </row>
    <row r="25" ht="16" customHeight="1">
      <c r="B25" s="19" t="inlineStr">
        <is>
          <t>CECO</t>
        </is>
      </c>
      <c r="C25" s="20" t="inlineStr">
        <is>
          <t>CECO Environmental Corp.</t>
        </is>
      </c>
      <c r="D25" s="42" t="inlineStr">
        <is>
          <t>Small Cap</t>
        </is>
      </c>
      <c r="E25" s="23" t="inlineStr">
        <is>
          <t>High</t>
        </is>
      </c>
      <c r="F25" s="34" t="n">
        <v>0.08</v>
      </c>
      <c r="G25" s="66" t="n">
        <v>0.08</v>
      </c>
      <c r="H25" s="67" t="n">
        <v>8000</v>
      </c>
      <c r="I25" s="68" t="n">
        <v>152</v>
      </c>
      <c r="J25" s="69" t="inlineStr">
        <is>
          <t>Medium-High risk</t>
        </is>
      </c>
    </row>
    <row r="26" ht="16" customHeight="1">
      <c r="B26" s="25" t="inlineStr">
        <is>
          <t>ALNT</t>
        </is>
      </c>
      <c r="C26" s="26" t="inlineStr">
        <is>
          <t>Allient Inc.</t>
        </is>
      </c>
      <c r="D26" s="45" t="inlineStr">
        <is>
          <t>Small Cap</t>
        </is>
      </c>
      <c r="E26" s="23" t="inlineStr">
        <is>
          <t>High</t>
        </is>
      </c>
      <c r="F26" s="38" t="n">
        <v>0.08</v>
      </c>
      <c r="G26" s="70" t="n">
        <v>0.08</v>
      </c>
      <c r="H26" s="71" t="n">
        <v>8000</v>
      </c>
      <c r="I26" s="72" t="n">
        <v>122</v>
      </c>
      <c r="J26" s="73" t="inlineStr">
        <is>
          <t>Medium-High risk</t>
        </is>
      </c>
    </row>
    <row r="27" ht="16" customHeight="1">
      <c r="B27" s="19" t="inlineStr">
        <is>
          <t>TGEN</t>
        </is>
      </c>
      <c r="C27" s="20" t="inlineStr">
        <is>
          <t>Tecogen Inc.</t>
        </is>
      </c>
      <c r="D27" s="42" t="inlineStr">
        <is>
          <t>Nano Cap</t>
        </is>
      </c>
      <c r="E27" s="24" t="inlineStr">
        <is>
          <t>Medium-High</t>
        </is>
      </c>
      <c r="F27" s="34" t="n">
        <v>0.05</v>
      </c>
      <c r="G27" s="66" t="n">
        <v>0.03</v>
      </c>
      <c r="H27" s="67" t="n">
        <v>3000</v>
      </c>
      <c r="I27" s="68" t="n">
        <v>1006</v>
      </c>
      <c r="J27" s="69" t="inlineStr">
        <is>
          <t>High risk</t>
        </is>
      </c>
    </row>
    <row r="28" ht="16" customHeight="1">
      <c r="B28" s="25" t="inlineStr">
        <is>
          <t>TAYD</t>
        </is>
      </c>
      <c r="C28" s="26" t="inlineStr">
        <is>
          <t>Taylor Devices, Inc.</t>
        </is>
      </c>
      <c r="D28" s="45" t="inlineStr">
        <is>
          <t>Nano Cap</t>
        </is>
      </c>
      <c r="E28" s="24" t="inlineStr">
        <is>
          <t>Medium-High</t>
        </is>
      </c>
      <c r="F28" s="38" t="n">
        <v>0.05</v>
      </c>
      <c r="G28" s="70" t="n">
        <v>0.03</v>
      </c>
      <c r="H28" s="71" t="n">
        <v>3000</v>
      </c>
      <c r="I28" s="72" t="n">
        <v>36</v>
      </c>
      <c r="J28" s="73" t="inlineStr">
        <is>
          <t>Medium-High risk</t>
        </is>
      </c>
    </row>
    <row r="29" ht="16" customHeight="1">
      <c r="B29" s="19" t="inlineStr">
        <is>
          <t>COMM</t>
        </is>
      </c>
      <c r="C29" s="20" t="inlineStr">
        <is>
          <t>CommScope Holding Company, Inc.</t>
        </is>
      </c>
      <c r="D29" s="42" t="inlineStr">
        <is>
          <t>Breakout</t>
        </is>
      </c>
      <c r="E29" s="24" t="inlineStr">
        <is>
          <t>Medium-High</t>
        </is>
      </c>
      <c r="F29" s="34" t="n">
        <v>0.05</v>
      </c>
      <c r="G29" s="66" t="n">
        <v>0.06</v>
      </c>
      <c r="H29" s="67" t="n">
        <v>6000</v>
      </c>
      <c r="I29" s="68" t="n">
        <v>335</v>
      </c>
      <c r="J29" s="69" t="inlineStr">
        <is>
          <t>Medium-Low risk</t>
        </is>
      </c>
    </row>
    <row r="30" ht="16" customHeight="1">
      <c r="B30" s="25" t="inlineStr">
        <is>
          <t>ALGM</t>
        </is>
      </c>
      <c r="C30" s="26" t="inlineStr">
        <is>
          <t>Allegro MicroSystems, Inc.</t>
        </is>
      </c>
      <c r="D30" s="45" t="inlineStr">
        <is>
          <t>Breakout</t>
        </is>
      </c>
      <c r="E30" s="24" t="inlineStr">
        <is>
          <t>Medium-High</t>
        </is>
      </c>
      <c r="F30" s="38" t="n">
        <v>0.05</v>
      </c>
      <c r="G30" s="70" t="n">
        <v>0.06</v>
      </c>
      <c r="H30" s="71" t="n">
        <v>6000</v>
      </c>
      <c r="I30" s="72" t="n">
        <v>187</v>
      </c>
      <c r="J30" s="73" t="inlineStr">
        <is>
          <t>Medium-Low risk</t>
        </is>
      </c>
    </row>
    <row r="31" ht="16" customHeight="1">
      <c r="B31" s="19" t="inlineStr">
        <is>
          <t>RFIL</t>
        </is>
      </c>
      <c r="C31" s="20" t="inlineStr">
        <is>
          <t>RF Industries, Ltd.</t>
        </is>
      </c>
      <c r="D31" s="42" t="inlineStr">
        <is>
          <t>Nano Cap</t>
        </is>
      </c>
      <c r="E31" s="24" t="inlineStr">
        <is>
          <t>Medium-High</t>
        </is>
      </c>
      <c r="F31" s="34" t="n">
        <v>0.05</v>
      </c>
      <c r="G31" s="66" t="n">
        <v>0.03</v>
      </c>
      <c r="H31" s="67" t="n">
        <v>3000</v>
      </c>
      <c r="I31" s="68" t="n">
        <v>287</v>
      </c>
      <c r="J31" s="69" t="inlineStr">
        <is>
          <t>Medium-High risk</t>
        </is>
      </c>
    </row>
    <row r="32" ht="16" customHeight="1">
      <c r="B32" s="25" t="inlineStr">
        <is>
          <t>XMTR</t>
        </is>
      </c>
      <c r="C32" s="26" t="inlineStr">
        <is>
          <t>Xometry, Inc.</t>
        </is>
      </c>
      <c r="D32" s="45" t="inlineStr">
        <is>
          <t>Breakout</t>
        </is>
      </c>
      <c r="E32" s="24" t="inlineStr">
        <is>
          <t>Medium-High</t>
        </is>
      </c>
      <c r="F32" s="38" t="n">
        <v>0.05</v>
      </c>
      <c r="G32" s="70" t="n">
        <v>0.06</v>
      </c>
      <c r="H32" s="71" t="n">
        <v>6000</v>
      </c>
      <c r="I32" s="72" t="n">
        <v>138</v>
      </c>
      <c r="J32" s="73" t="inlineStr">
        <is>
          <t>Medium-Low risk</t>
        </is>
      </c>
    </row>
    <row r="33" ht="16" customHeight="1">
      <c r="B33" s="19" t="inlineStr">
        <is>
          <t>KRMN</t>
        </is>
      </c>
      <c r="C33" s="20" t="inlineStr">
        <is>
          <t>Karman Holdings Inc.</t>
        </is>
      </c>
      <c r="D33" s="42" t="inlineStr">
        <is>
          <t>Breakout</t>
        </is>
      </c>
      <c r="E33" s="24" t="inlineStr">
        <is>
          <t>Medium-High</t>
        </is>
      </c>
      <c r="F33" s="34" t="n">
        <v>0.05</v>
      </c>
      <c r="G33" s="66" t="n">
        <v>0.06</v>
      </c>
      <c r="H33" s="67" t="n">
        <v>6000</v>
      </c>
      <c r="I33" s="68" t="n">
        <v>59</v>
      </c>
      <c r="J33" s="69" t="inlineStr">
        <is>
          <t>Medium-Low risk</t>
        </is>
      </c>
    </row>
    <row r="34" ht="16" customHeight="1">
      <c r="B34" s="25" t="inlineStr">
        <is>
          <t>MRAM</t>
        </is>
      </c>
      <c r="C34" s="26" t="inlineStr">
        <is>
          <t>Everspin Technologies, Inc.</t>
        </is>
      </c>
      <c r="D34" s="45" t="inlineStr">
        <is>
          <t>Nano Cap</t>
        </is>
      </c>
      <c r="E34" s="24" t="inlineStr">
        <is>
          <t>Medium-High</t>
        </is>
      </c>
      <c r="F34" s="38" t="n">
        <v>0.05</v>
      </c>
      <c r="G34" s="70" t="n">
        <v>0.03</v>
      </c>
      <c r="H34" s="71" t="n">
        <v>3000</v>
      </c>
      <c r="I34" s="72" t="n">
        <v>342</v>
      </c>
      <c r="J34" s="73" t="inlineStr">
        <is>
          <t>Medium-High risk</t>
        </is>
      </c>
    </row>
    <row r="35" ht="16" customHeight="1">
      <c r="B35" s="19" t="inlineStr">
        <is>
          <t>SCTQ</t>
        </is>
      </c>
      <c r="C35" s="20" t="inlineStr">
        <is>
          <t>Spectra Systems Corporation</t>
        </is>
      </c>
      <c r="D35" s="42" t="inlineStr">
        <is>
          <t>Nano Cap</t>
        </is>
      </c>
      <c r="E35" s="24" t="inlineStr">
        <is>
          <t>Medium-High</t>
        </is>
      </c>
      <c r="F35" s="34" t="n">
        <v>0.05</v>
      </c>
      <c r="G35" s="66" t="n">
        <v>0.03</v>
      </c>
      <c r="H35" s="67" t="n">
        <v>3000</v>
      </c>
      <c r="I35" s="68" t="n">
        <v>1475</v>
      </c>
      <c r="J35" s="69" t="inlineStr">
        <is>
          <t>High risk</t>
        </is>
      </c>
    </row>
    <row r="36" ht="16" customHeight="1">
      <c r="B36" s="25" t="inlineStr">
        <is>
          <t>ZEO</t>
        </is>
      </c>
      <c r="C36" s="26" t="inlineStr">
        <is>
          <t>Zeo Energy Corp.</t>
        </is>
      </c>
      <c r="D36" s="45" t="inlineStr">
        <is>
          <t>Nano Cap</t>
        </is>
      </c>
      <c r="E36" s="24" t="inlineStr">
        <is>
          <t>Medium-High</t>
        </is>
      </c>
      <c r="F36" s="38" t="n">
        <v>0.05</v>
      </c>
      <c r="G36" s="70" t="n">
        <v>0.03</v>
      </c>
      <c r="H36" s="71" t="n">
        <v>3000</v>
      </c>
      <c r="I36" s="72" t="n">
        <v>3176</v>
      </c>
      <c r="J36" s="73" t="inlineStr">
        <is>
          <t>High risk</t>
        </is>
      </c>
    </row>
    <row r="37" ht="16" customHeight="1">
      <c r="B37" s="19" t="inlineStr">
        <is>
          <t>RUN</t>
        </is>
      </c>
      <c r="C37" s="20" t="inlineStr">
        <is>
          <t>Sunrun Inc.</t>
        </is>
      </c>
      <c r="D37" s="42" t="inlineStr">
        <is>
          <t>Breakout</t>
        </is>
      </c>
      <c r="E37" s="24" t="inlineStr">
        <is>
          <t>Medium-High</t>
        </is>
      </c>
      <c r="F37" s="34" t="n">
        <v>0.05</v>
      </c>
      <c r="G37" s="66" t="n">
        <v>0.06</v>
      </c>
      <c r="H37" s="67" t="n">
        <v>6000</v>
      </c>
      <c r="I37" s="68" t="n">
        <v>529</v>
      </c>
      <c r="J37" s="69" t="inlineStr">
        <is>
          <t>Medium-Low risk</t>
        </is>
      </c>
    </row>
    <row r="38" ht="16" customHeight="1">
      <c r="B38" s="25" t="inlineStr">
        <is>
          <t>MOG-A</t>
        </is>
      </c>
      <c r="C38" s="26" t="inlineStr">
        <is>
          <t>Moog Inc.</t>
        </is>
      </c>
      <c r="D38" s="45" t="inlineStr">
        <is>
          <t>Breakout</t>
        </is>
      </c>
      <c r="E38" s="24" t="inlineStr">
        <is>
          <t>Medium-High</t>
        </is>
      </c>
      <c r="F38" s="38" t="n">
        <v>0.05</v>
      </c>
      <c r="G38" s="70" t="n">
        <v>0.06</v>
      </c>
      <c r="H38" s="71" t="n">
        <v>6000</v>
      </c>
      <c r="I38" s="72" t="n">
        <v>18</v>
      </c>
      <c r="J38" s="73" t="inlineStr">
        <is>
          <t>Medium-High risk</t>
        </is>
      </c>
    </row>
    <row r="39" ht="16" customHeight="1">
      <c r="B39" s="19" t="inlineStr">
        <is>
          <t>LASR</t>
        </is>
      </c>
      <c r="C39" s="20" t="inlineStr">
        <is>
          <t>nLIGHT, Inc.</t>
        </is>
      </c>
      <c r="D39" s="42" t="inlineStr">
        <is>
          <t>Breakout</t>
        </is>
      </c>
      <c r="E39" s="24" t="inlineStr">
        <is>
          <t>Medium-High</t>
        </is>
      </c>
      <c r="F39" s="34" t="n">
        <v>0.05</v>
      </c>
      <c r="G39" s="66" t="n">
        <v>0.06</v>
      </c>
      <c r="H39" s="67" t="n">
        <v>6000</v>
      </c>
      <c r="I39" s="68" t="n">
        <v>102</v>
      </c>
      <c r="J39" s="69" t="inlineStr">
        <is>
          <t>Medium-High risk</t>
        </is>
      </c>
    </row>
    <row r="40" ht="16" customHeight="1">
      <c r="B40" s="25" t="inlineStr">
        <is>
          <t>IPGP</t>
        </is>
      </c>
      <c r="C40" s="26" t="inlineStr">
        <is>
          <t>IPG Photonics Corporation</t>
        </is>
      </c>
      <c r="D40" s="45" t="inlineStr">
        <is>
          <t>Breakout</t>
        </is>
      </c>
      <c r="E40" s="24" t="inlineStr">
        <is>
          <t>Medium-High</t>
        </is>
      </c>
      <c r="F40" s="38" t="n">
        <v>0.05</v>
      </c>
      <c r="G40" s="70" t="n">
        <v>0.06</v>
      </c>
      <c r="H40" s="71" t="n">
        <v>6000</v>
      </c>
      <c r="I40" s="72" t="n">
        <v>49</v>
      </c>
      <c r="J40" s="73" t="inlineStr">
        <is>
          <t>Medium-Low risk</t>
        </is>
      </c>
    </row>
    <row r="41" ht="16" customHeight="1">
      <c r="B41" s="19" t="inlineStr">
        <is>
          <t>ESE</t>
        </is>
      </c>
      <c r="C41" s="20" t="inlineStr">
        <is>
          <t>ESCO Technologies Inc.</t>
        </is>
      </c>
      <c r="D41" s="42" t="inlineStr">
        <is>
          <t>Breakout</t>
        </is>
      </c>
      <c r="E41" s="24" t="inlineStr">
        <is>
          <t>Medium-High</t>
        </is>
      </c>
      <c r="F41" s="34" t="n">
        <v>0.05</v>
      </c>
      <c r="G41" s="66" t="n">
        <v>0.06</v>
      </c>
      <c r="H41" s="67" t="n">
        <v>6000</v>
      </c>
      <c r="I41" s="68" t="n">
        <v>22</v>
      </c>
      <c r="J41" s="69" t="inlineStr">
        <is>
          <t>Medium-Low risk</t>
        </is>
      </c>
    </row>
    <row r="42" ht="16" customHeight="1">
      <c r="B42" s="25" t="inlineStr">
        <is>
          <t>VIAV</t>
        </is>
      </c>
      <c r="C42" s="26" t="inlineStr">
        <is>
          <t>Viavi Solutions Inc.</t>
        </is>
      </c>
      <c r="D42" s="45" t="inlineStr">
        <is>
          <t>Breakout</t>
        </is>
      </c>
      <c r="E42" s="24" t="inlineStr">
        <is>
          <t>Medium-High</t>
        </is>
      </c>
      <c r="F42" s="38" t="n">
        <v>0.05</v>
      </c>
      <c r="G42" s="70" t="n">
        <v>0.06</v>
      </c>
      <c r="H42" s="71" t="n">
        <v>6000</v>
      </c>
      <c r="I42" s="72" t="n">
        <v>215</v>
      </c>
      <c r="J42" s="73" t="inlineStr">
        <is>
          <t>Medium-Low risk</t>
        </is>
      </c>
    </row>
    <row r="44">
      <c r="B44" s="74" t="inlineStr">
        <is>
          <t>TOTAL ALLOCATED</t>
        </is>
      </c>
      <c r="C44" s="75" t="n"/>
      <c r="D44" s="75" t="n"/>
      <c r="E44" s="75" t="n"/>
      <c r="F44" s="75" t="n"/>
      <c r="G44" s="76" t="n">
        <v>1.772</v>
      </c>
      <c r="H44" s="77" t="n">
        <v>177200</v>
      </c>
    </row>
    <row r="45">
      <c r="B45" s="74" t="inlineStr">
        <is>
          <t>CASH RESERVE</t>
        </is>
      </c>
      <c r="C45" s="75" t="n"/>
      <c r="D45" s="75" t="n"/>
      <c r="E45" s="75" t="n"/>
      <c r="F45" s="75" t="n"/>
      <c r="G45" s="78" t="n">
        <v>0</v>
      </c>
      <c r="H45" s="79" t="n">
        <v>0</v>
      </c>
    </row>
    <row r="48" ht="22" customHeight="1">
      <c r="B48" s="16" t="inlineStr">
        <is>
          <t>SENSITIVITY TO PORTFOLIO SIZE</t>
        </is>
      </c>
      <c r="C48" s="17" t="n"/>
      <c r="D48" s="17" t="n"/>
      <c r="E48" s="17" t="n"/>
      <c r="F48" s="17" t="n"/>
      <c r="G48" s="17" t="n"/>
      <c r="H48" s="17" t="n"/>
      <c r="I48" s="17" t="n"/>
      <c r="J48" s="17" t="n"/>
    </row>
    <row r="49" ht="18" customHeight="1">
      <c r="B49" s="18" t="inlineStr">
        <is>
          <t>Ticker</t>
        </is>
      </c>
      <c r="C49" s="18" t="inlineStr">
        <is>
          <t>$50K</t>
        </is>
      </c>
      <c r="D49" s="18" t="inlineStr">
        <is>
          <t>$100K</t>
        </is>
      </c>
      <c r="E49" s="18" t="inlineStr">
        <is>
          <t>$250K</t>
        </is>
      </c>
      <c r="F49" s="18" t="inlineStr">
        <is>
          <t>$500K</t>
        </is>
      </c>
      <c r="G49" s="18" t="inlineStr">
        <is>
          <t>$1M</t>
        </is>
      </c>
      <c r="L49" t="inlineStr">
        <is>
          <t>Tier</t>
        </is>
      </c>
      <c r="M49" t="inlineStr">
        <is>
          <t>Allocation %</t>
        </is>
      </c>
    </row>
    <row r="50" ht="16" customHeight="1">
      <c r="B50" s="19" t="inlineStr">
        <is>
          <t>SODI</t>
        </is>
      </c>
      <c r="C50" s="21" t="n">
        <v>2400</v>
      </c>
      <c r="D50" s="80" t="n">
        <v>4800</v>
      </c>
      <c r="E50" s="21" t="n">
        <v>12000</v>
      </c>
      <c r="F50" s="21" t="n">
        <v>24000</v>
      </c>
      <c r="G50" s="21" t="n">
        <v>48000</v>
      </c>
      <c r="L50" t="inlineStr">
        <is>
          <t>Nano Cap</t>
        </is>
      </c>
      <c r="M50" t="n">
        <v>37.2</v>
      </c>
    </row>
    <row r="51" ht="16" customHeight="1">
      <c r="B51" s="25" t="inlineStr">
        <is>
          <t>WSTL</t>
        </is>
      </c>
      <c r="C51" s="27" t="n">
        <v>2400</v>
      </c>
      <c r="D51" s="80" t="n">
        <v>4800</v>
      </c>
      <c r="E51" s="27" t="n">
        <v>12000</v>
      </c>
      <c r="F51" s="27" t="n">
        <v>24000</v>
      </c>
      <c r="G51" s="27" t="n">
        <v>48000</v>
      </c>
      <c r="L51" t="inlineStr">
        <is>
          <t>Small Cap</t>
        </is>
      </c>
      <c r="M51" t="n">
        <v>80</v>
      </c>
    </row>
    <row r="52" ht="16" customHeight="1">
      <c r="B52" s="19" t="inlineStr">
        <is>
          <t>GOGO</t>
        </is>
      </c>
      <c r="C52" s="21" t="n">
        <v>4000</v>
      </c>
      <c r="D52" s="80" t="n">
        <v>8000</v>
      </c>
      <c r="E52" s="21" t="n">
        <v>20000</v>
      </c>
      <c r="F52" s="21" t="n">
        <v>40000</v>
      </c>
      <c r="G52" s="21" t="n">
        <v>80000</v>
      </c>
      <c r="L52" t="inlineStr">
        <is>
          <t>Breakout</t>
        </is>
      </c>
      <c r="M52" t="n">
        <v>60</v>
      </c>
    </row>
    <row r="53" ht="16" customHeight="1">
      <c r="B53" s="25" t="inlineStr">
        <is>
          <t>MXL</t>
        </is>
      </c>
      <c r="C53" s="27" t="n">
        <v>4000</v>
      </c>
      <c r="D53" s="80" t="n">
        <v>8000</v>
      </c>
      <c r="E53" s="27" t="n">
        <v>20000</v>
      </c>
      <c r="F53" s="27" t="n">
        <v>40000</v>
      </c>
      <c r="G53" s="27" t="n">
        <v>80000</v>
      </c>
      <c r="L53" t="inlineStr">
        <is>
          <t>Cash</t>
        </is>
      </c>
      <c r="M53" t="n">
        <v>0</v>
      </c>
    </row>
    <row r="54" ht="16" customHeight="1">
      <c r="B54" s="19" t="inlineStr">
        <is>
          <t>SPRU</t>
        </is>
      </c>
      <c r="C54" s="21" t="n">
        <v>2400</v>
      </c>
      <c r="D54" s="80" t="n">
        <v>4800</v>
      </c>
      <c r="E54" s="21" t="n">
        <v>12000</v>
      </c>
      <c r="F54" s="21" t="n">
        <v>24000</v>
      </c>
      <c r="G54" s="21" t="n">
        <v>48000</v>
      </c>
    </row>
    <row r="55" ht="16" customHeight="1">
      <c r="B55" s="25" t="inlineStr">
        <is>
          <t>CDRE</t>
        </is>
      </c>
      <c r="C55" s="27" t="n">
        <v>4000</v>
      </c>
      <c r="D55" s="80" t="n">
        <v>8000</v>
      </c>
      <c r="E55" s="27" t="n">
        <v>20000</v>
      </c>
      <c r="F55" s="27" t="n">
        <v>40000</v>
      </c>
      <c r="G55" s="27" t="n">
        <v>80000</v>
      </c>
    </row>
    <row r="56" ht="16" customHeight="1">
      <c r="B56" s="19" t="inlineStr">
        <is>
          <t>ADTN</t>
        </is>
      </c>
      <c r="C56" s="21" t="n">
        <v>4000</v>
      </c>
      <c r="D56" s="80" t="n">
        <v>8000</v>
      </c>
      <c r="E56" s="21" t="n">
        <v>20000</v>
      </c>
      <c r="F56" s="21" t="n">
        <v>40000</v>
      </c>
      <c r="G56" s="21" t="n">
        <v>80000</v>
      </c>
    </row>
    <row r="57" ht="16" customHeight="1">
      <c r="B57" s="25" t="inlineStr">
        <is>
          <t>PKE</t>
        </is>
      </c>
      <c r="C57" s="27" t="n">
        <v>4000</v>
      </c>
      <c r="D57" s="80" t="n">
        <v>8000</v>
      </c>
      <c r="E57" s="27" t="n">
        <v>20000</v>
      </c>
      <c r="F57" s="27" t="n">
        <v>40000</v>
      </c>
      <c r="G57" s="27" t="n">
        <v>80000</v>
      </c>
    </row>
    <row r="58" ht="16" customHeight="1">
      <c r="B58" s="19" t="inlineStr">
        <is>
          <t>CODA</t>
        </is>
      </c>
      <c r="C58" s="21" t="n">
        <v>2400</v>
      </c>
      <c r="D58" s="80" t="n">
        <v>4800</v>
      </c>
      <c r="E58" s="21" t="n">
        <v>12000</v>
      </c>
      <c r="F58" s="21" t="n">
        <v>24000</v>
      </c>
      <c r="G58" s="21" t="n">
        <v>48000</v>
      </c>
    </row>
    <row r="59" ht="16" customHeight="1">
      <c r="B59" s="25" t="inlineStr">
        <is>
          <t>MVST</t>
        </is>
      </c>
      <c r="C59" s="27" t="n">
        <v>4000</v>
      </c>
      <c r="D59" s="80" t="n">
        <v>8000</v>
      </c>
      <c r="E59" s="27" t="n">
        <v>20000</v>
      </c>
      <c r="F59" s="27" t="n">
        <v>40000</v>
      </c>
      <c r="G59" s="27" t="n">
        <v>80000</v>
      </c>
    </row>
  </sheetData>
  <mergeCells count="5">
    <mergeCell ref="B11:J11"/>
    <mergeCell ref="A2:N2"/>
    <mergeCell ref="B4:J4"/>
    <mergeCell ref="B48:J48"/>
    <mergeCell ref="A1:N1"/>
  </mergeCells>
  <pageMargins left="0.75" right="0.75" top="1" bottom="1" header="0.5" footer="0.5"/>
  <pageSetup orientation="landscape" fitToWidth="1"/>
  <drawing xmlns:r="http://schemas.openxmlformats.org/officeDocument/2006/relationships" r:id="rId1"/>
</worksheet>
</file>

<file path=xl/worksheets/sheet10.xml><?xml version="1.0" encoding="utf-8"?>
<worksheet xmlns="http://schemas.openxmlformats.org/spreadsheetml/2006/main">
  <sheetPr>
    <tabColor rgb="00E76F51"/>
    <outlinePr summaryBelow="1" summaryRight="1"/>
    <pageSetUpPr fitToPage="1"/>
  </sheetPr>
  <dimension ref="A1:M5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4" customWidth="1" min="13" max="13"/>
  </cols>
  <sheetData>
    <row r="1" ht="28" customHeight="1">
      <c r="A1" s="30" t="inlineStr">
        <is>
          <t>SENSITIVITY ANALYSIS — WEIGHT PROFILE COMPARISON</t>
        </is>
      </c>
      <c r="B1" s="11" t="n"/>
      <c r="C1" s="11" t="n"/>
      <c r="D1" s="11" t="n"/>
      <c r="E1" s="11" t="n"/>
      <c r="F1" s="11" t="n"/>
      <c r="G1" s="11" t="n"/>
      <c r="H1" s="11" t="n"/>
      <c r="I1" s="11" t="n"/>
      <c r="J1" s="11" t="n"/>
      <c r="K1" s="11" t="n"/>
      <c r="L1" s="11" t="n"/>
      <c r="M1" s="11" t="n"/>
    </row>
    <row r="2" ht="22" customHeight="1">
      <c r="A2" s="31" t="inlineStr">
        <is>
          <t>How scores change under different weighting assumptions</t>
        </is>
      </c>
      <c r="B2" s="12" t="n"/>
      <c r="C2" s="12" t="n"/>
      <c r="D2" s="12" t="n"/>
      <c r="E2" s="12" t="n"/>
      <c r="F2" s="12" t="n"/>
      <c r="G2" s="12" t="n"/>
      <c r="H2" s="12" t="n"/>
      <c r="I2" s="12" t="n"/>
      <c r="J2" s="12" t="n"/>
      <c r="K2" s="12" t="n"/>
      <c r="L2" s="12" t="n"/>
      <c r="M2" s="12" t="n"/>
    </row>
    <row r="4" ht="22" customHeight="1">
      <c r="B4" s="16" t="inlineStr">
        <is>
          <t>SCENARIO CONTROL PANEL</t>
        </is>
      </c>
      <c r="C4" s="17" t="n"/>
      <c r="D4" s="17" t="n"/>
      <c r="E4" s="17" t="n"/>
      <c r="F4" s="17" t="n"/>
      <c r="G4" s="17" t="n"/>
      <c r="H4" s="17" t="n"/>
      <c r="I4" s="17" t="n"/>
      <c r="J4" s="17" t="n"/>
      <c r="K4" s="17" t="n"/>
      <c r="L4" s="17" t="n"/>
      <c r="M4" s="17" t="n"/>
    </row>
    <row r="5">
      <c r="B5" s="81" t="inlineStr">
        <is>
          <t>Active Scenario:</t>
        </is>
      </c>
      <c r="C5" s="58" t="inlineStr">
        <is>
          <t>Baseline</t>
        </is>
      </c>
    </row>
    <row r="7" ht="18" customHeight="1">
      <c r="B7" s="18" t="inlineStr">
        <is>
          <t>Weight</t>
        </is>
      </c>
      <c r="C7" s="18" t="inlineStr">
        <is>
          <t>Baseline</t>
        </is>
      </c>
      <c r="D7" s="18" t="inlineStr">
        <is>
          <t>Growth Focus</t>
        </is>
      </c>
      <c r="E7" s="18" t="inlineStr">
        <is>
          <t>Quality Focus</t>
        </is>
      </c>
      <c r="F7" s="18" t="inlineStr">
        <is>
          <t>Insider Focus</t>
        </is>
      </c>
      <c r="G7" s="18" t="inlineStr">
        <is>
          <t>Custom</t>
        </is>
      </c>
    </row>
    <row r="8" ht="16" customHeight="1">
      <c r="B8" s="20" t="inlineStr">
        <is>
          <t>Revenue Growth</t>
        </is>
      </c>
      <c r="C8" s="82" t="n">
        <v>0.3</v>
      </c>
      <c r="D8" s="83" t="n">
        <v>0.4</v>
      </c>
      <c r="E8" s="83" t="n">
        <v>0.2</v>
      </c>
      <c r="F8" s="83" t="n">
        <v>0.2</v>
      </c>
      <c r="G8" s="84" t="n">
        <v>0.3</v>
      </c>
    </row>
    <row r="9" ht="16" customHeight="1">
      <c r="B9" s="20" t="inlineStr">
        <is>
          <t>Gross Margin</t>
        </is>
      </c>
      <c r="C9" s="82" t="n">
        <v>0.2</v>
      </c>
      <c r="D9" s="83" t="n">
        <v>0.15</v>
      </c>
      <c r="E9" s="83" t="n">
        <v>0.3</v>
      </c>
      <c r="F9" s="83" t="n">
        <v>0.15</v>
      </c>
      <c r="G9" s="84" t="n">
        <v>0.2</v>
      </c>
    </row>
    <row r="10" ht="16" customHeight="1">
      <c r="B10" s="20" t="inlineStr">
        <is>
          <t>Dilution</t>
        </is>
      </c>
      <c r="C10" s="82" t="n">
        <v>0.2</v>
      </c>
      <c r="D10" s="83" t="n">
        <v>0.15</v>
      </c>
      <c r="E10" s="83" t="n">
        <v>0.25</v>
      </c>
      <c r="F10" s="83" t="n">
        <v>0.2</v>
      </c>
      <c r="G10" s="84" t="n">
        <v>0.2</v>
      </c>
    </row>
    <row r="11" ht="16" customHeight="1">
      <c r="B11" s="20" t="inlineStr">
        <is>
          <t>Insider Ownership</t>
        </is>
      </c>
      <c r="C11" s="82" t="n">
        <v>0.15</v>
      </c>
      <c r="D11" s="83" t="n">
        <v>0.1</v>
      </c>
      <c r="E11" s="83" t="n">
        <v>0.15</v>
      </c>
      <c r="F11" s="83" t="n">
        <v>0.35</v>
      </c>
      <c r="G11" s="84" t="n">
        <v>0.15</v>
      </c>
    </row>
    <row r="12" ht="16" customHeight="1">
      <c r="B12" s="20" t="inlineStr">
        <is>
          <t>Revenue Acceleration</t>
        </is>
      </c>
      <c r="C12" s="82" t="n">
        <v>0.15</v>
      </c>
      <c r="D12" s="83" t="n">
        <v>0.2</v>
      </c>
      <c r="E12" s="83" t="n">
        <v>0.1</v>
      </c>
      <c r="F12" s="83" t="n">
        <v>0.1</v>
      </c>
      <c r="G12" s="84" t="n">
        <v>0.15</v>
      </c>
    </row>
    <row r="14" ht="22" customHeight="1">
      <c r="B14" s="16" t="inlineStr">
        <is>
          <t>COMBINED SCORES UNDER EACH PROFILE</t>
        </is>
      </c>
      <c r="C14" s="17" t="n"/>
      <c r="D14" s="17" t="n"/>
      <c r="E14" s="17" t="n"/>
      <c r="F14" s="17" t="n"/>
      <c r="G14" s="17" t="n"/>
      <c r="H14" s="17" t="n"/>
      <c r="I14" s="17" t="n"/>
      <c r="J14" s="17" t="n"/>
      <c r="K14" s="17" t="n"/>
      <c r="L14" s="17" t="n"/>
      <c r="M14" s="17" t="n"/>
    </row>
    <row r="15" ht="18" customHeight="1">
      <c r="B15" s="18" t="inlineStr">
        <is>
          <t>Ticker</t>
        </is>
      </c>
      <c r="C15" s="18" t="inlineStr">
        <is>
          <t>Name</t>
        </is>
      </c>
      <c r="D15" s="18" t="inlineStr">
        <is>
          <t>Tier</t>
        </is>
      </c>
      <c r="E15" s="18" t="inlineStr">
        <is>
          <t>Baseline</t>
        </is>
      </c>
      <c r="F15" s="18" t="inlineStr">
        <is>
          <t>Growth Focus</t>
        </is>
      </c>
      <c r="G15" s="18" t="inlineStr">
        <is>
          <t>Quality Focus</t>
        </is>
      </c>
      <c r="H15" s="18" t="inlineStr">
        <is>
          <t>Insider Focus</t>
        </is>
      </c>
      <c r="I15" s="18" t="inlineStr">
        <is>
          <t>Max Score</t>
        </is>
      </c>
      <c r="J15" s="18" t="inlineStr">
        <is>
          <t>Min Score</t>
        </is>
      </c>
      <c r="K15" s="18" t="inlineStr">
        <is>
          <t>Score Range</t>
        </is>
      </c>
      <c r="L15" s="18" t="inlineStr">
        <is>
          <t>Rank Stability</t>
        </is>
      </c>
    </row>
    <row r="16" ht="16" customHeight="1">
      <c r="B16" s="19" t="inlineStr">
        <is>
          <t>SODI</t>
        </is>
      </c>
      <c r="C16" s="20" t="inlineStr">
        <is>
          <t>Solitron Devices, Inc.</t>
        </is>
      </c>
      <c r="D16" s="42" t="inlineStr">
        <is>
          <t>Nano Cap</t>
        </is>
      </c>
      <c r="E16" s="35" t="n">
        <v>97.2</v>
      </c>
      <c r="F16" s="35" t="n">
        <v>97.59999999999999</v>
      </c>
      <c r="G16" s="35" t="n">
        <v>96.5</v>
      </c>
      <c r="H16" s="35" t="n">
        <v>97.8</v>
      </c>
      <c r="I16" s="35" t="n">
        <v>97.8</v>
      </c>
      <c r="J16" s="35" t="n">
        <v>96.5</v>
      </c>
      <c r="K16" s="35" t="n">
        <v>1.299999999999997</v>
      </c>
      <c r="L16" s="23" t="inlineStr">
        <is>
          <t>Stable</t>
        </is>
      </c>
    </row>
    <row r="17" ht="16" customHeight="1">
      <c r="B17" s="25" t="inlineStr">
        <is>
          <t>WSTL</t>
        </is>
      </c>
      <c r="C17" s="26" t="inlineStr">
        <is>
          <t>Westell Technologies, Inc.</t>
        </is>
      </c>
      <c r="D17" s="45" t="inlineStr">
        <is>
          <t>Nano Cap</t>
        </is>
      </c>
      <c r="E17" s="39" t="n">
        <v>94.40000000000001</v>
      </c>
      <c r="F17" s="39" t="n">
        <v>92.90000000000001</v>
      </c>
      <c r="G17" s="39" t="n">
        <v>96.09999999999999</v>
      </c>
      <c r="H17" s="39" t="n">
        <v>96.09999999999999</v>
      </c>
      <c r="I17" s="39" t="n">
        <v>96.09999999999999</v>
      </c>
      <c r="J17" s="39" t="n">
        <v>92.90000000000001</v>
      </c>
      <c r="K17" s="39" t="n">
        <v>3.199999999999989</v>
      </c>
      <c r="L17" s="23" t="inlineStr">
        <is>
          <t>Stable</t>
        </is>
      </c>
    </row>
    <row r="18" ht="16" customHeight="1">
      <c r="B18" s="19" t="inlineStr">
        <is>
          <t>GOGO</t>
        </is>
      </c>
      <c r="C18" s="20" t="inlineStr">
        <is>
          <t>Gogo Inc.</t>
        </is>
      </c>
      <c r="D18" s="42" t="inlineStr">
        <is>
          <t>Small Cap</t>
        </is>
      </c>
      <c r="E18" s="35" t="n">
        <v>89.40000000000001</v>
      </c>
      <c r="F18" s="35" t="n">
        <v>89.40000000000001</v>
      </c>
      <c r="G18" s="35" t="n">
        <v>89.40000000000001</v>
      </c>
      <c r="H18" s="35" t="n">
        <v>89.40000000000001</v>
      </c>
      <c r="I18" s="35" t="n">
        <v>89.40000000000001</v>
      </c>
      <c r="J18" s="35" t="n">
        <v>89.40000000000001</v>
      </c>
      <c r="K18" s="35" t="n">
        <v>0</v>
      </c>
      <c r="L18" s="23" t="inlineStr">
        <is>
          <t>Stable</t>
        </is>
      </c>
    </row>
    <row r="19" ht="16" customHeight="1">
      <c r="B19" s="25" t="inlineStr">
        <is>
          <t>MXL</t>
        </is>
      </c>
      <c r="C19" s="26" t="inlineStr">
        <is>
          <t>MaxLinear, Inc.</t>
        </is>
      </c>
      <c r="D19" s="45" t="inlineStr">
        <is>
          <t>Small Cap</t>
        </is>
      </c>
      <c r="E19" s="39" t="n">
        <v>89</v>
      </c>
      <c r="F19" s="39" t="n">
        <v>90.2</v>
      </c>
      <c r="G19" s="39" t="n">
        <v>88.59999999999999</v>
      </c>
      <c r="H19" s="39" t="n">
        <v>85.40000000000001</v>
      </c>
      <c r="I19" s="39" t="n">
        <v>90.2</v>
      </c>
      <c r="J19" s="39" t="n">
        <v>85.40000000000001</v>
      </c>
      <c r="K19" s="39" t="n">
        <v>4.799999999999997</v>
      </c>
      <c r="L19" s="23" t="inlineStr">
        <is>
          <t>Stable</t>
        </is>
      </c>
    </row>
    <row r="20" ht="16" customHeight="1">
      <c r="B20" s="19" t="inlineStr">
        <is>
          <t>SPRU</t>
        </is>
      </c>
      <c r="C20" s="20" t="inlineStr">
        <is>
          <t>Spruce Power Holding Corporation</t>
        </is>
      </c>
      <c r="D20" s="42" t="inlineStr">
        <is>
          <t>Nano Cap</t>
        </is>
      </c>
      <c r="E20" s="35" t="n">
        <v>88.40000000000001</v>
      </c>
      <c r="F20" s="35" t="n">
        <v>86.7</v>
      </c>
      <c r="G20" s="35" t="n">
        <v>90.09999999999999</v>
      </c>
      <c r="H20" s="35" t="n">
        <v>90.09999999999999</v>
      </c>
      <c r="I20" s="35" t="n">
        <v>90.09999999999999</v>
      </c>
      <c r="J20" s="35" t="n">
        <v>86.7</v>
      </c>
      <c r="K20" s="35" t="n">
        <v>3.399999999999991</v>
      </c>
      <c r="L20" s="23" t="inlineStr">
        <is>
          <t>Stable</t>
        </is>
      </c>
    </row>
    <row r="21" ht="16" customHeight="1">
      <c r="B21" s="25" t="inlineStr">
        <is>
          <t>CDRE</t>
        </is>
      </c>
      <c r="C21" s="26" t="inlineStr">
        <is>
          <t>Cadre Holdings, Inc.</t>
        </is>
      </c>
      <c r="D21" s="45" t="inlineStr">
        <is>
          <t>Small Cap</t>
        </is>
      </c>
      <c r="E21" s="39" t="n">
        <v>88.3</v>
      </c>
      <c r="F21" s="39" t="n">
        <v>87.90000000000001</v>
      </c>
      <c r="G21" s="39" t="n">
        <v>88.7</v>
      </c>
      <c r="H21" s="39" t="n">
        <v>89.2</v>
      </c>
      <c r="I21" s="39" t="n">
        <v>89.2</v>
      </c>
      <c r="J21" s="39" t="n">
        <v>87.90000000000001</v>
      </c>
      <c r="K21" s="39" t="n">
        <v>1.299999999999997</v>
      </c>
      <c r="L21" s="23" t="inlineStr">
        <is>
          <t>Stable</t>
        </is>
      </c>
    </row>
    <row r="22" ht="16" customHeight="1">
      <c r="B22" s="19" t="inlineStr">
        <is>
          <t>ADTN</t>
        </is>
      </c>
      <c r="C22" s="20" t="inlineStr">
        <is>
          <t>ADTRAN Holdings, Inc.</t>
        </is>
      </c>
      <c r="D22" s="42" t="inlineStr">
        <is>
          <t>Small Cap</t>
        </is>
      </c>
      <c r="E22" s="35" t="n">
        <v>87.3</v>
      </c>
      <c r="F22" s="35" t="n">
        <v>83.3</v>
      </c>
      <c r="G22" s="35" t="n">
        <v>91.3</v>
      </c>
      <c r="H22" s="35" t="n">
        <v>91.5</v>
      </c>
      <c r="I22" s="35" t="n">
        <v>91.5</v>
      </c>
      <c r="J22" s="35" t="n">
        <v>83.3</v>
      </c>
      <c r="K22" s="35" t="n">
        <v>8.200000000000003</v>
      </c>
      <c r="L22" s="23" t="inlineStr">
        <is>
          <t>Stable</t>
        </is>
      </c>
    </row>
    <row r="23" ht="16" customHeight="1">
      <c r="B23" s="25" t="inlineStr">
        <is>
          <t>PKE</t>
        </is>
      </c>
      <c r="C23" s="26" t="inlineStr">
        <is>
          <t>Park Aerospace Corp.</t>
        </is>
      </c>
      <c r="D23" s="45" t="inlineStr">
        <is>
          <t>Small Cap</t>
        </is>
      </c>
      <c r="E23" s="39" t="n">
        <v>87.2</v>
      </c>
      <c r="F23" s="39" t="n">
        <v>84.2</v>
      </c>
      <c r="G23" s="39" t="n">
        <v>89.90000000000001</v>
      </c>
      <c r="H23" s="39" t="n">
        <v>90.7</v>
      </c>
      <c r="I23" s="39" t="n">
        <v>90.7</v>
      </c>
      <c r="J23" s="39" t="n">
        <v>84.2</v>
      </c>
      <c r="K23" s="39" t="n">
        <v>6.5</v>
      </c>
      <c r="L23" s="23" t="inlineStr">
        <is>
          <t>Stable</t>
        </is>
      </c>
    </row>
    <row r="24" ht="16" customHeight="1">
      <c r="B24" s="19" t="inlineStr">
        <is>
          <t>CODA</t>
        </is>
      </c>
      <c r="C24" s="20" t="inlineStr">
        <is>
          <t>Coda Octopus Group, Inc.</t>
        </is>
      </c>
      <c r="D24" s="42" t="inlineStr">
        <is>
          <t>Nano Cap</t>
        </is>
      </c>
      <c r="E24" s="35" t="n">
        <v>86.5</v>
      </c>
      <c r="F24" s="35" t="n">
        <v>85.7</v>
      </c>
      <c r="G24" s="35" t="n">
        <v>87.2</v>
      </c>
      <c r="H24" s="35" t="n">
        <v>87.2</v>
      </c>
      <c r="I24" s="35" t="n">
        <v>87.2</v>
      </c>
      <c r="J24" s="35" t="n">
        <v>85.7</v>
      </c>
      <c r="K24" s="35" t="n">
        <v>1.5</v>
      </c>
      <c r="L24" s="23" t="inlineStr">
        <is>
          <t>Stable</t>
        </is>
      </c>
    </row>
    <row r="25" ht="16" customHeight="1">
      <c r="B25" s="25" t="inlineStr">
        <is>
          <t>MVST</t>
        </is>
      </c>
      <c r="C25" s="26" t="inlineStr">
        <is>
          <t>Microvast Holdings, Inc.</t>
        </is>
      </c>
      <c r="D25" s="45" t="inlineStr">
        <is>
          <t>Small Cap</t>
        </is>
      </c>
      <c r="E25" s="39" t="n">
        <v>86</v>
      </c>
      <c r="F25" s="39" t="n">
        <v>82.8</v>
      </c>
      <c r="G25" s="39" t="n">
        <v>89</v>
      </c>
      <c r="H25" s="39" t="n">
        <v>89.59999999999999</v>
      </c>
      <c r="I25" s="39" t="n">
        <v>89.59999999999999</v>
      </c>
      <c r="J25" s="39" t="n">
        <v>82.8</v>
      </c>
      <c r="K25" s="39" t="n">
        <v>6.799999999999997</v>
      </c>
      <c r="L25" s="23" t="inlineStr">
        <is>
          <t>Stable</t>
        </is>
      </c>
    </row>
    <row r="26" ht="16" customHeight="1">
      <c r="B26" s="19" t="inlineStr">
        <is>
          <t>CLFD</t>
        </is>
      </c>
      <c r="C26" s="20" t="inlineStr">
        <is>
          <t>Clearfield, Inc.</t>
        </is>
      </c>
      <c r="D26" s="42" t="inlineStr">
        <is>
          <t>Small Cap</t>
        </is>
      </c>
      <c r="E26" s="35" t="n">
        <v>85.59999999999999</v>
      </c>
      <c r="F26" s="35" t="n">
        <v>81.90000000000001</v>
      </c>
      <c r="G26" s="35" t="n">
        <v>88.7</v>
      </c>
      <c r="H26" s="35" t="n">
        <v>90.2</v>
      </c>
      <c r="I26" s="35" t="n">
        <v>90.2</v>
      </c>
      <c r="J26" s="35" t="n">
        <v>81.90000000000001</v>
      </c>
      <c r="K26" s="35" t="n">
        <v>8.299999999999997</v>
      </c>
      <c r="L26" s="23" t="inlineStr">
        <is>
          <t>Stable</t>
        </is>
      </c>
    </row>
    <row r="27" ht="16" customHeight="1">
      <c r="B27" s="25" t="inlineStr">
        <is>
          <t>ISSC</t>
        </is>
      </c>
      <c r="C27" s="26" t="inlineStr">
        <is>
          <t>Innovative Solutions and Support, Inc.</t>
        </is>
      </c>
      <c r="D27" s="45" t="inlineStr">
        <is>
          <t>Small Cap</t>
        </is>
      </c>
      <c r="E27" s="39" t="n">
        <v>85.40000000000001</v>
      </c>
      <c r="F27" s="39" t="n">
        <v>81.8</v>
      </c>
      <c r="G27" s="39" t="n">
        <v>89.40000000000001</v>
      </c>
      <c r="H27" s="39" t="n">
        <v>88</v>
      </c>
      <c r="I27" s="39" t="n">
        <v>89.40000000000001</v>
      </c>
      <c r="J27" s="39" t="n">
        <v>81.8</v>
      </c>
      <c r="K27" s="39" t="n">
        <v>7.600000000000009</v>
      </c>
      <c r="L27" s="23" t="inlineStr">
        <is>
          <t>Stable</t>
        </is>
      </c>
    </row>
    <row r="28" ht="16" customHeight="1">
      <c r="B28" s="19" t="inlineStr">
        <is>
          <t>CECO</t>
        </is>
      </c>
      <c r="C28" s="20" t="inlineStr">
        <is>
          <t>CECO Environmental Corp.</t>
        </is>
      </c>
      <c r="D28" s="42" t="inlineStr">
        <is>
          <t>Small Cap</t>
        </is>
      </c>
      <c r="E28" s="35" t="n">
        <v>85.3</v>
      </c>
      <c r="F28" s="35" t="n">
        <v>83.40000000000001</v>
      </c>
      <c r="G28" s="35" t="n">
        <v>86.8</v>
      </c>
      <c r="H28" s="35" t="n">
        <v>88.3</v>
      </c>
      <c r="I28" s="35" t="n">
        <v>88.3</v>
      </c>
      <c r="J28" s="35" t="n">
        <v>83.40000000000001</v>
      </c>
      <c r="K28" s="35" t="n">
        <v>4.899999999999991</v>
      </c>
      <c r="L28" s="23" t="inlineStr">
        <is>
          <t>Stable</t>
        </is>
      </c>
    </row>
    <row r="29" ht="16" customHeight="1">
      <c r="B29" s="25" t="inlineStr">
        <is>
          <t>ALNT</t>
        </is>
      </c>
      <c r="C29" s="26" t="inlineStr">
        <is>
          <t>Allient Inc.</t>
        </is>
      </c>
      <c r="D29" s="45" t="inlineStr">
        <is>
          <t>Small Cap</t>
        </is>
      </c>
      <c r="E29" s="39" t="n">
        <v>85.2</v>
      </c>
      <c r="F29" s="39" t="n">
        <v>82</v>
      </c>
      <c r="G29" s="39" t="n">
        <v>87.59999999999999</v>
      </c>
      <c r="H29" s="39" t="n">
        <v>89.8</v>
      </c>
      <c r="I29" s="39" t="n">
        <v>89.8</v>
      </c>
      <c r="J29" s="39" t="n">
        <v>82</v>
      </c>
      <c r="K29" s="39" t="n">
        <v>7.799999999999997</v>
      </c>
      <c r="L29" s="23" t="inlineStr">
        <is>
          <t>Stable</t>
        </is>
      </c>
    </row>
    <row r="30" ht="16" customHeight="1">
      <c r="B30" s="19" t="inlineStr">
        <is>
          <t>TGEN</t>
        </is>
      </c>
      <c r="C30" s="20" t="inlineStr">
        <is>
          <t>Tecogen Inc.</t>
        </is>
      </c>
      <c r="D30" s="42" t="inlineStr">
        <is>
          <t>Nano Cap</t>
        </is>
      </c>
      <c r="E30" s="35" t="n">
        <v>84.8</v>
      </c>
      <c r="F30" s="35" t="n">
        <v>83</v>
      </c>
      <c r="G30" s="35" t="n">
        <v>85.90000000000001</v>
      </c>
      <c r="H30" s="35" t="n">
        <v>88.2</v>
      </c>
      <c r="I30" s="35" t="n">
        <v>88.2</v>
      </c>
      <c r="J30" s="35" t="n">
        <v>83</v>
      </c>
      <c r="K30" s="35" t="n">
        <v>5.200000000000003</v>
      </c>
      <c r="L30" s="23" t="inlineStr">
        <is>
          <t>Stable</t>
        </is>
      </c>
    </row>
    <row r="31" ht="16" customHeight="1">
      <c r="B31" s="25" t="inlineStr">
        <is>
          <t>TAYD</t>
        </is>
      </c>
      <c r="C31" s="26" t="inlineStr">
        <is>
          <t>Taylor Devices, Inc.</t>
        </is>
      </c>
      <c r="D31" s="45" t="inlineStr">
        <is>
          <t>Nano Cap</t>
        </is>
      </c>
      <c r="E31" s="39" t="n">
        <v>84.59999999999999</v>
      </c>
      <c r="F31" s="39" t="n">
        <v>86.8</v>
      </c>
      <c r="G31" s="39" t="n">
        <v>84.59999999999999</v>
      </c>
      <c r="H31" s="39" t="n">
        <v>75.7</v>
      </c>
      <c r="I31" s="39" t="n">
        <v>86.8</v>
      </c>
      <c r="J31" s="39" t="n">
        <v>75.7</v>
      </c>
      <c r="K31" s="39" t="n">
        <v>11.09999999999999</v>
      </c>
      <c r="L31" s="85" t="inlineStr">
        <is>
          <t>Moderate</t>
        </is>
      </c>
    </row>
    <row r="32" ht="16" customHeight="1">
      <c r="B32" s="19" t="inlineStr">
        <is>
          <t>COMM</t>
        </is>
      </c>
      <c r="C32" s="20" t="inlineStr">
        <is>
          <t>CommScope Holding Company, Inc.</t>
        </is>
      </c>
      <c r="D32" s="42" t="inlineStr">
        <is>
          <t>Breakout</t>
        </is>
      </c>
      <c r="E32" s="35" t="n">
        <v>84.09999999999999</v>
      </c>
      <c r="F32" s="35" t="n">
        <v>86.3</v>
      </c>
      <c r="G32" s="35" t="n">
        <v>83.59999999999999</v>
      </c>
      <c r="H32" s="35" t="n">
        <v>76.5</v>
      </c>
      <c r="I32" s="35" t="n">
        <v>86.3</v>
      </c>
      <c r="J32" s="35" t="n">
        <v>76.5</v>
      </c>
      <c r="K32" s="35" t="n">
        <v>9.799999999999997</v>
      </c>
      <c r="L32" s="23" t="inlineStr">
        <is>
          <t>Stable</t>
        </is>
      </c>
    </row>
    <row r="33" ht="16" customHeight="1">
      <c r="B33" s="25" t="inlineStr">
        <is>
          <t>ALGM</t>
        </is>
      </c>
      <c r="C33" s="26" t="inlineStr">
        <is>
          <t>Allegro MicroSystems, Inc.</t>
        </is>
      </c>
      <c r="D33" s="45" t="inlineStr">
        <is>
          <t>Breakout</t>
        </is>
      </c>
      <c r="E33" s="39" t="n">
        <v>83.40000000000001</v>
      </c>
      <c r="F33" s="39" t="n">
        <v>80.90000000000001</v>
      </c>
      <c r="G33" s="39" t="n">
        <v>86</v>
      </c>
      <c r="H33" s="39" t="n">
        <v>86</v>
      </c>
      <c r="I33" s="39" t="n">
        <v>86</v>
      </c>
      <c r="J33" s="39" t="n">
        <v>80.90000000000001</v>
      </c>
      <c r="K33" s="39" t="n">
        <v>5.099999999999994</v>
      </c>
      <c r="L33" s="23" t="inlineStr">
        <is>
          <t>Stable</t>
        </is>
      </c>
    </row>
    <row r="34" ht="16" customHeight="1">
      <c r="B34" s="19" t="inlineStr">
        <is>
          <t>RFIL</t>
        </is>
      </c>
      <c r="C34" s="20" t="inlineStr">
        <is>
          <t>RF Industries, Ltd.</t>
        </is>
      </c>
      <c r="D34" s="42" t="inlineStr">
        <is>
          <t>Nano Cap</t>
        </is>
      </c>
      <c r="E34" s="35" t="n">
        <v>81.3</v>
      </c>
      <c r="F34" s="35" t="n">
        <v>75.7</v>
      </c>
      <c r="G34" s="35" t="n">
        <v>86.59999999999999</v>
      </c>
      <c r="H34" s="35" t="n">
        <v>87.40000000000001</v>
      </c>
      <c r="I34" s="35" t="n">
        <v>87.40000000000001</v>
      </c>
      <c r="J34" s="35" t="n">
        <v>75.7</v>
      </c>
      <c r="K34" s="35" t="n">
        <v>11.7</v>
      </c>
      <c r="L34" s="85" t="inlineStr">
        <is>
          <t>Moderate</t>
        </is>
      </c>
    </row>
    <row r="35" ht="16" customHeight="1">
      <c r="B35" s="25" t="inlineStr">
        <is>
          <t>XMTR</t>
        </is>
      </c>
      <c r="C35" s="26" t="inlineStr">
        <is>
          <t>Xometry, Inc.</t>
        </is>
      </c>
      <c r="D35" s="45" t="inlineStr">
        <is>
          <t>Breakout</t>
        </is>
      </c>
      <c r="E35" s="39" t="n">
        <v>81.2</v>
      </c>
      <c r="F35" s="39" t="n">
        <v>78.2</v>
      </c>
      <c r="G35" s="39" t="n">
        <v>84.2</v>
      </c>
      <c r="H35" s="39" t="n">
        <v>84.59999999999999</v>
      </c>
      <c r="I35" s="39" t="n">
        <v>84.59999999999999</v>
      </c>
      <c r="J35" s="39" t="n">
        <v>78.2</v>
      </c>
      <c r="K35" s="39" t="n">
        <v>6.399999999999991</v>
      </c>
      <c r="L35" s="23" t="inlineStr">
        <is>
          <t>Stable</t>
        </is>
      </c>
    </row>
    <row r="36" ht="16" customHeight="1">
      <c r="B36" s="19" t="inlineStr">
        <is>
          <t>KRMN</t>
        </is>
      </c>
      <c r="C36" s="20" t="inlineStr">
        <is>
          <t>Karman Holdings Inc.</t>
        </is>
      </c>
      <c r="D36" s="42" t="inlineStr">
        <is>
          <t>Breakout</t>
        </is>
      </c>
      <c r="E36" s="35" t="n">
        <v>81</v>
      </c>
      <c r="F36" s="35" t="n">
        <v>80</v>
      </c>
      <c r="G36" s="35" t="n">
        <v>82</v>
      </c>
      <c r="H36" s="35" t="n">
        <v>82</v>
      </c>
      <c r="I36" s="35" t="n">
        <v>82</v>
      </c>
      <c r="J36" s="35" t="n">
        <v>80</v>
      </c>
      <c r="K36" s="35" t="n">
        <v>2</v>
      </c>
      <c r="L36" s="23" t="inlineStr">
        <is>
          <t>Stable</t>
        </is>
      </c>
    </row>
    <row r="37" ht="16" customHeight="1">
      <c r="B37" s="25" t="inlineStr">
        <is>
          <t>MRAM</t>
        </is>
      </c>
      <c r="C37" s="26" t="inlineStr">
        <is>
          <t>Everspin Technologies, Inc.</t>
        </is>
      </c>
      <c r="D37" s="45" t="inlineStr">
        <is>
          <t>Nano Cap</t>
        </is>
      </c>
      <c r="E37" s="39" t="n">
        <v>80.40000000000001</v>
      </c>
      <c r="F37" s="39" t="n">
        <v>76.59999999999999</v>
      </c>
      <c r="G37" s="39" t="n">
        <v>84.09999999999999</v>
      </c>
      <c r="H37" s="39" t="n">
        <v>84.90000000000001</v>
      </c>
      <c r="I37" s="39" t="n">
        <v>84.90000000000001</v>
      </c>
      <c r="J37" s="39" t="n">
        <v>76.59999999999999</v>
      </c>
      <c r="K37" s="39" t="n">
        <v>8.300000000000011</v>
      </c>
      <c r="L37" s="23" t="inlineStr">
        <is>
          <t>Stable</t>
        </is>
      </c>
    </row>
    <row r="38" ht="16" customHeight="1">
      <c r="B38" s="19" t="inlineStr">
        <is>
          <t>SCTQ</t>
        </is>
      </c>
      <c r="C38" s="20" t="inlineStr">
        <is>
          <t>Spectra Systems Corporation</t>
        </is>
      </c>
      <c r="D38" s="42" t="inlineStr">
        <is>
          <t>Nano Cap</t>
        </is>
      </c>
      <c r="E38" s="35" t="n">
        <v>80.2</v>
      </c>
      <c r="F38" s="35" t="n">
        <v>77.2</v>
      </c>
      <c r="G38" s="35" t="n">
        <v>83.2</v>
      </c>
      <c r="H38" s="35" t="n">
        <v>83.2</v>
      </c>
      <c r="I38" s="35" t="n">
        <v>83.2</v>
      </c>
      <c r="J38" s="35" t="n">
        <v>77.2</v>
      </c>
      <c r="K38" s="35" t="n">
        <v>6</v>
      </c>
      <c r="L38" s="23" t="inlineStr">
        <is>
          <t>Stable</t>
        </is>
      </c>
    </row>
    <row r="39" ht="16" customHeight="1">
      <c r="B39" s="25" t="inlineStr">
        <is>
          <t>ZEO</t>
        </is>
      </c>
      <c r="C39" s="26" t="inlineStr">
        <is>
          <t>Zeo Energy Corp.</t>
        </is>
      </c>
      <c r="D39" s="45" t="inlineStr">
        <is>
          <t>Nano Cap</t>
        </is>
      </c>
      <c r="E39" s="39" t="n">
        <v>80.09999999999999</v>
      </c>
      <c r="F39" s="39" t="n">
        <v>76.7</v>
      </c>
      <c r="G39" s="39" t="n">
        <v>83.40000000000001</v>
      </c>
      <c r="H39" s="39" t="n">
        <v>83.40000000000001</v>
      </c>
      <c r="I39" s="39" t="n">
        <v>83.40000000000001</v>
      </c>
      <c r="J39" s="39" t="n">
        <v>76.7</v>
      </c>
      <c r="K39" s="39" t="n">
        <v>6.700000000000003</v>
      </c>
      <c r="L39" s="23" t="inlineStr">
        <is>
          <t>Stable</t>
        </is>
      </c>
    </row>
    <row r="40" ht="16" customHeight="1">
      <c r="B40" s="19" t="inlineStr">
        <is>
          <t>RUN</t>
        </is>
      </c>
      <c r="C40" s="20" t="inlineStr">
        <is>
          <t>Sunrun Inc.</t>
        </is>
      </c>
      <c r="D40" s="42" t="inlineStr">
        <is>
          <t>Breakout</t>
        </is>
      </c>
      <c r="E40" s="35" t="n">
        <v>78.90000000000001</v>
      </c>
      <c r="F40" s="35" t="n">
        <v>81.59999999999999</v>
      </c>
      <c r="G40" s="35" t="n">
        <v>77.8</v>
      </c>
      <c r="H40" s="35" t="n">
        <v>71.59999999999999</v>
      </c>
      <c r="I40" s="35" t="n">
        <v>81.59999999999999</v>
      </c>
      <c r="J40" s="35" t="n">
        <v>71.59999999999999</v>
      </c>
      <c r="K40" s="35" t="n">
        <v>10</v>
      </c>
      <c r="L40" s="85" t="inlineStr">
        <is>
          <t>Moderate</t>
        </is>
      </c>
    </row>
    <row r="41" ht="16" customHeight="1">
      <c r="B41" s="25" t="inlineStr">
        <is>
          <t>MOG-A</t>
        </is>
      </c>
      <c r="C41" s="26" t="inlineStr">
        <is>
          <t>Moog Inc.</t>
        </is>
      </c>
      <c r="D41" s="45" t="inlineStr">
        <is>
          <t>Breakout</t>
        </is>
      </c>
      <c r="E41" s="39" t="n">
        <v>77.40000000000001</v>
      </c>
      <c r="F41" s="39" t="n">
        <v>74.90000000000001</v>
      </c>
      <c r="G41" s="39" t="n">
        <v>78.90000000000001</v>
      </c>
      <c r="H41" s="39" t="n">
        <v>81.59999999999999</v>
      </c>
      <c r="I41" s="39" t="n">
        <v>81.59999999999999</v>
      </c>
      <c r="J41" s="39" t="n">
        <v>74.90000000000001</v>
      </c>
      <c r="K41" s="39" t="n">
        <v>6.699999999999989</v>
      </c>
      <c r="L41" s="23" t="inlineStr">
        <is>
          <t>Stable</t>
        </is>
      </c>
    </row>
    <row r="42" ht="16" customHeight="1">
      <c r="B42" s="19" t="inlineStr">
        <is>
          <t>LASR</t>
        </is>
      </c>
      <c r="C42" s="20" t="inlineStr">
        <is>
          <t>nLIGHT, Inc.</t>
        </is>
      </c>
      <c r="D42" s="42" t="inlineStr">
        <is>
          <t>Breakout</t>
        </is>
      </c>
      <c r="E42" s="35" t="n">
        <v>77.40000000000001</v>
      </c>
      <c r="F42" s="35" t="n">
        <v>80.90000000000001</v>
      </c>
      <c r="G42" s="35" t="n">
        <v>75.2</v>
      </c>
      <c r="H42" s="35" t="n">
        <v>69.90000000000001</v>
      </c>
      <c r="I42" s="35" t="n">
        <v>80.90000000000001</v>
      </c>
      <c r="J42" s="35" t="n">
        <v>69.90000000000001</v>
      </c>
      <c r="K42" s="35" t="n">
        <v>11</v>
      </c>
      <c r="L42" s="85" t="inlineStr">
        <is>
          <t>Moderate</t>
        </is>
      </c>
    </row>
    <row r="43" ht="16" customHeight="1">
      <c r="B43" s="25" t="inlineStr">
        <is>
          <t>IPGP</t>
        </is>
      </c>
      <c r="C43" s="26" t="inlineStr">
        <is>
          <t>IPG Photonics Corporation</t>
        </is>
      </c>
      <c r="D43" s="45" t="inlineStr">
        <is>
          <t>Breakout</t>
        </is>
      </c>
      <c r="E43" s="39" t="n">
        <v>77.2</v>
      </c>
      <c r="F43" s="39" t="n">
        <v>73.59999999999999</v>
      </c>
      <c r="G43" s="39" t="n">
        <v>80.59999999999999</v>
      </c>
      <c r="H43" s="39" t="n">
        <v>81.5</v>
      </c>
      <c r="I43" s="39" t="n">
        <v>81.5</v>
      </c>
      <c r="J43" s="39" t="n">
        <v>73.59999999999999</v>
      </c>
      <c r="K43" s="39" t="n">
        <v>7.900000000000006</v>
      </c>
      <c r="L43" s="23" t="inlineStr">
        <is>
          <t>Stable</t>
        </is>
      </c>
    </row>
    <row r="44" ht="16" customHeight="1">
      <c r="B44" s="19" t="inlineStr">
        <is>
          <t>ESE</t>
        </is>
      </c>
      <c r="C44" s="20" t="inlineStr">
        <is>
          <t>ESCO Technologies Inc.</t>
        </is>
      </c>
      <c r="D44" s="42" t="inlineStr">
        <is>
          <t>Breakout</t>
        </is>
      </c>
      <c r="E44" s="35" t="n">
        <v>76.7</v>
      </c>
      <c r="F44" s="35" t="n">
        <v>77.8</v>
      </c>
      <c r="G44" s="35" t="n">
        <v>78.5</v>
      </c>
      <c r="H44" s="35" t="n">
        <v>67.3</v>
      </c>
      <c r="I44" s="35" t="n">
        <v>78.5</v>
      </c>
      <c r="J44" s="35" t="n">
        <v>67.3</v>
      </c>
      <c r="K44" s="35" t="n">
        <v>11.2</v>
      </c>
      <c r="L44" s="85" t="inlineStr">
        <is>
          <t>Moderate</t>
        </is>
      </c>
    </row>
    <row r="45" ht="16" customHeight="1">
      <c r="B45" s="25" t="inlineStr">
        <is>
          <t>VIAV</t>
        </is>
      </c>
      <c r="C45" s="26" t="inlineStr">
        <is>
          <t>Viavi Solutions Inc.</t>
        </is>
      </c>
      <c r="D45" s="45" t="inlineStr">
        <is>
          <t>Breakout</t>
        </is>
      </c>
      <c r="E45" s="39" t="n">
        <v>76.5</v>
      </c>
      <c r="F45" s="39" t="n">
        <v>77.5</v>
      </c>
      <c r="G45" s="39" t="n">
        <v>78.2</v>
      </c>
      <c r="H45" s="39" t="n">
        <v>67.90000000000001</v>
      </c>
      <c r="I45" s="39" t="n">
        <v>78.2</v>
      </c>
      <c r="J45" s="39" t="n">
        <v>67.90000000000001</v>
      </c>
      <c r="K45" s="39" t="n">
        <v>10.3</v>
      </c>
      <c r="L45" s="85" t="inlineStr">
        <is>
          <t>Moderate</t>
        </is>
      </c>
    </row>
    <row r="47">
      <c r="B47" s="86" t="inlineStr">
        <is>
          <t>Note: Stocks with high Score Range are ranking artifacts — their attractiveness depends heavily on your investment philosophy.</t>
        </is>
      </c>
    </row>
    <row r="49" ht="22" customHeight="1">
      <c r="B49" s="16" t="inlineStr">
        <is>
          <t>TORNADO ANALYSIS — SODI (Score Impact of ±10% Weight Changes)</t>
        </is>
      </c>
      <c r="C49" s="17" t="n"/>
      <c r="D49" s="17" t="n"/>
      <c r="E49" s="17" t="n"/>
      <c r="F49" s="17" t="n"/>
      <c r="G49" s="17" t="n"/>
      <c r="H49" s="17" t="n"/>
      <c r="I49" s="17" t="n"/>
      <c r="J49" s="17" t="n"/>
      <c r="K49" s="17" t="n"/>
      <c r="L49" s="17" t="n"/>
      <c r="M49" s="17" t="n"/>
    </row>
    <row r="50" ht="18" customHeight="1">
      <c r="B50" s="18" t="inlineStr">
        <is>
          <t>Component</t>
        </is>
      </c>
      <c r="C50" s="18" t="inlineStr">
        <is>
          <t>−10% Impact</t>
        </is>
      </c>
      <c r="D50" s="18" t="inlineStr">
        <is>
          <t>+10% Impact</t>
        </is>
      </c>
    </row>
    <row r="51" ht="16" customHeight="1">
      <c r="B51" s="20" t="inlineStr">
        <is>
          <t>Rev Growth</t>
        </is>
      </c>
      <c r="C51" s="87" t="n">
        <v>-0.12</v>
      </c>
      <c r="D51" s="87" t="n">
        <v>0.12</v>
      </c>
    </row>
    <row r="52" ht="16" customHeight="1">
      <c r="B52" s="26" t="inlineStr">
        <is>
          <t>Gross Margin</t>
        </is>
      </c>
      <c r="C52" s="88" t="n">
        <v>0.72</v>
      </c>
      <c r="D52" s="88" t="n">
        <v>-0.6</v>
      </c>
    </row>
    <row r="53" ht="16" customHeight="1">
      <c r="B53" s="20" t="inlineStr">
        <is>
          <t>Dilution</t>
        </is>
      </c>
      <c r="C53" s="87" t="n">
        <v>-0.24</v>
      </c>
      <c r="D53" s="87" t="n">
        <v>0.18</v>
      </c>
    </row>
    <row r="54" ht="16" customHeight="1">
      <c r="B54" s="26" t="inlineStr">
        <is>
          <t>Insider Own</t>
        </is>
      </c>
      <c r="C54" s="88" t="n">
        <v>-0.24</v>
      </c>
      <c r="D54" s="88" t="n">
        <v>0.18</v>
      </c>
    </row>
    <row r="55" ht="16" customHeight="1">
      <c r="B55" s="20" t="inlineStr">
        <is>
          <t>Acceleration</t>
        </is>
      </c>
      <c r="C55" s="87" t="n">
        <v>-0.24</v>
      </c>
      <c r="D55" s="87" t="n">
        <v>0.18</v>
      </c>
    </row>
  </sheetData>
  <mergeCells count="6">
    <mergeCell ref="B47:M47"/>
    <mergeCell ref="A1:M1"/>
    <mergeCell ref="B14:M14"/>
    <mergeCell ref="B49:M49"/>
    <mergeCell ref="B4:M4"/>
    <mergeCell ref="A2:M2"/>
  </mergeCells>
  <conditionalFormatting sqref="E16:E45">
    <cfRule type="colorScale" priority="1">
      <colorScale>
        <cfvo type="num" val="0"/>
        <cfvo type="num" val="50"/>
        <cfvo type="num" val="100"/>
        <color rgb="00C1121F"/>
        <color rgb="00F9C74F"/>
        <color rgb="001A6B3C"/>
      </colorScale>
    </cfRule>
  </conditionalFormatting>
  <conditionalFormatting sqref="F16:F45">
    <cfRule type="colorScale" priority="2">
      <colorScale>
        <cfvo type="num" val="0"/>
        <cfvo type="num" val="50"/>
        <cfvo type="num" val="100"/>
        <color rgb="00C1121F"/>
        <color rgb="00F9C74F"/>
        <color rgb="001A6B3C"/>
      </colorScale>
    </cfRule>
  </conditionalFormatting>
  <conditionalFormatting sqref="G16:G45">
    <cfRule type="colorScale" priority="3">
      <colorScale>
        <cfvo type="num" val="0"/>
        <cfvo type="num" val="50"/>
        <cfvo type="num" val="100"/>
        <color rgb="00C1121F"/>
        <color rgb="00F9C74F"/>
        <color rgb="001A6B3C"/>
      </colorScale>
    </cfRule>
  </conditionalFormatting>
  <conditionalFormatting sqref="H16:H45">
    <cfRule type="colorScale" priority="4">
      <colorScale>
        <cfvo type="num" val="0"/>
        <cfvo type="num" val="50"/>
        <cfvo type="num" val="100"/>
        <color rgb="00C1121F"/>
        <color rgb="00F9C74F"/>
        <color rgb="001A6B3C"/>
      </colorScale>
    </cfRule>
  </conditionalFormatting>
  <conditionalFormatting sqref="K16:K45">
    <cfRule type="cellIs" priority="5" operator="greaterThan" dxfId="0">
      <formula>20</formula>
    </cfRule>
  </conditionalFormatting>
  <dataValidations count="1">
    <dataValidation sqref="C5" showDropDown="0" showInputMessage="0" showErrorMessage="0" allowBlank="1" errorTitle="Invalid Selection" error="Please select a valid scenario" type="list">
      <formula1>"Baseline,Growth Focus,Quality Focus,Insider Focus,Custom"</formula1>
    </dataValidation>
  </dataValidations>
  <pageMargins left="0.75" right="0.75" top="1" bottom="1" header="0.5" footer="0.5"/>
  <pageSetup orientation="landscape" fitToWidth="1"/>
  <drawing xmlns:r="http://schemas.openxmlformats.org/officeDocument/2006/relationships" r:id="rId1"/>
</worksheet>
</file>

<file path=xl/worksheets/sheet11.xml><?xml version="1.0" encoding="utf-8"?>
<worksheet xmlns="http://schemas.openxmlformats.org/spreadsheetml/2006/main">
  <sheetPr>
    <tabColor rgb="004FC3F7"/>
    <outlinePr summaryBelow="1" summaryRight="1"/>
    <pageSetUpPr fitToPage="1"/>
  </sheetPr>
  <dimension ref="A1:K21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8" customHeight="1">
      <c r="A1" s="30" t="inlineStr">
        <is>
          <t>QUARTERLY REVENUE TRENDS</t>
        </is>
      </c>
      <c r="B1" s="11" t="n"/>
      <c r="C1" s="11" t="n"/>
      <c r="D1" s="11" t="n"/>
      <c r="E1" s="11" t="n"/>
      <c r="F1" s="11" t="n"/>
      <c r="G1" s="11" t="n"/>
      <c r="H1" s="11" t="n"/>
      <c r="I1" s="11" t="n"/>
      <c r="J1" s="11" t="n"/>
      <c r="K1" s="11" t="n"/>
    </row>
    <row r="2" ht="22" customHeight="1">
      <c r="A2" s="31" t="inlineStr">
        <is>
          <t>Last 8 quarters of revenue and margin by company  |  March 08, 2026</t>
        </is>
      </c>
      <c r="B2" s="12" t="n"/>
      <c r="C2" s="12" t="n"/>
      <c r="D2" s="12" t="n"/>
      <c r="E2" s="12" t="n"/>
      <c r="F2" s="12" t="n"/>
      <c r="G2" s="12" t="n"/>
      <c r="H2" s="12" t="n"/>
      <c r="I2" s="12" t="n"/>
      <c r="J2" s="12" t="n"/>
      <c r="K2" s="12" t="n"/>
    </row>
    <row r="3" ht="8" customHeight="1"/>
    <row r="4" ht="22" customHeight="1">
      <c r="A4" s="16" t="inlineStr">
        <is>
          <t xml:space="preserve">  Nano Cap</t>
        </is>
      </c>
      <c r="B4" s="17" t="n"/>
      <c r="C4" s="17" t="n"/>
      <c r="D4" s="17" t="n"/>
      <c r="E4" s="17" t="n"/>
      <c r="F4" s="17" t="n"/>
      <c r="G4" s="17" t="n"/>
      <c r="H4" s="17" t="n"/>
      <c r="I4" s="17" t="n"/>
      <c r="J4" s="17" t="n"/>
      <c r="K4" s="17" t="n"/>
    </row>
    <row r="5" ht="18" customHeight="1">
      <c r="A5" s="89" t="inlineStr">
        <is>
          <t>SODI  —  Solitron Devices, Inc.</t>
        </is>
      </c>
      <c r="C5" s="90" t="inlineStr">
        <is>
          <t>Nano Cap</t>
        </is>
      </c>
      <c r="D5" s="69" t="inlineStr">
        <is>
          <t>Mkt Cap: $54M</t>
        </is>
      </c>
      <c r="E5" s="91" t="n"/>
      <c r="F5" s="91" t="n"/>
      <c r="G5" s="91" t="n"/>
      <c r="H5" s="91" t="n"/>
      <c r="I5" s="91" t="n"/>
      <c r="J5" s="91" t="n"/>
      <c r="K5" s="91" t="n"/>
    </row>
    <row r="6" ht="16" customHeight="1">
      <c r="A6" s="92" t="inlineStr"/>
      <c r="B6" s="18" t="inlineStr">
        <is>
          <t>Quarter</t>
        </is>
      </c>
      <c r="C6" s="18" t="inlineStr">
        <is>
          <t>2024-02-28</t>
        </is>
      </c>
      <c r="D6" s="18" t="inlineStr">
        <is>
          <t>2024-05-31</t>
        </is>
      </c>
      <c r="E6" s="18" t="inlineStr">
        <is>
          <t>2024-08-31</t>
        </is>
      </c>
      <c r="F6" s="18" t="inlineStr">
        <is>
          <t>2024-11-30</t>
        </is>
      </c>
      <c r="G6" s="18" t="inlineStr">
        <is>
          <t>2025-02-28</t>
        </is>
      </c>
      <c r="H6" s="18" t="inlineStr">
        <is>
          <t>2025-05-31</t>
        </is>
      </c>
      <c r="I6" s="18" t="inlineStr">
        <is>
          <t>2025-08-31</t>
        </is>
      </c>
      <c r="J6" s="18" t="inlineStr">
        <is>
          <t>2025-11-30</t>
        </is>
      </c>
    </row>
    <row r="7" ht="16" customHeight="1">
      <c r="A7" s="92" t="inlineStr"/>
      <c r="B7" s="61" t="inlineStr">
        <is>
          <t>Revenue ($M)</t>
        </is>
      </c>
      <c r="C7" s="93" t="n">
        <v>4.004</v>
      </c>
      <c r="D7" s="93" t="n">
        <v>3.967</v>
      </c>
      <c r="E7" s="93" t="n">
        <v>3.581</v>
      </c>
      <c r="F7" s="93" t="n">
        <v>3.369</v>
      </c>
      <c r="G7" s="93" t="n">
        <v>3.132</v>
      </c>
      <c r="H7" s="93" t="n">
        <v>2.7</v>
      </c>
      <c r="I7" s="93" t="n">
        <v>3.986</v>
      </c>
      <c r="J7" s="93" t="n">
        <v>5.022</v>
      </c>
    </row>
    <row r="8" ht="16" customHeight="1">
      <c r="A8" s="92" t="inlineStr"/>
      <c r="B8" s="89" t="inlineStr">
        <is>
          <t>Gross Margin %</t>
        </is>
      </c>
      <c r="C8" s="66" t="n">
        <v>0.306</v>
      </c>
      <c r="D8" s="66" t="n">
        <v>0.422</v>
      </c>
      <c r="E8" s="66" t="n">
        <v>0.206</v>
      </c>
      <c r="F8" s="66" t="n">
        <v>0.297</v>
      </c>
      <c r="G8" s="66" t="n">
        <v>0.185</v>
      </c>
      <c r="H8" s="66" t="n">
        <v>0.144</v>
      </c>
      <c r="I8" s="66" t="n">
        <v>0.209</v>
      </c>
      <c r="J8" s="66" t="n">
        <v>0.343</v>
      </c>
    </row>
    <row r="9" ht="16" customHeight="1">
      <c r="A9" s="92" t="inlineStr"/>
      <c r="B9" s="26" t="inlineStr">
        <is>
          <t>QoQ Rev Growth</t>
        </is>
      </c>
      <c r="C9" s="45" t="n"/>
      <c r="D9" s="70" t="n">
        <v>-0.00924075924075924</v>
      </c>
      <c r="E9" s="70" t="n">
        <v>-0.09730274766826318</v>
      </c>
      <c r="F9" s="70" t="n">
        <v>-0.05920134040770735</v>
      </c>
      <c r="G9" s="70" t="n">
        <v>-0.07034728406055209</v>
      </c>
      <c r="H9" s="70" t="n">
        <v>-0.1379310344827586</v>
      </c>
      <c r="I9" s="70" t="n">
        <v>0.4762962962962963</v>
      </c>
      <c r="J9" s="70" t="n">
        <v>0.2599096838936277</v>
      </c>
    </row>
    <row r="10" ht="16" customHeight="1">
      <c r="A10" s="92" t="inlineStr"/>
      <c r="B10" s="20" t="inlineStr">
        <is>
          <t>YoY Rev Growth</t>
        </is>
      </c>
      <c r="C10" s="42" t="n"/>
      <c r="D10" s="42" t="n"/>
      <c r="E10" s="42" t="n"/>
      <c r="F10" s="42" t="n"/>
      <c r="G10" s="66" t="n">
        <v>-0.2177822177822178</v>
      </c>
      <c r="H10" s="66" t="n">
        <v>-0.3193849256365011</v>
      </c>
      <c r="I10" s="66" t="n">
        <v>0.1130969003071768</v>
      </c>
      <c r="J10" s="66" t="n">
        <v>0.4906500445235975</v>
      </c>
    </row>
    <row r="11" ht="8" customHeight="1"/>
    <row r="12" ht="18" customHeight="1">
      <c r="A12" s="89" t="inlineStr">
        <is>
          <t>WSTL  —  Westell Technologies, Inc.</t>
        </is>
      </c>
      <c r="C12" s="90" t="inlineStr">
        <is>
          <t>Nano Cap</t>
        </is>
      </c>
      <c r="D12" s="69" t="inlineStr">
        <is>
          <t>Mkt Cap: $50M</t>
        </is>
      </c>
      <c r="E12" s="91" t="n"/>
      <c r="F12" s="91" t="n"/>
      <c r="G12" s="91" t="n"/>
      <c r="H12" s="91" t="n"/>
      <c r="I12" s="91" t="n"/>
      <c r="J12" s="91" t="n"/>
      <c r="K12" s="91" t="n"/>
    </row>
    <row r="13" ht="16" customHeight="1">
      <c r="A13" s="92" t="inlineStr"/>
      <c r="B13" s="18" t="inlineStr">
        <is>
          <t>Quarter</t>
        </is>
      </c>
      <c r="C13" s="18" t="inlineStr">
        <is>
          <t>2024-03-31</t>
        </is>
      </c>
      <c r="D13" s="18" t="inlineStr">
        <is>
          <t>2024-06-30</t>
        </is>
      </c>
      <c r="E13" s="18" t="inlineStr">
        <is>
          <t>2024-09-30</t>
        </is>
      </c>
      <c r="F13" s="18" t="inlineStr">
        <is>
          <t>2024-12-31</t>
        </is>
      </c>
      <c r="G13" s="18" t="inlineStr">
        <is>
          <t>2025-03-31</t>
        </is>
      </c>
      <c r="H13" s="18" t="inlineStr">
        <is>
          <t>2025-06-30</t>
        </is>
      </c>
      <c r="I13" s="18" t="inlineStr">
        <is>
          <t>2025-09-30</t>
        </is>
      </c>
      <c r="J13" s="18" t="inlineStr">
        <is>
          <t>2025-12-31</t>
        </is>
      </c>
    </row>
    <row r="14" ht="16" customHeight="1">
      <c r="A14" s="92" t="inlineStr"/>
      <c r="B14" s="61" t="inlineStr">
        <is>
          <t>Revenue ($M)</t>
        </is>
      </c>
      <c r="C14" s="93" t="n">
        <v>6.892</v>
      </c>
      <c r="D14" s="93" t="n">
        <v>8.914</v>
      </c>
      <c r="E14" s="93" t="n">
        <v>9.67</v>
      </c>
      <c r="F14" s="93" t="n">
        <v>9.816000000000001</v>
      </c>
      <c r="G14" s="93" t="n">
        <v>14.04</v>
      </c>
      <c r="H14" s="93" t="n">
        <v>19.942</v>
      </c>
      <c r="I14" s="93" t="n">
        <v>18.662</v>
      </c>
      <c r="J14" s="93" t="n">
        <v>14.386</v>
      </c>
    </row>
    <row r="15" ht="16" customHeight="1">
      <c r="A15" s="92" t="inlineStr"/>
      <c r="B15" s="89" t="inlineStr">
        <is>
          <t>Gross Margin %</t>
        </is>
      </c>
      <c r="C15" s="66" t="n">
        <v>0.33</v>
      </c>
      <c r="D15" s="66" t="n">
        <v>0.386</v>
      </c>
      <c r="E15" s="66" t="n">
        <v>0.373</v>
      </c>
      <c r="F15" s="66" t="n">
        <v>0.397</v>
      </c>
      <c r="G15" s="66" t="n">
        <v>0.439</v>
      </c>
      <c r="H15" s="66" t="n">
        <v>0.456</v>
      </c>
      <c r="I15" s="66" t="n">
        <v>0.441</v>
      </c>
      <c r="J15" s="66" t="n">
        <v>0.411</v>
      </c>
    </row>
    <row r="16" ht="16" customHeight="1">
      <c r="A16" s="92" t="inlineStr"/>
      <c r="B16" s="26" t="inlineStr">
        <is>
          <t>QoQ Rev Growth</t>
        </is>
      </c>
      <c r="C16" s="45" t="n"/>
      <c r="D16" s="70" t="n">
        <v>0.2933836331979106</v>
      </c>
      <c r="E16" s="70" t="n">
        <v>0.08481041059008301</v>
      </c>
      <c r="F16" s="70" t="n">
        <v>0.01509824198552223</v>
      </c>
      <c r="G16" s="70" t="n">
        <v>0.4303178484107579</v>
      </c>
      <c r="H16" s="70" t="n">
        <v>0.4203703703703704</v>
      </c>
      <c r="I16" s="70" t="n">
        <v>-0.06418613980543576</v>
      </c>
      <c r="J16" s="70" t="n">
        <v>-0.2291287107491158</v>
      </c>
    </row>
    <row r="17" ht="16" customHeight="1">
      <c r="A17" s="92" t="inlineStr"/>
      <c r="B17" s="20" t="inlineStr">
        <is>
          <t>YoY Rev Growth</t>
        </is>
      </c>
      <c r="C17" s="42" t="n"/>
      <c r="D17" s="42" t="n"/>
      <c r="E17" s="42" t="n"/>
      <c r="F17" s="42" t="n"/>
      <c r="G17" s="66" t="n">
        <v>1.037144515380151</v>
      </c>
      <c r="H17" s="66" t="n">
        <v>1.237155037020417</v>
      </c>
      <c r="I17" s="66" t="n">
        <v>0.9298862461220269</v>
      </c>
      <c r="J17" s="66" t="n">
        <v>0.4655664221678892</v>
      </c>
    </row>
    <row r="18" ht="8" customHeight="1"/>
    <row r="19" ht="18" customHeight="1">
      <c r="A19" s="89" t="inlineStr">
        <is>
          <t>SPRU  —  Spruce Power Holding Corporation</t>
        </is>
      </c>
      <c r="C19" s="90" t="inlineStr">
        <is>
          <t>Nano Cap</t>
        </is>
      </c>
      <c r="D19" s="69" t="inlineStr">
        <is>
          <t>Mkt Cap: $63M</t>
        </is>
      </c>
      <c r="E19" s="91" t="n"/>
      <c r="F19" s="91" t="n"/>
      <c r="G19" s="91" t="n"/>
      <c r="H19" s="91" t="n"/>
      <c r="I19" s="91" t="n"/>
      <c r="J19" s="91" t="n"/>
      <c r="K19" s="91" t="n"/>
    </row>
    <row r="20" ht="16" customHeight="1">
      <c r="A20" s="92" t="inlineStr"/>
      <c r="B20" s="18" t="inlineStr">
        <is>
          <t>Quarter</t>
        </is>
      </c>
      <c r="C20" s="18" t="inlineStr">
        <is>
          <t>2023-12-31</t>
        </is>
      </c>
      <c r="D20" s="18" t="inlineStr">
        <is>
          <t>2024-03-31</t>
        </is>
      </c>
      <c r="E20" s="18" t="inlineStr">
        <is>
          <t>2024-06-30</t>
        </is>
      </c>
      <c r="F20" s="18" t="inlineStr">
        <is>
          <t>2024-09-30</t>
        </is>
      </c>
      <c r="G20" s="18" t="inlineStr">
        <is>
          <t>2024-12-31</t>
        </is>
      </c>
      <c r="H20" s="18" t="inlineStr">
        <is>
          <t>2025-03-31</t>
        </is>
      </c>
      <c r="I20" s="18" t="inlineStr">
        <is>
          <t>2025-06-30</t>
        </is>
      </c>
      <c r="J20" s="18" t="inlineStr">
        <is>
          <t>2025-09-30</t>
        </is>
      </c>
    </row>
    <row r="21" ht="16" customHeight="1">
      <c r="A21" s="92" t="inlineStr"/>
      <c r="B21" s="61" t="inlineStr">
        <is>
          <t>Revenue ($M)</t>
        </is>
      </c>
      <c r="C21" s="93" t="n">
        <v>15.701</v>
      </c>
      <c r="D21" s="93" t="n">
        <v>18.287</v>
      </c>
      <c r="E21" s="93" t="n">
        <v>22.481</v>
      </c>
      <c r="F21" s="93" t="n">
        <v>21.378</v>
      </c>
      <c r="G21" s="93" t="n">
        <v>20.226</v>
      </c>
      <c r="H21" s="93" t="n">
        <v>23.818</v>
      </c>
      <c r="I21" s="93" t="n">
        <v>33.239</v>
      </c>
      <c r="J21" s="93" t="n">
        <v>30.727</v>
      </c>
    </row>
    <row r="22" ht="16" customHeight="1">
      <c r="A22" s="92" t="inlineStr"/>
      <c r="B22" s="89" t="inlineStr">
        <is>
          <t>Gross Margin %</t>
        </is>
      </c>
      <c r="C22" s="66" t="n">
        <v>0.264</v>
      </c>
      <c r="D22" s="66" t="n">
        <v>0.515</v>
      </c>
      <c r="E22" s="66" t="n">
        <v>0.5489999999999999</v>
      </c>
      <c r="F22" s="66" t="n">
        <v>0.5479999999999999</v>
      </c>
      <c r="G22" s="66" t="n">
        <v>0.433</v>
      </c>
      <c r="H22" s="66" t="n">
        <v>0.531</v>
      </c>
      <c r="I22" s="66" t="n">
        <v>0.716</v>
      </c>
      <c r="J22" s="66" t="n">
        <v>0.6829999999999999</v>
      </c>
    </row>
    <row r="23" ht="16" customHeight="1">
      <c r="A23" s="92" t="inlineStr"/>
      <c r="B23" s="26" t="inlineStr">
        <is>
          <t>QoQ Rev Growth</t>
        </is>
      </c>
      <c r="C23" s="45" t="n"/>
      <c r="D23" s="70" t="n">
        <v>0.1647028851665499</v>
      </c>
      <c r="E23" s="70" t="n">
        <v>0.2293432493027834</v>
      </c>
      <c r="F23" s="70" t="n">
        <v>-0.04906365375205729</v>
      </c>
      <c r="G23" s="70" t="n">
        <v>-0.0538871737300028</v>
      </c>
      <c r="H23" s="70" t="n">
        <v>0.177593196875309</v>
      </c>
      <c r="I23" s="70" t="n">
        <v>0.3955411873373079</v>
      </c>
      <c r="J23" s="70" t="n">
        <v>-0.07557387406359999</v>
      </c>
    </row>
    <row r="24" ht="16" customHeight="1">
      <c r="A24" s="92" t="inlineStr"/>
      <c r="B24" s="20" t="inlineStr">
        <is>
          <t>YoY Rev Growth</t>
        </is>
      </c>
      <c r="C24" s="42" t="n"/>
      <c r="D24" s="42" t="n"/>
      <c r="E24" s="42" t="n"/>
      <c r="F24" s="42" t="n"/>
      <c r="G24" s="66" t="n">
        <v>0.2881982039360551</v>
      </c>
      <c r="H24" s="66" t="n">
        <v>0.3024552961119921</v>
      </c>
      <c r="I24" s="66" t="n">
        <v>0.4785374316089142</v>
      </c>
      <c r="J24" s="66" t="n">
        <v>0.4373187388904481</v>
      </c>
    </row>
    <row r="25" ht="8" customHeight="1"/>
    <row r="26" ht="18" customHeight="1">
      <c r="A26" s="89" t="inlineStr">
        <is>
          <t>CODA  —  Coda Octopus Group, Inc.</t>
        </is>
      </c>
      <c r="C26" s="90" t="inlineStr">
        <is>
          <t>Nano Cap</t>
        </is>
      </c>
      <c r="D26" s="69" t="inlineStr">
        <is>
          <t>Mkt Cap: $162M</t>
        </is>
      </c>
      <c r="E26" s="91" t="n"/>
      <c r="F26" s="91" t="n"/>
      <c r="G26" s="91" t="n"/>
      <c r="H26" s="91" t="n"/>
      <c r="I26" s="91" t="n"/>
      <c r="J26" s="91" t="n"/>
      <c r="K26" s="91" t="n"/>
    </row>
    <row r="27" ht="16" customHeight="1">
      <c r="A27" s="92" t="inlineStr"/>
      <c r="B27" s="18" t="inlineStr">
        <is>
          <t>Quarter</t>
        </is>
      </c>
      <c r="C27" s="18" t="inlineStr">
        <is>
          <t>2024-01-31</t>
        </is>
      </c>
      <c r="D27" s="18" t="inlineStr">
        <is>
          <t>2024-04-30</t>
        </is>
      </c>
      <c r="E27" s="18" t="inlineStr">
        <is>
          <t>2024-07-31</t>
        </is>
      </c>
      <c r="F27" s="18" t="inlineStr">
        <is>
          <t>2024-10-31</t>
        </is>
      </c>
      <c r="G27" s="18" t="inlineStr">
        <is>
          <t>2025-01-31</t>
        </is>
      </c>
      <c r="H27" s="18" t="inlineStr">
        <is>
          <t>2025-04-30</t>
        </is>
      </c>
      <c r="I27" s="18" t="inlineStr">
        <is>
          <t>2025-07-31</t>
        </is>
      </c>
      <c r="J27" s="18" t="inlineStr">
        <is>
          <t>2025-10-31</t>
        </is>
      </c>
    </row>
    <row r="28" ht="16" customHeight="1">
      <c r="A28" s="92" t="inlineStr"/>
      <c r="B28" s="61" t="inlineStr">
        <is>
          <t>Revenue ($M)</t>
        </is>
      </c>
      <c r="C28" s="93" t="n">
        <v>4.461191</v>
      </c>
      <c r="D28" s="93" t="n">
        <v>5.323178</v>
      </c>
      <c r="E28" s="93" t="n">
        <v>5.476544</v>
      </c>
      <c r="F28" s="93" t="n">
        <v>5.055248</v>
      </c>
      <c r="G28" s="93" t="n">
        <v>5.209715</v>
      </c>
      <c r="H28" s="93" t="n">
        <v>7.017459</v>
      </c>
      <c r="I28" s="93" t="n">
        <v>7.064795</v>
      </c>
      <c r="J28" s="93" t="n">
        <v>7.271157</v>
      </c>
    </row>
    <row r="29" ht="16" customHeight="1">
      <c r="A29" s="92" t="inlineStr"/>
      <c r="B29" s="89" t="inlineStr">
        <is>
          <t>Gross Margin %</t>
        </is>
      </c>
      <c r="C29" s="66" t="n">
        <v>0.649</v>
      </c>
      <c r="D29" s="66" t="n">
        <v>0.7020000000000001</v>
      </c>
      <c r="E29" s="66" t="n">
        <v>0.7390000000000001</v>
      </c>
      <c r="F29" s="66" t="n">
        <v>0.653</v>
      </c>
      <c r="G29" s="66" t="n">
        <v>0.6579999999999999</v>
      </c>
      <c r="H29" s="66" t="n">
        <v>0.6409999999999999</v>
      </c>
      <c r="I29" s="66" t="n">
        <v>0.6829999999999999</v>
      </c>
      <c r="J29" s="66" t="n">
        <v>0.6759999999999999</v>
      </c>
    </row>
    <row r="30" ht="16" customHeight="1">
      <c r="A30" s="92" t="inlineStr"/>
      <c r="B30" s="26" t="inlineStr">
        <is>
          <t>QoQ Rev Growth</t>
        </is>
      </c>
      <c r="C30" s="45" t="n"/>
      <c r="D30" s="70" t="n">
        <v>0.1932190305234633</v>
      </c>
      <c r="E30" s="70" t="n">
        <v>0.02881098471627287</v>
      </c>
      <c r="F30" s="70" t="n">
        <v>-0.07692734688153698</v>
      </c>
      <c r="G30" s="70" t="n">
        <v>0.03055577095327469</v>
      </c>
      <c r="H30" s="70" t="n">
        <v>0.3469947972201934</v>
      </c>
      <c r="I30" s="70" t="n">
        <v>0.00674546156949403</v>
      </c>
      <c r="J30" s="70" t="n">
        <v>0.02920990630301375</v>
      </c>
    </row>
    <row r="31" ht="16" customHeight="1">
      <c r="A31" s="92" t="inlineStr"/>
      <c r="B31" s="20" t="inlineStr">
        <is>
          <t>YoY Rev Growth</t>
        </is>
      </c>
      <c r="C31" s="42" t="n"/>
      <c r="D31" s="42" t="n"/>
      <c r="E31" s="42" t="n"/>
      <c r="F31" s="42" t="n"/>
      <c r="G31" s="66" t="n">
        <v>0.1677856877233008</v>
      </c>
      <c r="H31" s="66" t="n">
        <v>0.318283739525524</v>
      </c>
      <c r="I31" s="66" t="n">
        <v>0.2900097214593729</v>
      </c>
      <c r="J31" s="66" t="n">
        <v>0.438338336714638</v>
      </c>
    </row>
    <row r="32" ht="8" customHeight="1"/>
    <row r="33" ht="18" customHeight="1">
      <c r="A33" s="89" t="inlineStr">
        <is>
          <t>TGEN  —  Tecogen Inc.</t>
        </is>
      </c>
      <c r="C33" s="90" t="inlineStr">
        <is>
          <t>Nano Cap</t>
        </is>
      </c>
      <c r="D33" s="69" t="inlineStr">
        <is>
          <t>Mkt Cap: $89M</t>
        </is>
      </c>
      <c r="E33" s="91" t="n"/>
      <c r="F33" s="91" t="n"/>
      <c r="G33" s="91" t="n"/>
      <c r="H33" s="91" t="n"/>
      <c r="I33" s="91" t="n"/>
      <c r="J33" s="91" t="n"/>
      <c r="K33" s="91" t="n"/>
    </row>
    <row r="34" ht="16" customHeight="1">
      <c r="A34" s="92" t="inlineStr"/>
      <c r="B34" s="18" t="inlineStr">
        <is>
          <t>Quarter</t>
        </is>
      </c>
      <c r="C34" s="18" t="inlineStr">
        <is>
          <t>2023-12-31</t>
        </is>
      </c>
      <c r="D34" s="18" t="inlineStr">
        <is>
          <t>2024-03-31</t>
        </is>
      </c>
      <c r="E34" s="18" t="inlineStr">
        <is>
          <t>2024-06-30</t>
        </is>
      </c>
      <c r="F34" s="18" t="inlineStr">
        <is>
          <t>2024-09-30</t>
        </is>
      </c>
      <c r="G34" s="18" t="inlineStr">
        <is>
          <t>2024-12-31</t>
        </is>
      </c>
      <c r="H34" s="18" t="inlineStr">
        <is>
          <t>2025-03-31</t>
        </is>
      </c>
      <c r="I34" s="18" t="inlineStr">
        <is>
          <t>2025-06-30</t>
        </is>
      </c>
      <c r="J34" s="18" t="inlineStr">
        <is>
          <t>2025-09-30</t>
        </is>
      </c>
    </row>
    <row r="35" ht="16" customHeight="1">
      <c r="A35" s="92" t="inlineStr"/>
      <c r="B35" s="61" t="inlineStr">
        <is>
          <t>Revenue ($M)</t>
        </is>
      </c>
      <c r="C35" s="93" t="n">
        <v>5.898313</v>
      </c>
      <c r="D35" s="93" t="n">
        <v>6.186097</v>
      </c>
      <c r="E35" s="93" t="n">
        <v>4.727787</v>
      </c>
      <c r="F35" s="93" t="n">
        <v>5.63013</v>
      </c>
      <c r="G35" s="93" t="n">
        <v>6.075522</v>
      </c>
      <c r="H35" s="93" t="n">
        <v>7.27777</v>
      </c>
      <c r="I35" s="93" t="n">
        <v>7.29482</v>
      </c>
      <c r="J35" s="93" t="n">
        <v>7.183121</v>
      </c>
    </row>
    <row r="36" ht="16" customHeight="1">
      <c r="A36" s="92" t="inlineStr"/>
      <c r="B36" s="89" t="inlineStr">
        <is>
          <t>Gross Margin %</t>
        </is>
      </c>
      <c r="C36" s="66" t="n">
        <v>0.398</v>
      </c>
      <c r="D36" s="66" t="n">
        <v>0.416</v>
      </c>
      <c r="E36" s="66" t="n">
        <v>0.44</v>
      </c>
      <c r="F36" s="66" t="n">
        <v>0.441</v>
      </c>
      <c r="G36" s="66" t="n">
        <v>0.45</v>
      </c>
      <c r="H36" s="66" t="n">
        <v>0.4429999999999999</v>
      </c>
      <c r="I36" s="66" t="n">
        <v>0.338</v>
      </c>
      <c r="J36" s="66" t="n">
        <v>0.304</v>
      </c>
    </row>
    <row r="37" ht="16" customHeight="1">
      <c r="A37" s="92" t="inlineStr"/>
      <c r="B37" s="26" t="inlineStr">
        <is>
          <t>QoQ Rev Growth</t>
        </is>
      </c>
      <c r="C37" s="45" t="n"/>
      <c r="D37" s="70" t="n">
        <v>0.04879090004209678</v>
      </c>
      <c r="E37" s="70" t="n">
        <v>-0.2357399180775859</v>
      </c>
      <c r="F37" s="70" t="n">
        <v>0.190859486690073</v>
      </c>
      <c r="G37" s="70" t="n">
        <v>0.07910865290854741</v>
      </c>
      <c r="H37" s="70" t="n">
        <v>0.1978839019922897</v>
      </c>
      <c r="I37" s="70" t="n">
        <v>0.00234275059530598</v>
      </c>
      <c r="J37" s="70" t="n">
        <v>-0.01531209817377262</v>
      </c>
    </row>
    <row r="38" ht="16" customHeight="1">
      <c r="A38" s="92" t="inlineStr"/>
      <c r="B38" s="20" t="inlineStr">
        <is>
          <t>YoY Rev Growth</t>
        </is>
      </c>
      <c r="C38" s="42" t="n"/>
      <c r="D38" s="42" t="n"/>
      <c r="E38" s="42" t="n"/>
      <c r="F38" s="42" t="n"/>
      <c r="G38" s="66" t="n">
        <v>0.03004401428001532</v>
      </c>
      <c r="H38" s="66" t="n">
        <v>0.1764720145836705</v>
      </c>
      <c r="I38" s="66" t="n">
        <v>0.5429671429783109</v>
      </c>
      <c r="J38" s="66" t="n">
        <v>0.2758357267061329</v>
      </c>
    </row>
    <row r="39" ht="8" customHeight="1"/>
    <row r="40" ht="18" customHeight="1">
      <c r="A40" s="89" t="inlineStr">
        <is>
          <t>TAYD  —  Taylor Devices, Inc.</t>
        </is>
      </c>
      <c r="C40" s="90" t="inlineStr">
        <is>
          <t>Nano Cap</t>
        </is>
      </c>
      <c r="D40" s="69" t="inlineStr">
        <is>
          <t>Mkt Cap: $260M</t>
        </is>
      </c>
      <c r="E40" s="91" t="n"/>
      <c r="F40" s="91" t="n"/>
      <c r="G40" s="91" t="n"/>
      <c r="H40" s="91" t="n"/>
      <c r="I40" s="91" t="n"/>
      <c r="J40" s="91" t="n"/>
      <c r="K40" s="91" t="n"/>
    </row>
    <row r="41" ht="16" customHeight="1">
      <c r="A41" s="92" t="inlineStr"/>
      <c r="B41" s="18" t="inlineStr">
        <is>
          <t>Quarter</t>
        </is>
      </c>
      <c r="C41" s="18" t="inlineStr">
        <is>
          <t>2024-02-29</t>
        </is>
      </c>
      <c r="D41" s="18" t="inlineStr">
        <is>
          <t>2024-05-31</t>
        </is>
      </c>
      <c r="E41" s="18" t="inlineStr">
        <is>
          <t>2024-08-31</t>
        </is>
      </c>
      <c r="F41" s="18" t="inlineStr">
        <is>
          <t>2024-11-30</t>
        </is>
      </c>
      <c r="G41" s="18" t="inlineStr">
        <is>
          <t>2025-02-28</t>
        </is>
      </c>
      <c r="H41" s="18" t="inlineStr">
        <is>
          <t>2025-05-31</t>
        </is>
      </c>
      <c r="I41" s="18" t="inlineStr">
        <is>
          <t>2025-08-31</t>
        </is>
      </c>
      <c r="J41" s="18" t="inlineStr">
        <is>
          <t>2025-11-30</t>
        </is>
      </c>
    </row>
    <row r="42" ht="16" customHeight="1">
      <c r="A42" s="92" t="inlineStr"/>
      <c r="B42" s="61" t="inlineStr">
        <is>
          <t>Revenue ($M)</t>
        </is>
      </c>
      <c r="C42" s="93" t="n">
        <v>12.254093</v>
      </c>
      <c r="D42" s="93" t="n">
        <v>12.065211</v>
      </c>
      <c r="E42" s="93" t="n">
        <v>11.617856</v>
      </c>
      <c r="F42" s="93" t="n">
        <v>3.8861</v>
      </c>
      <c r="G42" s="93" t="n">
        <v>10.564834</v>
      </c>
      <c r="H42" s="93" t="n">
        <v>15.561154</v>
      </c>
      <c r="I42" s="93" t="n">
        <v>9.91835</v>
      </c>
      <c r="J42" s="93" t="n">
        <v>11.603472</v>
      </c>
    </row>
    <row r="43" ht="16" customHeight="1">
      <c r="A43" s="92" t="inlineStr"/>
      <c r="B43" s="89" t="inlineStr">
        <is>
          <t>Gross Margin %</t>
        </is>
      </c>
      <c r="C43" s="66" t="n">
        <v>0.469</v>
      </c>
      <c r="D43" s="66" t="n">
        <v>0.488</v>
      </c>
      <c r="E43" s="66" t="n">
        <v>0.474</v>
      </c>
      <c r="F43" s="66" t="n">
        <v>1</v>
      </c>
      <c r="G43" s="66" t="n">
        <v>0.429</v>
      </c>
      <c r="H43" s="66" t="n">
        <v>0.486</v>
      </c>
      <c r="I43" s="66" t="n">
        <v>0.448</v>
      </c>
      <c r="J43" s="66" t="n">
        <v>0.47</v>
      </c>
    </row>
    <row r="44" ht="16" customHeight="1">
      <c r="A44" s="92" t="inlineStr"/>
      <c r="B44" s="26" t="inlineStr">
        <is>
          <t>QoQ Rev Growth</t>
        </is>
      </c>
      <c r="C44" s="45" t="n"/>
      <c r="D44" s="70" t="n">
        <v>-0.01541378868268749</v>
      </c>
      <c r="E44" s="70" t="n">
        <v>-0.03707809171343957</v>
      </c>
      <c r="F44" s="70" t="n">
        <v>-0.665506268970798</v>
      </c>
      <c r="G44" s="70" t="n">
        <v>1.718621239803402</v>
      </c>
      <c r="H44" s="70" t="n">
        <v>0.4729198773970325</v>
      </c>
      <c r="I44" s="70" t="n">
        <v>-0.3626211783521968</v>
      </c>
      <c r="J44" s="70" t="n">
        <v>0.1698994288364496</v>
      </c>
    </row>
    <row r="45" ht="16" customHeight="1">
      <c r="A45" s="92" t="inlineStr"/>
      <c r="B45" s="20" t="inlineStr">
        <is>
          <t>YoY Rev Growth</t>
        </is>
      </c>
      <c r="C45" s="42" t="n"/>
      <c r="D45" s="42" t="n"/>
      <c r="E45" s="42" t="n"/>
      <c r="F45" s="42" t="n"/>
      <c r="G45" s="66" t="n">
        <v>-0.1378526342178079</v>
      </c>
      <c r="H45" s="66" t="n">
        <v>0.2897539877255358</v>
      </c>
      <c r="I45" s="66" t="n">
        <v>-0.1462839615157909</v>
      </c>
      <c r="J45" s="66" t="n">
        <v>1.985891253441754</v>
      </c>
    </row>
    <row r="46" ht="8" customHeight="1"/>
    <row r="47" ht="18" customHeight="1">
      <c r="A47" s="89" t="inlineStr">
        <is>
          <t>RFIL  —  RF Industries, Ltd.</t>
        </is>
      </c>
      <c r="C47" s="90" t="inlineStr">
        <is>
          <t>Nano Cap</t>
        </is>
      </c>
      <c r="D47" s="69" t="inlineStr">
        <is>
          <t>Mkt Cap: $112M</t>
        </is>
      </c>
      <c r="E47" s="91" t="n"/>
      <c r="F47" s="91" t="n"/>
      <c r="G47" s="91" t="n"/>
      <c r="H47" s="91" t="n"/>
      <c r="I47" s="91" t="n"/>
      <c r="J47" s="91" t="n"/>
      <c r="K47" s="91" t="n"/>
    </row>
    <row r="48" ht="16" customHeight="1">
      <c r="A48" s="92" t="inlineStr"/>
      <c r="B48" s="18" t="inlineStr">
        <is>
          <t>Quarter</t>
        </is>
      </c>
      <c r="C48" s="18" t="inlineStr">
        <is>
          <t>2024-01-31</t>
        </is>
      </c>
      <c r="D48" s="18" t="inlineStr">
        <is>
          <t>2024-04-30</t>
        </is>
      </c>
      <c r="E48" s="18" t="inlineStr">
        <is>
          <t>2024-07-31</t>
        </is>
      </c>
      <c r="F48" s="18" t="inlineStr">
        <is>
          <t>2024-10-31</t>
        </is>
      </c>
      <c r="G48" s="18" t="inlineStr">
        <is>
          <t>2025-01-31</t>
        </is>
      </c>
      <c r="H48" s="18" t="inlineStr">
        <is>
          <t>2025-04-30</t>
        </is>
      </c>
      <c r="I48" s="18" t="inlineStr">
        <is>
          <t>2025-07-31</t>
        </is>
      </c>
      <c r="J48" s="18" t="inlineStr">
        <is>
          <t>2025-10-31</t>
        </is>
      </c>
    </row>
    <row r="49" ht="16" customHeight="1">
      <c r="A49" s="92" t="inlineStr"/>
      <c r="B49" s="61" t="inlineStr">
        <is>
          <t>Revenue ($M)</t>
        </is>
      </c>
      <c r="C49" s="93" t="n">
        <v>13.458</v>
      </c>
      <c r="D49" s="93" t="n">
        <v>16.11</v>
      </c>
      <c r="E49" s="93" t="n">
        <v>16.836</v>
      </c>
      <c r="F49" s="93" t="n">
        <v>18.453</v>
      </c>
      <c r="G49" s="93" t="n">
        <v>19.2</v>
      </c>
      <c r="H49" s="93" t="n">
        <v>18.91</v>
      </c>
      <c r="I49" s="93" t="n">
        <v>19.79</v>
      </c>
      <c r="J49" s="93" t="n">
        <v>22.686</v>
      </c>
    </row>
    <row r="50" ht="16" customHeight="1">
      <c r="A50" s="92" t="inlineStr"/>
      <c r="B50" s="89" t="inlineStr">
        <is>
          <t>Gross Margin %</t>
        </is>
      </c>
      <c r="C50" s="66" t="n">
        <v>0.188</v>
      </c>
      <c r="D50" s="66" t="n">
        <v>0.26</v>
      </c>
      <c r="E50" s="66" t="n">
        <v>0.256</v>
      </c>
      <c r="F50" s="66" t="n">
        <v>0.274</v>
      </c>
      <c r="G50" s="66" t="n">
        <v>0.262</v>
      </c>
      <c r="H50" s="66" t="n">
        <v>0.279</v>
      </c>
      <c r="I50" s="66" t="n">
        <v>0.301</v>
      </c>
      <c r="J50" s="66" t="n">
        <v>0.368</v>
      </c>
    </row>
    <row r="51" ht="16" customHeight="1">
      <c r="A51" s="92" t="inlineStr"/>
      <c r="B51" s="26" t="inlineStr">
        <is>
          <t>QoQ Rev Growth</t>
        </is>
      </c>
      <c r="C51" s="45" t="n"/>
      <c r="D51" s="70" t="n">
        <v>0.1970575122603656</v>
      </c>
      <c r="E51" s="70" t="n">
        <v>0.04506517690875233</v>
      </c>
      <c r="F51" s="70" t="n">
        <v>0.09604419101924448</v>
      </c>
      <c r="G51" s="70" t="n">
        <v>0.04048122256543651</v>
      </c>
      <c r="H51" s="70" t="n">
        <v>-0.01510416666666667</v>
      </c>
      <c r="I51" s="70" t="n">
        <v>0.04653622421998942</v>
      </c>
      <c r="J51" s="70" t="n">
        <v>0.1463365336028297</v>
      </c>
    </row>
    <row r="52" ht="16" customHeight="1">
      <c r="A52" s="92" t="inlineStr"/>
      <c r="B52" s="20" t="inlineStr">
        <is>
          <t>YoY Rev Growth</t>
        </is>
      </c>
      <c r="C52" s="42" t="n"/>
      <c r="D52" s="42" t="n"/>
      <c r="E52" s="42" t="n"/>
      <c r="F52" s="42" t="n"/>
      <c r="G52" s="66" t="n">
        <v>0.4266607222469906</v>
      </c>
      <c r="H52" s="66" t="n">
        <v>0.1738050900062073</v>
      </c>
      <c r="I52" s="66" t="n">
        <v>0.1754573532905678</v>
      </c>
      <c r="J52" s="66" t="n">
        <v>0.2293935945374736</v>
      </c>
    </row>
    <row r="53" ht="8" customHeight="1"/>
    <row r="54" ht="18" customHeight="1">
      <c r="A54" s="89" t="inlineStr">
        <is>
          <t>MRAM  —  Everspin Technologies, Inc.</t>
        </is>
      </c>
      <c r="C54" s="90" t="inlineStr">
        <is>
          <t>Nano Cap</t>
        </is>
      </c>
      <c r="D54" s="69" t="inlineStr">
        <is>
          <t>Mkt Cap: $200M</t>
        </is>
      </c>
      <c r="E54" s="91" t="n"/>
      <c r="F54" s="91" t="n"/>
      <c r="G54" s="91" t="n"/>
      <c r="H54" s="91" t="n"/>
      <c r="I54" s="91" t="n"/>
      <c r="J54" s="91" t="n"/>
      <c r="K54" s="91" t="n"/>
    </row>
    <row r="55" ht="16" customHeight="1">
      <c r="A55" s="92" t="inlineStr"/>
      <c r="B55" s="18" t="inlineStr">
        <is>
          <t>Quarter</t>
        </is>
      </c>
      <c r="C55" s="18" t="inlineStr">
        <is>
          <t>2024-03-31</t>
        </is>
      </c>
      <c r="D55" s="18" t="inlineStr">
        <is>
          <t>2024-06-30</t>
        </is>
      </c>
      <c r="E55" s="18" t="inlineStr">
        <is>
          <t>2024-09-30</t>
        </is>
      </c>
      <c r="F55" s="18" t="inlineStr">
        <is>
          <t>2024-12-31</t>
        </is>
      </c>
      <c r="G55" s="18" t="inlineStr">
        <is>
          <t>2025-03-31</t>
        </is>
      </c>
      <c r="H55" s="18" t="inlineStr">
        <is>
          <t>2025-06-30</t>
        </is>
      </c>
      <c r="I55" s="18" t="inlineStr">
        <is>
          <t>2025-09-30</t>
        </is>
      </c>
      <c r="J55" s="18" t="inlineStr">
        <is>
          <t>2025-12-31</t>
        </is>
      </c>
    </row>
    <row r="56" ht="16" customHeight="1">
      <c r="A56" s="92" t="inlineStr"/>
      <c r="B56" s="61" t="inlineStr">
        <is>
          <t>Revenue ($M)</t>
        </is>
      </c>
      <c r="C56" s="93" t="n">
        <v>14.43</v>
      </c>
      <c r="D56" s="93" t="n">
        <v>10.636</v>
      </c>
      <c r="E56" s="93" t="n">
        <v>12.093</v>
      </c>
      <c r="F56" s="93" t="n">
        <v>13.243</v>
      </c>
      <c r="G56" s="93" t="n">
        <v>13.138</v>
      </c>
      <c r="H56" s="93" t="n">
        <v>13.201</v>
      </c>
      <c r="I56" s="93" t="n">
        <v>14.06</v>
      </c>
      <c r="J56" s="93" t="n">
        <v>14.803</v>
      </c>
    </row>
    <row r="57" ht="16" customHeight="1">
      <c r="A57" s="92" t="inlineStr"/>
      <c r="B57" s="89" t="inlineStr">
        <is>
          <t>Gross Margin %</t>
        </is>
      </c>
      <c r="C57" s="66" t="n">
        <v>0.5649999999999999</v>
      </c>
      <c r="D57" s="66" t="n">
        <v>0.49</v>
      </c>
      <c r="E57" s="66" t="n">
        <v>0.492</v>
      </c>
      <c r="F57" s="66" t="n">
        <v>0.513</v>
      </c>
      <c r="G57" s="66" t="n">
        <v>0.514</v>
      </c>
      <c r="H57" s="66" t="n">
        <v>0.513</v>
      </c>
      <c r="I57" s="66" t="n">
        <v>0.513</v>
      </c>
      <c r="J57" s="66" t="n">
        <v>0.508</v>
      </c>
    </row>
    <row r="58" ht="16" customHeight="1">
      <c r="A58" s="92" t="inlineStr"/>
      <c r="B58" s="26" t="inlineStr">
        <is>
          <t>QoQ Rev Growth</t>
        </is>
      </c>
      <c r="C58" s="45" t="n"/>
      <c r="D58" s="70" t="n">
        <v>-0.2629244629244629</v>
      </c>
      <c r="E58" s="70" t="n">
        <v>0.136987589319293</v>
      </c>
      <c r="F58" s="70" t="n">
        <v>0.09509633672372447</v>
      </c>
      <c r="G58" s="70" t="n">
        <v>-0.007928717058068413</v>
      </c>
      <c r="H58" s="70" t="n">
        <v>0.004795250418632973</v>
      </c>
      <c r="I58" s="70" t="n">
        <v>0.06507082796757821</v>
      </c>
      <c r="J58" s="70" t="n">
        <v>0.05284495021337127</v>
      </c>
    </row>
    <row r="59" ht="16" customHeight="1">
      <c r="A59" s="92" t="inlineStr"/>
      <c r="B59" s="20" t="inlineStr">
        <is>
          <t>YoY Rev Growth</t>
        </is>
      </c>
      <c r="C59" s="42" t="n"/>
      <c r="D59" s="42" t="n"/>
      <c r="E59" s="42" t="n"/>
      <c r="F59" s="42" t="n"/>
      <c r="G59" s="66" t="n">
        <v>-0.08953568953568954</v>
      </c>
      <c r="H59" s="66" t="n">
        <v>0.2411620910116585</v>
      </c>
      <c r="I59" s="66" t="n">
        <v>0.162656082030927</v>
      </c>
      <c r="J59" s="66" t="n">
        <v>0.1177980820055879</v>
      </c>
    </row>
    <row r="60" ht="8" customHeight="1"/>
    <row r="61" ht="18" customHeight="1">
      <c r="A61" s="89" t="inlineStr">
        <is>
          <t>SCTQ  —  Spectra Systems Corporation</t>
        </is>
      </c>
      <c r="C61" s="90" t="inlineStr">
        <is>
          <t>Nano Cap</t>
        </is>
      </c>
      <c r="D61" s="69" t="inlineStr">
        <is>
          <t>Mkt Cap: $97M</t>
        </is>
      </c>
      <c r="E61" s="91" t="n"/>
      <c r="F61" s="91" t="n"/>
      <c r="G61" s="91" t="n"/>
      <c r="H61" s="91" t="n"/>
      <c r="I61" s="91" t="n"/>
      <c r="J61" s="91" t="n"/>
      <c r="K61" s="91" t="n"/>
    </row>
    <row r="62" ht="16" customHeight="1">
      <c r="A62" s="92" t="inlineStr"/>
      <c r="B62" s="18" t="inlineStr">
        <is>
          <t>Quarter</t>
        </is>
      </c>
      <c r="C62" s="18" t="inlineStr">
        <is>
          <t>2022-06-30</t>
        </is>
      </c>
      <c r="D62" s="18" t="inlineStr">
        <is>
          <t>2022-12-31</t>
        </is>
      </c>
      <c r="E62" s="18" t="inlineStr">
        <is>
          <t>2023-06-30</t>
        </is>
      </c>
      <c r="F62" s="18" t="inlineStr">
        <is>
          <t>2023-12-31</t>
        </is>
      </c>
      <c r="G62" s="18" t="inlineStr">
        <is>
          <t>2024-06-30</t>
        </is>
      </c>
      <c r="H62" s="18" t="inlineStr">
        <is>
          <t>2024-12-31</t>
        </is>
      </c>
      <c r="I62" s="18" t="inlineStr">
        <is>
          <t>2025-06-30</t>
        </is>
      </c>
    </row>
    <row r="63" ht="16" customHeight="1">
      <c r="A63" s="92" t="inlineStr"/>
      <c r="B63" s="61" t="inlineStr">
        <is>
          <t>Revenue ($M)</t>
        </is>
      </c>
      <c r="C63" s="93" t="n">
        <v>8.699408</v>
      </c>
      <c r="D63" s="93" t="n">
        <v>10.671525</v>
      </c>
      <c r="E63" s="93" t="n">
        <v>5.8105</v>
      </c>
      <c r="F63" s="93" t="n">
        <v>4.3335</v>
      </c>
      <c r="G63" s="93" t="n">
        <v>22.739</v>
      </c>
      <c r="H63" s="93" t="n">
        <v>26.452</v>
      </c>
      <c r="I63" s="93" t="n">
        <v>34.965</v>
      </c>
    </row>
    <row r="64" ht="16" customHeight="1">
      <c r="A64" s="92" t="inlineStr"/>
      <c r="B64" s="89" t="inlineStr">
        <is>
          <t>Gross Margin %</t>
        </is>
      </c>
      <c r="C64" s="66" t="n">
        <v>0.6609999999999999</v>
      </c>
      <c r="D64" s="66" t="n">
        <v>0.594</v>
      </c>
      <c r="E64" s="66" t="n">
        <v>0.6920000000000001</v>
      </c>
      <c r="F64" s="66" t="n">
        <v>0.644</v>
      </c>
      <c r="G64" s="66" t="n">
        <v>0.5589999999999999</v>
      </c>
      <c r="H64" s="66" t="n">
        <v>0.408</v>
      </c>
      <c r="I64" s="66" t="n">
        <v>0.57</v>
      </c>
    </row>
    <row r="65" ht="16" customHeight="1">
      <c r="A65" s="92" t="inlineStr"/>
      <c r="B65" s="26" t="inlineStr">
        <is>
          <t>QoQ Rev Growth</t>
        </is>
      </c>
      <c r="C65" s="45" t="n"/>
      <c r="D65" s="70" t="n">
        <v>0.2266955406620772</v>
      </c>
      <c r="E65" s="70" t="n">
        <v>-0.4555136215301936</v>
      </c>
      <c r="F65" s="70" t="n">
        <v>-0.2541949918251442</v>
      </c>
      <c r="G65" s="70" t="n">
        <v>4.24725972077997</v>
      </c>
      <c r="H65" s="70" t="n">
        <v>0.1632877435243414</v>
      </c>
      <c r="I65" s="70" t="n">
        <v>0.3218282171480417</v>
      </c>
    </row>
    <row r="66" ht="16" customHeight="1">
      <c r="A66" s="92" t="inlineStr"/>
      <c r="B66" s="20" t="inlineStr">
        <is>
          <t>YoY Rev Growth</t>
        </is>
      </c>
      <c r="C66" s="42" t="n"/>
      <c r="D66" s="42" t="n"/>
      <c r="E66" s="42" t="n"/>
      <c r="F66" s="42" t="n"/>
      <c r="G66" s="66" t="n">
        <v>1.613856023306413</v>
      </c>
      <c r="H66" s="66" t="n">
        <v>1.478746008653871</v>
      </c>
      <c r="I66" s="66" t="n">
        <v>5.017554427329834</v>
      </c>
    </row>
    <row r="67" ht="8" customHeight="1"/>
    <row r="68" ht="18" customHeight="1">
      <c r="A68" s="89" t="inlineStr">
        <is>
          <t>ZEO  —  Zeo Energy Corp.</t>
        </is>
      </c>
      <c r="C68" s="90" t="inlineStr">
        <is>
          <t>Nano Cap</t>
        </is>
      </c>
      <c r="D68" s="69" t="inlineStr">
        <is>
          <t>Mkt Cap: $52M</t>
        </is>
      </c>
      <c r="E68" s="91" t="n"/>
      <c r="F68" s="91" t="n"/>
      <c r="G68" s="91" t="n"/>
      <c r="H68" s="91" t="n"/>
      <c r="I68" s="91" t="n"/>
      <c r="J68" s="91" t="n"/>
      <c r="K68" s="91" t="n"/>
    </row>
    <row r="69" ht="16" customHeight="1">
      <c r="A69" s="92" t="inlineStr"/>
      <c r="B69" s="18" t="inlineStr">
        <is>
          <t>Quarter</t>
        </is>
      </c>
      <c r="C69" s="18" t="inlineStr">
        <is>
          <t>2023-12-31</t>
        </is>
      </c>
      <c r="D69" s="18" t="inlineStr">
        <is>
          <t>2024-03-31</t>
        </is>
      </c>
      <c r="E69" s="18" t="inlineStr">
        <is>
          <t>2024-06-30</t>
        </is>
      </c>
      <c r="F69" s="18" t="inlineStr">
        <is>
          <t>2024-09-30</t>
        </is>
      </c>
      <c r="G69" s="18" t="inlineStr">
        <is>
          <t>2024-12-31</t>
        </is>
      </c>
      <c r="H69" s="18" t="inlineStr">
        <is>
          <t>2025-03-31</t>
        </is>
      </c>
      <c r="I69" s="18" t="inlineStr">
        <is>
          <t>2025-06-30</t>
        </is>
      </c>
      <c r="J69" s="18" t="inlineStr">
        <is>
          <t>2025-09-30</t>
        </is>
      </c>
    </row>
    <row r="70" ht="16" customHeight="1">
      <c r="A70" s="92" t="inlineStr"/>
      <c r="B70" s="61" t="inlineStr">
        <is>
          <t>Revenue ($M)</t>
        </is>
      </c>
      <c r="C70" s="93" t="n">
        <v>22.985981</v>
      </c>
      <c r="D70" s="93" t="n">
        <v>20.142156</v>
      </c>
      <c r="E70" s="93" t="n">
        <v>14.711826</v>
      </c>
      <c r="F70" s="93" t="n">
        <v>19.657905</v>
      </c>
      <c r="G70" s="93" t="n">
        <v>18.64775</v>
      </c>
      <c r="H70" s="93" t="n">
        <v>8.783695</v>
      </c>
      <c r="I70" s="93" t="n">
        <v>18.10193</v>
      </c>
      <c r="J70" s="93" t="n">
        <v>23.896448</v>
      </c>
    </row>
    <row r="71" ht="16" customHeight="1">
      <c r="A71" s="92" t="inlineStr"/>
      <c r="B71" s="89" t="inlineStr">
        <is>
          <t>Gross Margin %</t>
        </is>
      </c>
      <c r="C71" s="66" t="n">
        <v>1.381</v>
      </c>
      <c r="D71" s="66" t="n">
        <v>0.307</v>
      </c>
      <c r="E71" s="66" t="n">
        <v>0.298</v>
      </c>
      <c r="F71" s="66" t="n">
        <v>0.502</v>
      </c>
      <c r="G71" s="66" t="n">
        <v>0.613</v>
      </c>
      <c r="H71" s="66" t="n">
        <v>0.455</v>
      </c>
      <c r="I71" s="66" t="n">
        <v>0.598</v>
      </c>
      <c r="J71" s="66" t="n">
        <v>0.579</v>
      </c>
    </row>
    <row r="72" ht="16" customHeight="1">
      <c r="A72" s="92" t="inlineStr"/>
      <c r="B72" s="26" t="inlineStr">
        <is>
          <t>QoQ Rev Growth</t>
        </is>
      </c>
      <c r="C72" s="45" t="n"/>
      <c r="D72" s="70" t="n">
        <v>-0.1237199752318598</v>
      </c>
      <c r="E72" s="70" t="n">
        <v>-0.2696002354464934</v>
      </c>
      <c r="F72" s="70" t="n">
        <v>0.3361974917321616</v>
      </c>
      <c r="G72" s="70" t="n">
        <v>-0.05138670677266982</v>
      </c>
      <c r="H72" s="70" t="n">
        <v>-0.5289675698140527</v>
      </c>
      <c r="I72" s="70" t="n">
        <v>1.060855938190021</v>
      </c>
      <c r="J72" s="70" t="n">
        <v>0.3201049832807883</v>
      </c>
    </row>
    <row r="73" ht="16" customHeight="1">
      <c r="A73" s="92" t="inlineStr"/>
      <c r="B73" s="20" t="inlineStr">
        <is>
          <t>YoY Rev Growth</t>
        </is>
      </c>
      <c r="C73" s="42" t="n"/>
      <c r="D73" s="42" t="n"/>
      <c r="E73" s="42" t="n"/>
      <c r="F73" s="42" t="n"/>
      <c r="G73" s="66" t="n">
        <v>-0.1887337764701015</v>
      </c>
      <c r="H73" s="66" t="n">
        <v>-0.5639148559866183</v>
      </c>
      <c r="I73" s="66" t="n">
        <v>0.2304339379761561</v>
      </c>
      <c r="J73" s="66" t="n">
        <v>0.21561519398939</v>
      </c>
    </row>
    <row r="74" ht="8" customHeight="1"/>
    <row r="75" ht="22" customHeight="1">
      <c r="A75" s="16" t="inlineStr">
        <is>
          <t xml:space="preserve">  Small Cap</t>
        </is>
      </c>
      <c r="B75" s="17" t="n"/>
      <c r="C75" s="17" t="n"/>
      <c r="D75" s="17" t="n"/>
      <c r="E75" s="17" t="n"/>
      <c r="F75" s="17" t="n"/>
      <c r="G75" s="17" t="n"/>
      <c r="H75" s="17" t="n"/>
      <c r="I75" s="17" t="n"/>
      <c r="J75" s="17" t="n"/>
      <c r="K75" s="17" t="n"/>
    </row>
    <row r="76" ht="18" customHeight="1">
      <c r="A76" s="89" t="inlineStr">
        <is>
          <t>GOGO  —  Gogo Inc.</t>
        </is>
      </c>
      <c r="C76" s="90" t="inlineStr">
        <is>
          <t>Small Cap</t>
        </is>
      </c>
      <c r="D76" s="69" t="inlineStr">
        <is>
          <t>Mkt Cap: $704M</t>
        </is>
      </c>
      <c r="E76" s="91" t="n"/>
      <c r="F76" s="91" t="n"/>
      <c r="G76" s="91" t="n"/>
      <c r="H76" s="91" t="n"/>
      <c r="I76" s="91" t="n"/>
      <c r="J76" s="91" t="n"/>
      <c r="K76" s="91" t="n"/>
    </row>
    <row r="77" ht="16" customHeight="1">
      <c r="A77" s="92" t="inlineStr"/>
      <c r="B77" s="18" t="inlineStr">
        <is>
          <t>Quarter</t>
        </is>
      </c>
      <c r="C77" s="18" t="inlineStr">
        <is>
          <t>2024-03-31</t>
        </is>
      </c>
      <c r="D77" s="18" t="inlineStr">
        <is>
          <t>2024-06-30</t>
        </is>
      </c>
      <c r="E77" s="18" t="inlineStr">
        <is>
          <t>2024-09-30</t>
        </is>
      </c>
      <c r="F77" s="18" t="inlineStr">
        <is>
          <t>2024-12-31</t>
        </is>
      </c>
      <c r="G77" s="18" t="inlineStr">
        <is>
          <t>2025-03-31</t>
        </is>
      </c>
      <c r="H77" s="18" t="inlineStr">
        <is>
          <t>2025-06-30</t>
        </is>
      </c>
      <c r="I77" s="18" t="inlineStr">
        <is>
          <t>2025-09-30</t>
        </is>
      </c>
      <c r="J77" s="18" t="inlineStr">
        <is>
          <t>2025-12-31</t>
        </is>
      </c>
    </row>
    <row r="78" ht="16" customHeight="1">
      <c r="A78" s="92" t="inlineStr"/>
      <c r="B78" s="61" t="inlineStr">
        <is>
          <t>Revenue ($M)</t>
        </is>
      </c>
      <c r="C78" s="93" t="n">
        <v>104.322</v>
      </c>
      <c r="D78" s="93" t="n">
        <v>102.059</v>
      </c>
      <c r="E78" s="93" t="n">
        <v>100.529</v>
      </c>
      <c r="F78" s="93" t="n">
        <v>137.799</v>
      </c>
      <c r="G78" s="93" t="n">
        <v>230.307</v>
      </c>
      <c r="H78" s="93" t="n">
        <v>226.038</v>
      </c>
      <c r="I78" s="93" t="n">
        <v>223.585</v>
      </c>
      <c r="J78" s="93" t="n">
        <v>230.561</v>
      </c>
    </row>
    <row r="79" ht="16" customHeight="1">
      <c r="A79" s="92" t="inlineStr"/>
      <c r="B79" s="89" t="inlineStr">
        <is>
          <t>Gross Margin %</t>
        </is>
      </c>
      <c r="C79" s="66" t="n">
        <v>0.677</v>
      </c>
      <c r="D79" s="66" t="n">
        <v>0.654</v>
      </c>
      <c r="E79" s="66" t="n">
        <v>0.66</v>
      </c>
      <c r="F79" s="66" t="n">
        <v>0.54</v>
      </c>
      <c r="G79" s="66" t="n">
        <v>0.5920000000000001</v>
      </c>
      <c r="H79" s="66" t="n">
        <v>0.473</v>
      </c>
      <c r="I79" s="66" t="n">
        <v>0.59</v>
      </c>
      <c r="J79" s="66" t="n">
        <v>0.705</v>
      </c>
    </row>
    <row r="80" ht="16" customHeight="1">
      <c r="A80" s="92" t="inlineStr"/>
      <c r="B80" s="26" t="inlineStr">
        <is>
          <t>QoQ Rev Growth</t>
        </is>
      </c>
      <c r="C80" s="45" t="n"/>
      <c r="D80" s="70" t="n">
        <v>-0.02169245221525661</v>
      </c>
      <c r="E80" s="70" t="n">
        <v>-0.01499132854525324</v>
      </c>
      <c r="F80" s="70" t="n">
        <v>0.3707387917914234</v>
      </c>
      <c r="G80" s="70" t="n">
        <v>0.671325626455925</v>
      </c>
      <c r="H80" s="70" t="n">
        <v>-0.01853612786411182</v>
      </c>
      <c r="I80" s="70" t="n">
        <v>-0.01085215760181916</v>
      </c>
      <c r="J80" s="70" t="n">
        <v>0.03120066194064897</v>
      </c>
    </row>
    <row r="81" ht="16" customHeight="1">
      <c r="A81" s="92" t="inlineStr"/>
      <c r="B81" s="20" t="inlineStr">
        <is>
          <t>YoY Rev Growth</t>
        </is>
      </c>
      <c r="C81" s="42" t="n"/>
      <c r="D81" s="42" t="n"/>
      <c r="E81" s="42" t="n"/>
      <c r="F81" s="42" t="n"/>
      <c r="G81" s="66" t="n">
        <v>1.2076551446483</v>
      </c>
      <c r="H81" s="66" t="n">
        <v>1.214777726609118</v>
      </c>
      <c r="I81" s="66" t="n">
        <v>1.224084592505645</v>
      </c>
      <c r="J81" s="66" t="n">
        <v>0.673168890920834</v>
      </c>
    </row>
    <row r="82" ht="8" customHeight="1"/>
    <row r="83" ht="18" customHeight="1">
      <c r="A83" s="89" t="inlineStr">
        <is>
          <t>MXL  —  MaxLinear, Inc.</t>
        </is>
      </c>
      <c r="C83" s="90" t="inlineStr">
        <is>
          <t>Small Cap</t>
        </is>
      </c>
      <c r="D83" s="69" t="inlineStr">
        <is>
          <t>Mkt Cap: $1359M</t>
        </is>
      </c>
      <c r="E83" s="91" t="n"/>
      <c r="F83" s="91" t="n"/>
      <c r="G83" s="91" t="n"/>
      <c r="H83" s="91" t="n"/>
      <c r="I83" s="91" t="n"/>
      <c r="J83" s="91" t="n"/>
      <c r="K83" s="91" t="n"/>
    </row>
    <row r="84" ht="16" customHeight="1">
      <c r="A84" s="92" t="inlineStr"/>
      <c r="B84" s="18" t="inlineStr">
        <is>
          <t>Quarter</t>
        </is>
      </c>
      <c r="C84" s="18" t="inlineStr">
        <is>
          <t>2024-03-31</t>
        </is>
      </c>
      <c r="D84" s="18" t="inlineStr">
        <is>
          <t>2024-06-30</t>
        </is>
      </c>
      <c r="E84" s="18" t="inlineStr">
        <is>
          <t>2024-09-30</t>
        </is>
      </c>
      <c r="F84" s="18" t="inlineStr">
        <is>
          <t>2024-12-31</t>
        </is>
      </c>
      <c r="G84" s="18" t="inlineStr">
        <is>
          <t>2025-03-31</t>
        </is>
      </c>
      <c r="H84" s="18" t="inlineStr">
        <is>
          <t>2025-06-30</t>
        </is>
      </c>
      <c r="I84" s="18" t="inlineStr">
        <is>
          <t>2025-09-30</t>
        </is>
      </c>
      <c r="J84" s="18" t="inlineStr">
        <is>
          <t>2025-12-31</t>
        </is>
      </c>
    </row>
    <row r="85" ht="16" customHeight="1">
      <c r="A85" s="92" t="inlineStr"/>
      <c r="B85" s="61" t="inlineStr">
        <is>
          <t>Revenue ($M)</t>
        </is>
      </c>
      <c r="C85" s="93" t="n">
        <v>95.26900000000001</v>
      </c>
      <c r="D85" s="93" t="n">
        <v>91.98999999999999</v>
      </c>
      <c r="E85" s="93" t="n">
        <v>81.102</v>
      </c>
      <c r="F85" s="93" t="n">
        <v>92.167</v>
      </c>
      <c r="G85" s="93" t="n">
        <v>95.93300000000001</v>
      </c>
      <c r="H85" s="93" t="n">
        <v>108.813</v>
      </c>
      <c r="I85" s="93" t="n">
        <v>126.459</v>
      </c>
      <c r="J85" s="93" t="n">
        <v>136.436</v>
      </c>
    </row>
    <row r="86" ht="16" customHeight="1">
      <c r="A86" s="92" t="inlineStr"/>
      <c r="B86" s="89" t="inlineStr">
        <is>
          <t>Gross Margin %</t>
        </is>
      </c>
      <c r="C86" s="66" t="n">
        <v>0.511</v>
      </c>
      <c r="D86" s="66" t="n">
        <v>0.539</v>
      </c>
      <c r="E86" s="66" t="n">
        <v>0.536</v>
      </c>
      <c r="F86" s="66" t="n">
        <v>0.55</v>
      </c>
      <c r="G86" s="66" t="n">
        <v>0.555</v>
      </c>
      <c r="H86" s="66" t="n">
        <v>0.5600000000000001</v>
      </c>
      <c r="I86" s="66" t="n">
        <v>0.5660000000000001</v>
      </c>
      <c r="J86" s="66" t="n">
        <v>0.5760000000000001</v>
      </c>
    </row>
    <row r="87" ht="16" customHeight="1">
      <c r="A87" s="92" t="inlineStr"/>
      <c r="B87" s="26" t="inlineStr">
        <is>
          <t>QoQ Rev Growth</t>
        </is>
      </c>
      <c r="C87" s="45" t="n"/>
      <c r="D87" s="70" t="n">
        <v>-0.03441833125150889</v>
      </c>
      <c r="E87" s="70" t="n">
        <v>-0.1183606913794978</v>
      </c>
      <c r="F87" s="70" t="n">
        <v>0.1364331335848684</v>
      </c>
      <c r="G87" s="70" t="n">
        <v>0.04086061171569</v>
      </c>
      <c r="H87" s="70" t="n">
        <v>0.1342603692160153</v>
      </c>
      <c r="I87" s="70" t="n">
        <v>0.1621681232940917</v>
      </c>
      <c r="J87" s="70" t="n">
        <v>0.07889513597292402</v>
      </c>
    </row>
    <row r="88" ht="16" customHeight="1">
      <c r="A88" s="92" t="inlineStr"/>
      <c r="B88" s="20" t="inlineStr">
        <is>
          <t>YoY Rev Growth</t>
        </is>
      </c>
      <c r="C88" s="42" t="n"/>
      <c r="D88" s="42" t="n"/>
      <c r="E88" s="42" t="n"/>
      <c r="F88" s="42" t="n"/>
      <c r="G88" s="66" t="n">
        <v>0.006969738319915188</v>
      </c>
      <c r="H88" s="66" t="n">
        <v>0.1828785737580172</v>
      </c>
      <c r="I88" s="66" t="n">
        <v>0.5592587112524968</v>
      </c>
      <c r="J88" s="66" t="n">
        <v>0.4803129102607224</v>
      </c>
    </row>
    <row r="89" ht="8" customHeight="1"/>
    <row r="90" ht="18" customHeight="1">
      <c r="A90" s="89" t="inlineStr">
        <is>
          <t>CDRE  —  Cadre Holdings, Inc.</t>
        </is>
      </c>
      <c r="C90" s="90" t="inlineStr">
        <is>
          <t>Small Cap</t>
        </is>
      </c>
      <c r="D90" s="69" t="inlineStr">
        <is>
          <t>Mkt Cap: $1770M</t>
        </is>
      </c>
      <c r="E90" s="91" t="n"/>
      <c r="F90" s="91" t="n"/>
      <c r="G90" s="91" t="n"/>
      <c r="H90" s="91" t="n"/>
      <c r="I90" s="91" t="n"/>
      <c r="J90" s="91" t="n"/>
      <c r="K90" s="91" t="n"/>
    </row>
    <row r="91" ht="16" customHeight="1">
      <c r="A91" s="92" t="inlineStr"/>
      <c r="B91" s="18" t="inlineStr">
        <is>
          <t>Quarter</t>
        </is>
      </c>
      <c r="C91" s="18" t="inlineStr">
        <is>
          <t>2023-12-31</t>
        </is>
      </c>
      <c r="D91" s="18" t="inlineStr">
        <is>
          <t>2024-03-31</t>
        </is>
      </c>
      <c r="E91" s="18" t="inlineStr">
        <is>
          <t>2024-06-30</t>
        </is>
      </c>
      <c r="F91" s="18" t="inlineStr">
        <is>
          <t>2024-09-30</t>
        </is>
      </c>
      <c r="G91" s="18" t="inlineStr">
        <is>
          <t>2024-12-31</t>
        </is>
      </c>
      <c r="H91" s="18" t="inlineStr">
        <is>
          <t>2025-03-31</t>
        </is>
      </c>
      <c r="I91" s="18" t="inlineStr">
        <is>
          <t>2025-06-30</t>
        </is>
      </c>
      <c r="J91" s="18" t="inlineStr">
        <is>
          <t>2025-09-30</t>
        </is>
      </c>
    </row>
    <row r="92" ht="16" customHeight="1">
      <c r="A92" s="92" t="inlineStr"/>
      <c r="B92" s="61" t="inlineStr">
        <is>
          <t>Revenue ($M)</t>
        </is>
      </c>
      <c r="C92" s="93" t="n">
        <v>124.583</v>
      </c>
      <c r="D92" s="93" t="n">
        <v>137.86</v>
      </c>
      <c r="E92" s="93" t="n">
        <v>144.309</v>
      </c>
      <c r="F92" s="93" t="n">
        <v>109.408</v>
      </c>
      <c r="G92" s="93" t="n">
        <v>175.984</v>
      </c>
      <c r="H92" s="93" t="n">
        <v>130.106</v>
      </c>
      <c r="I92" s="93" t="n">
        <v>157.109</v>
      </c>
      <c r="J92" s="93" t="n">
        <v>155.869</v>
      </c>
    </row>
    <row r="93" ht="16" customHeight="1">
      <c r="A93" s="92" t="inlineStr"/>
      <c r="B93" s="89" t="inlineStr">
        <is>
          <t>Gross Margin %</t>
        </is>
      </c>
      <c r="C93" s="66" t="n">
        <v>0.399</v>
      </c>
      <c r="D93" s="66" t="n">
        <v>0.418</v>
      </c>
      <c r="E93" s="66" t="n">
        <v>0.406</v>
      </c>
      <c r="F93" s="66" t="n">
        <v>0.366</v>
      </c>
      <c r="G93" s="66" t="n">
        <v>0.439</v>
      </c>
      <c r="H93" s="66" t="n">
        <v>0.431</v>
      </c>
      <c r="I93" s="66" t="n">
        <v>0.409</v>
      </c>
      <c r="J93" s="66" t="n">
        <v>0.419</v>
      </c>
    </row>
    <row r="94" ht="16" customHeight="1">
      <c r="A94" s="92" t="inlineStr"/>
      <c r="B94" s="26" t="inlineStr">
        <is>
          <t>QoQ Rev Growth</t>
        </is>
      </c>
      <c r="C94" s="45" t="n"/>
      <c r="D94" s="70" t="n">
        <v>0.1065715225993916</v>
      </c>
      <c r="E94" s="70" t="n">
        <v>0.04677934136080081</v>
      </c>
      <c r="F94" s="70" t="n">
        <v>-0.2418490877214865</v>
      </c>
      <c r="G94" s="70" t="n">
        <v>0.6085112606025154</v>
      </c>
      <c r="H94" s="70" t="n">
        <v>-0.2606941540140013</v>
      </c>
      <c r="I94" s="70" t="n">
        <v>0.2075461546738813</v>
      </c>
      <c r="J94" s="70" t="n">
        <v>-0.007892609589520651</v>
      </c>
    </row>
    <row r="95" ht="16" customHeight="1">
      <c r="A95" s="92" t="inlineStr"/>
      <c r="B95" s="20" t="inlineStr">
        <is>
          <t>YoY Rev Growth</t>
        </is>
      </c>
      <c r="C95" s="42" t="n"/>
      <c r="D95" s="42" t="n"/>
      <c r="E95" s="42" t="n"/>
      <c r="F95" s="42" t="n"/>
      <c r="G95" s="66" t="n">
        <v>0.4125843814966729</v>
      </c>
      <c r="H95" s="66" t="n">
        <v>-0.05624546641520383</v>
      </c>
      <c r="I95" s="66" t="n">
        <v>0.08869855656958332</v>
      </c>
      <c r="J95" s="66" t="n">
        <v>0.4246581602807838</v>
      </c>
    </row>
    <row r="96" ht="8" customHeight="1"/>
    <row r="97" ht="18" customHeight="1">
      <c r="A97" s="89" t="inlineStr">
        <is>
          <t>ADTN  —  ADTRAN Holdings, Inc.</t>
        </is>
      </c>
      <c r="C97" s="90" t="inlineStr">
        <is>
          <t>Small Cap</t>
        </is>
      </c>
      <c r="D97" s="69" t="inlineStr">
        <is>
          <t>Mkt Cap: $774M</t>
        </is>
      </c>
      <c r="E97" s="91" t="n"/>
      <c r="F97" s="91" t="n"/>
      <c r="G97" s="91" t="n"/>
      <c r="H97" s="91" t="n"/>
      <c r="I97" s="91" t="n"/>
      <c r="J97" s="91" t="n"/>
      <c r="K97" s="91" t="n"/>
    </row>
    <row r="98" ht="16" customHeight="1">
      <c r="A98" s="92" t="inlineStr"/>
      <c r="B98" s="18" t="inlineStr">
        <is>
          <t>Quarter</t>
        </is>
      </c>
      <c r="C98" s="18" t="inlineStr">
        <is>
          <t>2024-03-31</t>
        </is>
      </c>
      <c r="D98" s="18" t="inlineStr">
        <is>
          <t>2024-06-30</t>
        </is>
      </c>
      <c r="E98" s="18" t="inlineStr">
        <is>
          <t>2024-09-30</t>
        </is>
      </c>
      <c r="F98" s="18" t="inlineStr">
        <is>
          <t>2024-12-31</t>
        </is>
      </c>
      <c r="G98" s="18" t="inlineStr">
        <is>
          <t>2025-03-31</t>
        </is>
      </c>
      <c r="H98" s="18" t="inlineStr">
        <is>
          <t>2025-06-30</t>
        </is>
      </c>
      <c r="I98" s="18" t="inlineStr">
        <is>
          <t>2025-09-30</t>
        </is>
      </c>
      <c r="J98" s="18" t="inlineStr">
        <is>
          <t>2025-12-31</t>
        </is>
      </c>
    </row>
    <row r="99" ht="16" customHeight="1">
      <c r="A99" s="92" t="inlineStr"/>
      <c r="B99" s="61" t="inlineStr">
        <is>
          <t>Revenue ($M)</t>
        </is>
      </c>
      <c r="C99" s="93" t="n">
        <v>226.173</v>
      </c>
      <c r="D99" s="93" t="n">
        <v>225.991</v>
      </c>
      <c r="E99" s="93" t="n">
        <v>227.704</v>
      </c>
      <c r="F99" s="93" t="n">
        <v>242.852</v>
      </c>
      <c r="G99" s="93" t="n">
        <v>247.744</v>
      </c>
      <c r="H99" s="93" t="n">
        <v>265.068</v>
      </c>
      <c r="I99" s="93" t="n">
        <v>279.435</v>
      </c>
      <c r="J99" s="93" t="n">
        <v>291.56</v>
      </c>
    </row>
    <row r="100" ht="16" customHeight="1">
      <c r="A100" s="92" t="inlineStr"/>
      <c r="B100" s="89" t="inlineStr">
        <is>
          <t>Gross Margin %</t>
        </is>
      </c>
      <c r="C100" s="66" t="n">
        <v>0.311</v>
      </c>
      <c r="D100" s="66" t="n">
        <v>0.361</v>
      </c>
      <c r="E100" s="66" t="n">
        <v>0.374</v>
      </c>
      <c r="F100" s="66" t="n">
        <v>0.376</v>
      </c>
      <c r="G100" s="66" t="n">
        <v>0.384</v>
      </c>
      <c r="H100" s="66" t="n">
        <v>0.373</v>
      </c>
      <c r="I100" s="66" t="n">
        <v>0.383</v>
      </c>
      <c r="J100" s="66" t="n">
        <v>0.39</v>
      </c>
    </row>
    <row r="101" ht="16" customHeight="1">
      <c r="A101" s="92" t="inlineStr"/>
      <c r="B101" s="26" t="inlineStr">
        <is>
          <t>QoQ Rev Growth</t>
        </is>
      </c>
      <c r="C101" s="45" t="n"/>
      <c r="D101" s="70" t="n">
        <v>-0.000804693752127796</v>
      </c>
      <c r="E101" s="70" t="n">
        <v>0.007579947874030382</v>
      </c>
      <c r="F101" s="70" t="n">
        <v>0.06652496223166919</v>
      </c>
      <c r="G101" s="70" t="n">
        <v>0.02014395598965625</v>
      </c>
      <c r="H101" s="70" t="n">
        <v>0.06992702144148799</v>
      </c>
      <c r="I101" s="70" t="n">
        <v>0.05420118611073385</v>
      </c>
      <c r="J101" s="70" t="n">
        <v>0.04339112852720668</v>
      </c>
    </row>
    <row r="102" ht="16" customHeight="1">
      <c r="A102" s="92" t="inlineStr"/>
      <c r="B102" s="20" t="inlineStr">
        <is>
          <t>YoY Rev Growth</t>
        </is>
      </c>
      <c r="C102" s="42" t="n"/>
      <c r="D102" s="42" t="n"/>
      <c r="E102" s="42" t="n"/>
      <c r="F102" s="42" t="n"/>
      <c r="G102" s="66" t="n">
        <v>0.09537389520411367</v>
      </c>
      <c r="H102" s="66" t="n">
        <v>0.1729139656004</v>
      </c>
      <c r="I102" s="66" t="n">
        <v>0.2271852931876471</v>
      </c>
      <c r="J102" s="66" t="n">
        <v>0.2005666002338873</v>
      </c>
    </row>
    <row r="103" ht="8" customHeight="1"/>
    <row r="104" ht="18" customHeight="1">
      <c r="A104" s="89" t="inlineStr">
        <is>
          <t>PKE  —  Park Aerospace Corp.</t>
        </is>
      </c>
      <c r="C104" s="90" t="inlineStr">
        <is>
          <t>Small Cap</t>
        </is>
      </c>
      <c r="D104" s="69" t="inlineStr">
        <is>
          <t>Mkt Cap: $536M</t>
        </is>
      </c>
      <c r="E104" s="91" t="n"/>
      <c r="F104" s="91" t="n"/>
      <c r="G104" s="91" t="n"/>
      <c r="H104" s="91" t="n"/>
      <c r="I104" s="91" t="n"/>
      <c r="J104" s="91" t="n"/>
      <c r="K104" s="91" t="n"/>
    </row>
    <row r="105" ht="16" customHeight="1">
      <c r="A105" s="92" t="inlineStr"/>
      <c r="B105" s="18" t="inlineStr">
        <is>
          <t>Quarter</t>
        </is>
      </c>
      <c r="C105" s="18" t="inlineStr">
        <is>
          <t>2024-02-28</t>
        </is>
      </c>
      <c r="D105" s="18" t="inlineStr">
        <is>
          <t>2024-06-02</t>
        </is>
      </c>
      <c r="E105" s="18" t="inlineStr">
        <is>
          <t>2024-09-01</t>
        </is>
      </c>
      <c r="F105" s="18" t="inlineStr">
        <is>
          <t>2024-12-01</t>
        </is>
      </c>
      <c r="G105" s="18" t="inlineStr">
        <is>
          <t>2025-02-28</t>
        </is>
      </c>
      <c r="H105" s="18" t="inlineStr">
        <is>
          <t>2025-06-01</t>
        </is>
      </c>
      <c r="I105" s="18" t="inlineStr">
        <is>
          <t>2025-08-31</t>
        </is>
      </c>
      <c r="J105" s="18" t="inlineStr">
        <is>
          <t>2025-11-30</t>
        </is>
      </c>
    </row>
    <row r="106" ht="16" customHeight="1">
      <c r="A106" s="92" t="inlineStr"/>
      <c r="B106" s="61" t="inlineStr">
        <is>
          <t>Revenue ($M)</t>
        </is>
      </c>
      <c r="C106" s="93" t="n">
        <v>16.333</v>
      </c>
      <c r="D106" s="93" t="n">
        <v>13.97</v>
      </c>
      <c r="E106" s="93" t="n">
        <v>16.709</v>
      </c>
      <c r="F106" s="93" t="n">
        <v>14.408</v>
      </c>
      <c r="G106" s="93" t="n">
        <v>16.939</v>
      </c>
      <c r="H106" s="93" t="n">
        <v>15.4</v>
      </c>
      <c r="I106" s="93" t="n">
        <v>16.381</v>
      </c>
      <c r="J106" s="93" t="n">
        <v>17.333</v>
      </c>
    </row>
    <row r="107" ht="16" customHeight="1">
      <c r="A107" s="92" t="inlineStr"/>
      <c r="B107" s="89" t="inlineStr">
        <is>
          <t>Gross Margin %</t>
        </is>
      </c>
      <c r="C107" s="66" t="n">
        <v>0.273</v>
      </c>
      <c r="D107" s="66" t="n">
        <v>0.293</v>
      </c>
      <c r="E107" s="66" t="n">
        <v>0.285</v>
      </c>
      <c r="F107" s="66" t="n">
        <v>0.266</v>
      </c>
      <c r="G107" s="66" t="n">
        <v>0.293</v>
      </c>
      <c r="H107" s="66" t="n">
        <v>0.306</v>
      </c>
      <c r="I107" s="66" t="n">
        <v>0.312</v>
      </c>
      <c r="J107" s="66" t="n">
        <v>0.341</v>
      </c>
    </row>
    <row r="108" ht="16" customHeight="1">
      <c r="A108" s="92" t="inlineStr"/>
      <c r="B108" s="26" t="inlineStr">
        <is>
          <t>QoQ Rev Growth</t>
        </is>
      </c>
      <c r="C108" s="45" t="n"/>
      <c r="D108" s="70" t="n">
        <v>-0.1446764219677953</v>
      </c>
      <c r="E108" s="70" t="n">
        <v>0.1960629921259842</v>
      </c>
      <c r="F108" s="70" t="n">
        <v>-0.1377102160512299</v>
      </c>
      <c r="G108" s="70" t="n">
        <v>0.1756662965019434</v>
      </c>
      <c r="H108" s="70" t="n">
        <v>-0.09085542239801642</v>
      </c>
      <c r="I108" s="70" t="n">
        <v>0.0637012987012987</v>
      </c>
      <c r="J108" s="70" t="n">
        <v>0.05811611012758684</v>
      </c>
    </row>
    <row r="109" ht="16" customHeight="1">
      <c r="A109" s="92" t="inlineStr"/>
      <c r="B109" s="20" t="inlineStr">
        <is>
          <t>YoY Rev Growth</t>
        </is>
      </c>
      <c r="C109" s="42" t="n"/>
      <c r="D109" s="42" t="n"/>
      <c r="E109" s="42" t="n"/>
      <c r="F109" s="42" t="n"/>
      <c r="G109" s="66" t="n">
        <v>0.03710279801628605</v>
      </c>
      <c r="H109" s="66" t="n">
        <v>0.1023622047244094</v>
      </c>
      <c r="I109" s="66" t="n">
        <v>-0.01963013944580765</v>
      </c>
      <c r="J109" s="66" t="n">
        <v>0.2030122154358689</v>
      </c>
    </row>
    <row r="110" ht="8" customHeight="1"/>
    <row r="111" ht="18" customHeight="1">
      <c r="A111" s="89" t="inlineStr">
        <is>
          <t>MVST  —  Microvast Holdings, Inc.</t>
        </is>
      </c>
      <c r="C111" s="90" t="inlineStr">
        <is>
          <t>Small Cap</t>
        </is>
      </c>
      <c r="D111" s="69" t="inlineStr">
        <is>
          <t>Mkt Cap: $683M</t>
        </is>
      </c>
      <c r="E111" s="91" t="n"/>
      <c r="F111" s="91" t="n"/>
      <c r="G111" s="91" t="n"/>
      <c r="H111" s="91" t="n"/>
      <c r="I111" s="91" t="n"/>
      <c r="J111" s="91" t="n"/>
      <c r="K111" s="91" t="n"/>
    </row>
    <row r="112" ht="16" customHeight="1">
      <c r="A112" s="92" t="inlineStr"/>
      <c r="B112" s="18" t="inlineStr">
        <is>
          <t>Quarter</t>
        </is>
      </c>
      <c r="C112" s="18" t="inlineStr">
        <is>
          <t>2023-12-31</t>
        </is>
      </c>
      <c r="D112" s="18" t="inlineStr">
        <is>
          <t>2024-03-31</t>
        </is>
      </c>
      <c r="E112" s="18" t="inlineStr">
        <is>
          <t>2024-06-30</t>
        </is>
      </c>
      <c r="F112" s="18" t="inlineStr">
        <is>
          <t>2024-09-30</t>
        </is>
      </c>
      <c r="G112" s="18" t="inlineStr">
        <is>
          <t>2024-12-31</t>
        </is>
      </c>
      <c r="H112" s="18" t="inlineStr">
        <is>
          <t>2025-03-31</t>
        </is>
      </c>
      <c r="I112" s="18" t="inlineStr">
        <is>
          <t>2025-06-30</t>
        </is>
      </c>
      <c r="J112" s="18" t="inlineStr">
        <is>
          <t>2025-09-30</t>
        </is>
      </c>
    </row>
    <row r="113" ht="16" customHeight="1">
      <c r="A113" s="92" t="inlineStr"/>
      <c r="B113" s="61" t="inlineStr">
        <is>
          <t>Revenue ($M)</t>
        </is>
      </c>
      <c r="C113" s="93" t="n">
        <v>104.575</v>
      </c>
      <c r="D113" s="93" t="n">
        <v>81.351</v>
      </c>
      <c r="E113" s="93" t="n">
        <v>83.675</v>
      </c>
      <c r="F113" s="93" t="n">
        <v>101.388</v>
      </c>
      <c r="G113" s="93" t="n">
        <v>113.387</v>
      </c>
      <c r="H113" s="93" t="n">
        <v>116.491</v>
      </c>
      <c r="I113" s="93" t="n">
        <v>91.339</v>
      </c>
      <c r="J113" s="93" t="n">
        <v>123.287</v>
      </c>
    </row>
    <row r="114" ht="16" customHeight="1">
      <c r="A114" s="92" t="inlineStr"/>
      <c r="B114" s="89" t="inlineStr">
        <is>
          <t>Gross Margin %</t>
        </is>
      </c>
      <c r="C114" s="66" t="n">
        <v>0.22</v>
      </c>
      <c r="D114" s="66" t="n">
        <v>0.212</v>
      </c>
      <c r="E114" s="66" t="n">
        <v>0.325</v>
      </c>
      <c r="F114" s="66" t="n">
        <v>0.332</v>
      </c>
      <c r="G114" s="66" t="n">
        <v>0.366</v>
      </c>
      <c r="H114" s="66" t="n">
        <v>0.369</v>
      </c>
      <c r="I114" s="66" t="n">
        <v>0.347</v>
      </c>
      <c r="J114" s="66" t="n">
        <v>0.376</v>
      </c>
    </row>
    <row r="115" ht="16" customHeight="1">
      <c r="A115" s="92" t="inlineStr"/>
      <c r="B115" s="26" t="inlineStr">
        <is>
          <t>QoQ Rev Growth</t>
        </is>
      </c>
      <c r="C115" s="45" t="n"/>
      <c r="D115" s="70" t="n">
        <v>-0.2220798469997609</v>
      </c>
      <c r="E115" s="70" t="n">
        <v>0.02856756524197613</v>
      </c>
      <c r="F115" s="70" t="n">
        <v>0.2116880788766059</v>
      </c>
      <c r="G115" s="70" t="n">
        <v>0.1183473389355742</v>
      </c>
      <c r="H115" s="70" t="n">
        <v>0.0273752722975297</v>
      </c>
      <c r="I115" s="70" t="n">
        <v>-0.2159136757346061</v>
      </c>
      <c r="J115" s="70" t="n">
        <v>0.3497739191364039</v>
      </c>
    </row>
    <row r="116" ht="16" customHeight="1">
      <c r="A116" s="92" t="inlineStr"/>
      <c r="B116" s="20" t="inlineStr">
        <is>
          <t>YoY Rev Growth</t>
        </is>
      </c>
      <c r="C116" s="42" t="n"/>
      <c r="D116" s="42" t="n"/>
      <c r="E116" s="42" t="n"/>
      <c r="F116" s="42" t="n"/>
      <c r="G116" s="66" t="n">
        <v>0.08426488166387761</v>
      </c>
      <c r="H116" s="66" t="n">
        <v>0.4319553539600005</v>
      </c>
      <c r="I116" s="66" t="n">
        <v>0.09159247086943531</v>
      </c>
      <c r="J116" s="66" t="n">
        <v>0.2159920306150629</v>
      </c>
    </row>
    <row r="117" ht="8" customHeight="1"/>
    <row r="118" ht="18" customHeight="1">
      <c r="A118" s="89" t="inlineStr">
        <is>
          <t>CLFD  —  Clearfield, Inc.</t>
        </is>
      </c>
      <c r="C118" s="90" t="inlineStr">
        <is>
          <t>Small Cap</t>
        </is>
      </c>
      <c r="D118" s="69" t="inlineStr">
        <is>
          <t>Mkt Cap: $416M</t>
        </is>
      </c>
      <c r="E118" s="91" t="n"/>
      <c r="F118" s="91" t="n"/>
      <c r="G118" s="91" t="n"/>
      <c r="H118" s="91" t="n"/>
      <c r="I118" s="91" t="n"/>
      <c r="J118" s="91" t="n"/>
      <c r="K118" s="91" t="n"/>
    </row>
    <row r="119" ht="16" customHeight="1">
      <c r="A119" s="92" t="inlineStr"/>
      <c r="B119" s="18" t="inlineStr">
        <is>
          <t>Quarter</t>
        </is>
      </c>
      <c r="C119" s="18" t="inlineStr">
        <is>
          <t>2024-03-31</t>
        </is>
      </c>
      <c r="D119" s="18" t="inlineStr">
        <is>
          <t>2024-06-30</t>
        </is>
      </c>
      <c r="E119" s="18" t="inlineStr">
        <is>
          <t>2024-09-30</t>
        </is>
      </c>
      <c r="F119" s="18" t="inlineStr">
        <is>
          <t>2024-12-31</t>
        </is>
      </c>
      <c r="G119" s="18" t="inlineStr">
        <is>
          <t>2025-03-31</t>
        </is>
      </c>
      <c r="H119" s="18" t="inlineStr">
        <is>
          <t>2025-06-30</t>
        </is>
      </c>
      <c r="I119" s="18" t="inlineStr">
        <is>
          <t>2025-09-30</t>
        </is>
      </c>
      <c r="J119" s="18" t="inlineStr">
        <is>
          <t>2025-12-31</t>
        </is>
      </c>
    </row>
    <row r="120" ht="16" customHeight="1">
      <c r="A120" s="92" t="inlineStr"/>
      <c r="B120" s="61" t="inlineStr">
        <is>
          <t>Revenue ($M)</t>
        </is>
      </c>
      <c r="C120" s="93" t="n">
        <v>36.91</v>
      </c>
      <c r="D120" s="93" t="n">
        <v>48.793</v>
      </c>
      <c r="E120" s="93" t="n">
        <v>46.772</v>
      </c>
      <c r="F120" s="93" t="n">
        <v>29.698</v>
      </c>
      <c r="G120" s="93" t="n">
        <v>47.168</v>
      </c>
      <c r="H120" s="93" t="n">
        <v>49.903</v>
      </c>
      <c r="I120" s="93" t="n">
        <v>17.587</v>
      </c>
      <c r="J120" s="93" t="n">
        <v>34.341</v>
      </c>
    </row>
    <row r="121" ht="16" customHeight="1">
      <c r="A121" s="92" t="inlineStr"/>
      <c r="B121" s="89" t="inlineStr">
        <is>
          <t>Gross Margin %</t>
        </is>
      </c>
      <c r="C121" s="66" t="n">
        <v>0.077</v>
      </c>
      <c r="D121" s="66" t="n">
        <v>0.219</v>
      </c>
      <c r="E121" s="66" t="n">
        <v>0.228</v>
      </c>
      <c r="F121" s="66" t="n">
        <v>0.292</v>
      </c>
      <c r="G121" s="66" t="n">
        <v>0.301</v>
      </c>
      <c r="H121" s="66" t="n">
        <v>0.305</v>
      </c>
      <c r="I121" s="66" t="n">
        <v>0.735</v>
      </c>
      <c r="J121" s="66" t="n">
        <v>0.332</v>
      </c>
    </row>
    <row r="122" ht="16" customHeight="1">
      <c r="A122" s="92" t="inlineStr"/>
      <c r="B122" s="26" t="inlineStr">
        <is>
          <t>QoQ Rev Growth</t>
        </is>
      </c>
      <c r="C122" s="45" t="n"/>
      <c r="D122" s="70" t="n">
        <v>0.3219452722839339</v>
      </c>
      <c r="E122" s="70" t="n">
        <v>-0.04141987580185683</v>
      </c>
      <c r="F122" s="70" t="n">
        <v>-0.3650474642948773</v>
      </c>
      <c r="G122" s="70" t="n">
        <v>0.5882551013536265</v>
      </c>
      <c r="H122" s="70" t="n">
        <v>0.05798422659430122</v>
      </c>
      <c r="I122" s="70" t="n">
        <v>-0.6475762980181552</v>
      </c>
      <c r="J122" s="70" t="n">
        <v>0.9526354693807926</v>
      </c>
    </row>
    <row r="123" ht="16" customHeight="1">
      <c r="A123" s="92" t="inlineStr"/>
      <c r="B123" s="20" t="inlineStr">
        <is>
          <t>YoY Rev Growth</t>
        </is>
      </c>
      <c r="C123" s="42" t="n"/>
      <c r="D123" s="42" t="n"/>
      <c r="E123" s="42" t="n"/>
      <c r="F123" s="42" t="n"/>
      <c r="G123" s="66" t="n">
        <v>0.2779192630723381</v>
      </c>
      <c r="H123" s="66" t="n">
        <v>0.02274916483921874</v>
      </c>
      <c r="I123" s="66" t="n">
        <v>-0.6239844351321303</v>
      </c>
      <c r="J123" s="66" t="n">
        <v>0.1563404943093811</v>
      </c>
    </row>
    <row r="124" ht="8" customHeight="1"/>
    <row r="125" ht="18" customHeight="1">
      <c r="A125" s="89" t="inlineStr">
        <is>
          <t>ISSC  —  Innovative Solutions and Support, Inc.</t>
        </is>
      </c>
      <c r="C125" s="90" t="inlineStr">
        <is>
          <t>Small Cap</t>
        </is>
      </c>
      <c r="D125" s="69" t="inlineStr">
        <is>
          <t>Mkt Cap: $466M</t>
        </is>
      </c>
      <c r="E125" s="91" t="n"/>
      <c r="F125" s="91" t="n"/>
      <c r="G125" s="91" t="n"/>
      <c r="H125" s="91" t="n"/>
      <c r="I125" s="91" t="n"/>
      <c r="J125" s="91" t="n"/>
      <c r="K125" s="91" t="n"/>
    </row>
    <row r="126" ht="16" customHeight="1">
      <c r="A126" s="92" t="inlineStr"/>
      <c r="B126" s="18" t="inlineStr">
        <is>
          <t>Quarter</t>
        </is>
      </c>
      <c r="C126" s="18" t="inlineStr">
        <is>
          <t>2024-03-31</t>
        </is>
      </c>
      <c r="D126" s="18" t="inlineStr">
        <is>
          <t>2024-06-30</t>
        </is>
      </c>
      <c r="E126" s="18" t="inlineStr">
        <is>
          <t>2024-09-30</t>
        </is>
      </c>
      <c r="F126" s="18" t="inlineStr">
        <is>
          <t>2024-12-31</t>
        </is>
      </c>
      <c r="G126" s="18" t="inlineStr">
        <is>
          <t>2025-03-31</t>
        </is>
      </c>
      <c r="H126" s="18" t="inlineStr">
        <is>
          <t>2025-06-30</t>
        </is>
      </c>
      <c r="I126" s="18" t="inlineStr">
        <is>
          <t>2025-09-30</t>
        </is>
      </c>
      <c r="J126" s="18" t="inlineStr">
        <is>
          <t>2025-12-31</t>
        </is>
      </c>
    </row>
    <row r="127" ht="16" customHeight="1">
      <c r="A127" s="92" t="inlineStr"/>
      <c r="B127" s="61" t="inlineStr">
        <is>
          <t>Revenue ($M)</t>
        </is>
      </c>
      <c r="C127" s="93" t="n">
        <v>10.739516</v>
      </c>
      <c r="D127" s="93" t="n">
        <v>11.765635</v>
      </c>
      <c r="E127" s="93" t="n">
        <v>15.384806</v>
      </c>
      <c r="F127" s="93" t="n">
        <v>15.968729</v>
      </c>
      <c r="G127" s="93" t="n">
        <v>21.936214</v>
      </c>
      <c r="H127" s="93" t="n">
        <v>24.144832</v>
      </c>
      <c r="I127" s="93" t="n">
        <v>22.247114</v>
      </c>
      <c r="J127" s="93" t="n">
        <v>21.807083</v>
      </c>
    </row>
    <row r="128" ht="16" customHeight="1">
      <c r="A128" s="92" t="inlineStr"/>
      <c r="B128" s="89" t="inlineStr">
        <is>
          <t>Gross Margin %</t>
        </is>
      </c>
      <c r="C128" s="66" t="n">
        <v>0.52</v>
      </c>
      <c r="D128" s="66" t="n">
        <v>0.534</v>
      </c>
      <c r="E128" s="66" t="n">
        <v>0.5539999999999999</v>
      </c>
      <c r="F128" s="66" t="n">
        <v>0.414</v>
      </c>
      <c r="G128" s="66" t="n">
        <v>0.514</v>
      </c>
      <c r="H128" s="66" t="n">
        <v>0.355</v>
      </c>
      <c r="I128" s="66" t="n">
        <v>0.632</v>
      </c>
      <c r="J128" s="66" t="n">
        <v>0.545</v>
      </c>
    </row>
    <row r="129" ht="16" customHeight="1">
      <c r="A129" s="92" t="inlineStr"/>
      <c r="B129" s="26" t="inlineStr">
        <is>
          <t>QoQ Rev Growth</t>
        </is>
      </c>
      <c r="C129" s="45" t="n"/>
      <c r="D129" s="70" t="n">
        <v>0.09554611213391739</v>
      </c>
      <c r="E129" s="70" t="n">
        <v>0.3076052418760228</v>
      </c>
      <c r="F129" s="70" t="n">
        <v>0.03795452474343843</v>
      </c>
      <c r="G129" s="70" t="n">
        <v>0.3736981822410537</v>
      </c>
      <c r="H129" s="70" t="n">
        <v>0.1006836457740611</v>
      </c>
      <c r="I129" s="70" t="n">
        <v>-0.07859727497793316</v>
      </c>
      <c r="J129" s="70" t="n">
        <v>-0.01977923968025696</v>
      </c>
    </row>
    <row r="130" ht="16" customHeight="1">
      <c r="A130" s="92" t="inlineStr"/>
      <c r="B130" s="20" t="inlineStr">
        <is>
          <t>YoY Rev Growth</t>
        </is>
      </c>
      <c r="C130" s="42" t="n"/>
      <c r="D130" s="42" t="n"/>
      <c r="E130" s="42" t="n"/>
      <c r="F130" s="42" t="n"/>
      <c r="G130" s="66" t="n">
        <v>1.042570074852535</v>
      </c>
      <c r="H130" s="66" t="n">
        <v>1.052148651560243</v>
      </c>
      <c r="I130" s="66" t="n">
        <v>0.4460444935087254</v>
      </c>
      <c r="J130" s="66" t="n">
        <v>0.3656116901977609</v>
      </c>
    </row>
    <row r="131" ht="8" customHeight="1"/>
    <row r="132" ht="18" customHeight="1">
      <c r="A132" s="89" t="inlineStr">
        <is>
          <t>CECO  —  CECO Environmental Corp.</t>
        </is>
      </c>
      <c r="C132" s="90" t="inlineStr">
        <is>
          <t>Small Cap</t>
        </is>
      </c>
      <c r="D132" s="69" t="inlineStr">
        <is>
          <t>Mkt Cap: $1874M</t>
        </is>
      </c>
      <c r="E132" s="91" t="n"/>
      <c r="F132" s="91" t="n"/>
      <c r="G132" s="91" t="n"/>
      <c r="H132" s="91" t="n"/>
      <c r="I132" s="91" t="n"/>
      <c r="J132" s="91" t="n"/>
      <c r="K132" s="91" t="n"/>
    </row>
    <row r="133" ht="16" customHeight="1">
      <c r="A133" s="92" t="inlineStr"/>
      <c r="B133" s="18" t="inlineStr">
        <is>
          <t>Quarter</t>
        </is>
      </c>
      <c r="C133" s="18" t="inlineStr">
        <is>
          <t>2024-03-31</t>
        </is>
      </c>
      <c r="D133" s="18" t="inlineStr">
        <is>
          <t>2024-06-30</t>
        </is>
      </c>
      <c r="E133" s="18" t="inlineStr">
        <is>
          <t>2024-09-30</t>
        </is>
      </c>
      <c r="F133" s="18" t="inlineStr">
        <is>
          <t>2024-12-31</t>
        </is>
      </c>
      <c r="G133" s="18" t="inlineStr">
        <is>
          <t>2025-03-31</t>
        </is>
      </c>
      <c r="H133" s="18" t="inlineStr">
        <is>
          <t>2025-06-30</t>
        </is>
      </c>
      <c r="I133" s="18" t="inlineStr">
        <is>
          <t>2025-09-30</t>
        </is>
      </c>
      <c r="J133" s="18" t="inlineStr">
        <is>
          <t>2025-12-31</t>
        </is>
      </c>
    </row>
    <row r="134" ht="16" customHeight="1">
      <c r="A134" s="92" t="inlineStr"/>
      <c r="B134" s="61" t="inlineStr">
        <is>
          <t>Revenue ($M)</t>
        </is>
      </c>
      <c r="C134" s="93" t="n">
        <v>126.332</v>
      </c>
      <c r="D134" s="93" t="n">
        <v>137.522</v>
      </c>
      <c r="E134" s="93" t="n">
        <v>135.513</v>
      </c>
      <c r="F134" s="93" t="n">
        <v>158.566</v>
      </c>
      <c r="G134" s="93" t="n">
        <v>176.697</v>
      </c>
      <c r="H134" s="93" t="n">
        <v>185.391</v>
      </c>
      <c r="I134" s="93" t="n">
        <v>197.599</v>
      </c>
      <c r="J134" s="93" t="n">
        <v>214.693</v>
      </c>
    </row>
    <row r="135" ht="16" customHeight="1">
      <c r="A135" s="92" t="inlineStr"/>
      <c r="B135" s="89" t="inlineStr">
        <is>
          <t>Gross Margin %</t>
        </is>
      </c>
      <c r="C135" s="66" t="n">
        <v>0.357</v>
      </c>
      <c r="D135" s="66" t="n">
        <v>0.357</v>
      </c>
      <c r="E135" s="66" t="n">
        <v>0.334</v>
      </c>
      <c r="F135" s="66" t="n">
        <v>0.358</v>
      </c>
      <c r="G135" s="66" t="n">
        <v>0.352</v>
      </c>
      <c r="H135" s="66" t="n">
        <v>0.362</v>
      </c>
      <c r="I135" s="66" t="n">
        <v>0.327</v>
      </c>
      <c r="J135" s="66" t="n">
        <v>0.333</v>
      </c>
    </row>
    <row r="136" ht="16" customHeight="1">
      <c r="A136" s="92" t="inlineStr"/>
      <c r="B136" s="26" t="inlineStr">
        <is>
          <t>QoQ Rev Growth</t>
        </is>
      </c>
      <c r="C136" s="45" t="n"/>
      <c r="D136" s="70" t="n">
        <v>0.08857613272963304</v>
      </c>
      <c r="E136" s="70" t="n">
        <v>-0.01460857171943398</v>
      </c>
      <c r="F136" s="70" t="n">
        <v>0.1701165201862552</v>
      </c>
      <c r="G136" s="70" t="n">
        <v>0.114343554103654</v>
      </c>
      <c r="H136" s="70" t="n">
        <v>0.04920287271430755</v>
      </c>
      <c r="I136" s="70" t="n">
        <v>0.06585001429411352</v>
      </c>
      <c r="J136" s="70" t="n">
        <v>0.08650853496222147</v>
      </c>
    </row>
    <row r="137" ht="16" customHeight="1">
      <c r="A137" s="92" t="inlineStr"/>
      <c r="B137" s="20" t="inlineStr">
        <is>
          <t>YoY Rev Growth</t>
        </is>
      </c>
      <c r="C137" s="42" t="n"/>
      <c r="D137" s="42" t="n"/>
      <c r="E137" s="42" t="n"/>
      <c r="F137" s="42" t="n"/>
      <c r="G137" s="66" t="n">
        <v>0.3986717537915968</v>
      </c>
      <c r="H137" s="66" t="n">
        <v>0.3480824886200026</v>
      </c>
      <c r="I137" s="66" t="n">
        <v>0.4581553061329909</v>
      </c>
      <c r="J137" s="66" t="n">
        <v>0.353966171814891</v>
      </c>
    </row>
    <row r="138" ht="8" customHeight="1"/>
    <row r="139" ht="18" customHeight="1">
      <c r="A139" s="89" t="inlineStr">
        <is>
          <t>ALNT  —  Allient Inc.</t>
        </is>
      </c>
      <c r="C139" s="90" t="inlineStr">
        <is>
          <t>Small Cap</t>
        </is>
      </c>
      <c r="D139" s="69" t="inlineStr">
        <is>
          <t>Mkt Cap: $1106M</t>
        </is>
      </c>
      <c r="E139" s="91" t="n"/>
      <c r="F139" s="91" t="n"/>
      <c r="G139" s="91" t="n"/>
      <c r="H139" s="91" t="n"/>
      <c r="I139" s="91" t="n"/>
      <c r="J139" s="91" t="n"/>
      <c r="K139" s="91" t="n"/>
    </row>
    <row r="140" ht="16" customHeight="1">
      <c r="A140" s="92" t="inlineStr"/>
      <c r="B140" s="18" t="inlineStr">
        <is>
          <t>Quarter</t>
        </is>
      </c>
      <c r="C140" s="18" t="inlineStr">
        <is>
          <t>2024-03-31</t>
        </is>
      </c>
      <c r="D140" s="18" t="inlineStr">
        <is>
          <t>2024-06-30</t>
        </is>
      </c>
      <c r="E140" s="18" t="inlineStr">
        <is>
          <t>2024-09-30</t>
        </is>
      </c>
      <c r="F140" s="18" t="inlineStr">
        <is>
          <t>2024-12-31</t>
        </is>
      </c>
      <c r="G140" s="18" t="inlineStr">
        <is>
          <t>2025-03-31</t>
        </is>
      </c>
      <c r="H140" s="18" t="inlineStr">
        <is>
          <t>2025-06-30</t>
        </is>
      </c>
      <c r="I140" s="18" t="inlineStr">
        <is>
          <t>2025-09-30</t>
        </is>
      </c>
      <c r="J140" s="18" t="inlineStr">
        <is>
          <t>2025-12-31</t>
        </is>
      </c>
    </row>
    <row r="141" ht="16" customHeight="1">
      <c r="A141" s="92" t="inlineStr"/>
      <c r="B141" s="61" t="inlineStr">
        <is>
          <t>Revenue ($M)</t>
        </is>
      </c>
      <c r="C141" s="93" t="n">
        <v>146.713</v>
      </c>
      <c r="D141" s="93" t="n">
        <v>136.032</v>
      </c>
      <c r="E141" s="93" t="n">
        <v>125.213</v>
      </c>
      <c r="F141" s="93" t="n">
        <v>122.01</v>
      </c>
      <c r="G141" s="93" t="n">
        <v>132.803</v>
      </c>
      <c r="H141" s="93" t="n">
        <v>139.578</v>
      </c>
      <c r="I141" s="93" t="n">
        <v>138.743</v>
      </c>
      <c r="J141" s="93" t="n">
        <v>143.354</v>
      </c>
    </row>
    <row r="142" ht="16" customHeight="1">
      <c r="A142" s="92" t="inlineStr"/>
      <c r="B142" s="89" t="inlineStr">
        <is>
          <t>Gross Margin %</t>
        </is>
      </c>
      <c r="C142" s="66" t="n">
        <v>0.323</v>
      </c>
      <c r="D142" s="66" t="n">
        <v>0.299</v>
      </c>
      <c r="E142" s="66" t="n">
        <v>0.314</v>
      </c>
      <c r="F142" s="66" t="n">
        <v>0.315</v>
      </c>
      <c r="G142" s="66" t="n">
        <v>0.322</v>
      </c>
      <c r="H142" s="66" t="n">
        <v>0.31</v>
      </c>
      <c r="I142" s="66" t="n">
        <v>0.333</v>
      </c>
      <c r="J142" s="66" t="n">
        <v>0.302</v>
      </c>
    </row>
    <row r="143" ht="16" customHeight="1">
      <c r="A143" s="92" t="inlineStr"/>
      <c r="B143" s="26" t="inlineStr">
        <is>
          <t>QoQ Rev Growth</t>
        </is>
      </c>
      <c r="C143" s="45" t="n"/>
      <c r="D143" s="70" t="n">
        <v>-0.07280200118598897</v>
      </c>
      <c r="E143" s="70" t="n">
        <v>-0.07953275699835333</v>
      </c>
      <c r="F143" s="70" t="n">
        <v>-0.02558041097969061</v>
      </c>
      <c r="G143" s="70" t="n">
        <v>0.08845996229817228</v>
      </c>
      <c r="H143" s="70" t="n">
        <v>0.051015413808423</v>
      </c>
      <c r="I143" s="70" t="n">
        <v>-0.005982318130364384</v>
      </c>
      <c r="J143" s="70" t="n">
        <v>0.03323410910820726</v>
      </c>
    </row>
    <row r="144" ht="16" customHeight="1">
      <c r="A144" s="92" t="inlineStr"/>
      <c r="B144" s="20" t="inlineStr">
        <is>
          <t>YoY Rev Growth</t>
        </is>
      </c>
      <c r="C144" s="42" t="n"/>
      <c r="D144" s="42" t="n"/>
      <c r="E144" s="42" t="n"/>
      <c r="F144" s="42" t="n"/>
      <c r="G144" s="66" t="n">
        <v>-0.09481095744753362</v>
      </c>
      <c r="H144" s="66" t="n">
        <v>0.02606739590684545</v>
      </c>
      <c r="I144" s="66" t="n">
        <v>0.1080558727927611</v>
      </c>
      <c r="J144" s="66" t="n">
        <v>0.1749364806163429</v>
      </c>
    </row>
    <row r="145" ht="8" customHeight="1"/>
    <row r="146" ht="22" customHeight="1">
      <c r="A146" s="16" t="inlineStr">
        <is>
          <t xml:space="preserve">  Breakout</t>
        </is>
      </c>
      <c r="B146" s="17" t="n"/>
      <c r="C146" s="17" t="n"/>
      <c r="D146" s="17" t="n"/>
      <c r="E146" s="17" t="n"/>
      <c r="F146" s="17" t="n"/>
      <c r="G146" s="17" t="n"/>
      <c r="H146" s="17" t="n"/>
      <c r="I146" s="17" t="n"/>
      <c r="J146" s="17" t="n"/>
      <c r="K146" s="17" t="n"/>
    </row>
    <row r="147" ht="18" customHeight="1">
      <c r="A147" s="89" t="inlineStr">
        <is>
          <t>COMM  —  CommScope Holding Company, Inc.</t>
        </is>
      </c>
      <c r="C147" s="90" t="inlineStr">
        <is>
          <t>Breakout</t>
        </is>
      </c>
      <c r="D147" s="69" t="inlineStr">
        <is>
          <t>Mkt Cap: $3958M</t>
        </is>
      </c>
      <c r="E147" s="91" t="n"/>
      <c r="F147" s="91" t="n"/>
      <c r="G147" s="91" t="n"/>
      <c r="H147" s="91" t="n"/>
      <c r="I147" s="91" t="n"/>
      <c r="J147" s="91" t="n"/>
      <c r="K147" s="91" t="n"/>
    </row>
    <row r="148" ht="16" customHeight="1">
      <c r="A148" s="92" t="inlineStr"/>
      <c r="B148" s="18" t="inlineStr">
        <is>
          <t>Quarter</t>
        </is>
      </c>
      <c r="C148" s="18" t="inlineStr">
        <is>
          <t>2023-12-31</t>
        </is>
      </c>
      <c r="D148" s="18" t="inlineStr">
        <is>
          <t>2024-03-31</t>
        </is>
      </c>
      <c r="E148" s="18" t="inlineStr">
        <is>
          <t>2024-06-30</t>
        </is>
      </c>
      <c r="F148" s="18" t="inlineStr">
        <is>
          <t>2024-09-30</t>
        </is>
      </c>
      <c r="G148" s="18" t="inlineStr">
        <is>
          <t>2024-12-31</t>
        </is>
      </c>
      <c r="H148" s="18" t="inlineStr">
        <is>
          <t>2025-03-31</t>
        </is>
      </c>
      <c r="I148" s="18" t="inlineStr">
        <is>
          <t>2025-06-30</t>
        </is>
      </c>
      <c r="J148" s="18" t="inlineStr">
        <is>
          <t>2025-09-30</t>
        </is>
      </c>
    </row>
    <row r="149" ht="16" customHeight="1">
      <c r="A149" s="92" t="inlineStr"/>
      <c r="B149" s="61" t="inlineStr">
        <is>
          <t>Revenue ($M)</t>
        </is>
      </c>
      <c r="C149" s="93" t="n">
        <v>923.1</v>
      </c>
      <c r="D149" s="93" t="n">
        <v>900.9</v>
      </c>
      <c r="E149" s="93" t="n">
        <v>1053.6</v>
      </c>
      <c r="F149" s="93" t="n">
        <v>1082.2</v>
      </c>
      <c r="G149" s="93" t="n">
        <v>1169.1</v>
      </c>
      <c r="H149" s="93" t="n">
        <v>1112.2</v>
      </c>
      <c r="I149" s="93" t="n">
        <v>1388.1</v>
      </c>
      <c r="J149" s="93" t="n">
        <v>1629.7</v>
      </c>
    </row>
    <row r="150" ht="16" customHeight="1">
      <c r="A150" s="92" t="inlineStr"/>
      <c r="B150" s="89" t="inlineStr">
        <is>
          <t>Gross Margin %</t>
        </is>
      </c>
      <c r="C150" s="66" t="n">
        <v>0.296</v>
      </c>
      <c r="D150" s="66" t="n">
        <v>0.251</v>
      </c>
      <c r="E150" s="66" t="n">
        <v>0.326</v>
      </c>
      <c r="F150" s="66" t="n">
        <v>0.35</v>
      </c>
      <c r="G150" s="66" t="n">
        <v>0.337</v>
      </c>
      <c r="H150" s="66" t="n">
        <v>0.373</v>
      </c>
      <c r="I150" s="66" t="n">
        <v>0.389</v>
      </c>
      <c r="J150" s="66" t="n">
        <v>0.3779999999999999</v>
      </c>
    </row>
    <row r="151" ht="16" customHeight="1">
      <c r="A151" s="92" t="inlineStr"/>
      <c r="B151" s="26" t="inlineStr">
        <is>
          <t>QoQ Rev Growth</t>
        </is>
      </c>
      <c r="C151" s="45" t="n"/>
      <c r="D151" s="70" t="n">
        <v>-0.02404939876503088</v>
      </c>
      <c r="E151" s="70" t="n">
        <v>0.1694971694971695</v>
      </c>
      <c r="F151" s="70" t="n">
        <v>0.02714502657555049</v>
      </c>
      <c r="G151" s="70" t="n">
        <v>0.08029939013121419</v>
      </c>
      <c r="H151" s="70" t="n">
        <v>-0.04866991703019417</v>
      </c>
      <c r="I151" s="70" t="n">
        <v>0.2480668944434454</v>
      </c>
      <c r="J151" s="70" t="n">
        <v>0.1740508608889849</v>
      </c>
    </row>
    <row r="152" ht="16" customHeight="1">
      <c r="A152" s="92" t="inlineStr"/>
      <c r="B152" s="20" t="inlineStr">
        <is>
          <t>YoY Rev Growth</t>
        </is>
      </c>
      <c r="C152" s="42" t="n"/>
      <c r="D152" s="42" t="n"/>
      <c r="E152" s="42" t="n"/>
      <c r="F152" s="42" t="n"/>
      <c r="G152" s="66" t="n">
        <v>0.2664933376665584</v>
      </c>
      <c r="H152" s="66" t="n">
        <v>0.2345432345432345</v>
      </c>
      <c r="I152" s="66" t="n">
        <v>0.3174829157175398</v>
      </c>
      <c r="J152" s="66" t="n">
        <v>0.5059138791350952</v>
      </c>
    </row>
    <row r="153" ht="8" customHeight="1"/>
    <row r="154" ht="18" customHeight="1">
      <c r="A154" s="89" t="inlineStr">
        <is>
          <t>ALGM  —  Allegro MicroSystems, Inc.</t>
        </is>
      </c>
      <c r="C154" s="90" t="inlineStr">
        <is>
          <t>Breakout</t>
        </is>
      </c>
      <c r="D154" s="69" t="inlineStr">
        <is>
          <t>Mkt Cap: $5916M</t>
        </is>
      </c>
      <c r="E154" s="91" t="n"/>
      <c r="F154" s="91" t="n"/>
      <c r="G154" s="91" t="n"/>
      <c r="H154" s="91" t="n"/>
      <c r="I154" s="91" t="n"/>
      <c r="J154" s="91" t="n"/>
      <c r="K154" s="91" t="n"/>
    </row>
    <row r="155" ht="16" customHeight="1">
      <c r="A155" s="92" t="inlineStr"/>
      <c r="B155" s="18" t="inlineStr">
        <is>
          <t>Quarter</t>
        </is>
      </c>
      <c r="C155" s="18" t="inlineStr">
        <is>
          <t>2024-03-29</t>
        </is>
      </c>
      <c r="D155" s="18" t="inlineStr">
        <is>
          <t>2024-06-28</t>
        </is>
      </c>
      <c r="E155" s="18" t="inlineStr">
        <is>
          <t>2024-09-27</t>
        </is>
      </c>
      <c r="F155" s="18" t="inlineStr">
        <is>
          <t>2024-12-27</t>
        </is>
      </c>
      <c r="G155" s="18" t="inlineStr">
        <is>
          <t>2025-03-28</t>
        </is>
      </c>
      <c r="H155" s="18" t="inlineStr">
        <is>
          <t>2025-06-27</t>
        </is>
      </c>
      <c r="I155" s="18" t="inlineStr">
        <is>
          <t>2025-09-26</t>
        </is>
      </c>
      <c r="J155" s="18" t="inlineStr">
        <is>
          <t>2025-12-26</t>
        </is>
      </c>
    </row>
    <row r="156" ht="16" customHeight="1">
      <c r="A156" s="92" t="inlineStr"/>
      <c r="B156" s="61" t="inlineStr">
        <is>
          <t>Revenue ($M)</t>
        </is>
      </c>
      <c r="C156" s="93" t="n">
        <v>240.581</v>
      </c>
      <c r="D156" s="93" t="n">
        <v>166.919</v>
      </c>
      <c r="E156" s="93" t="n">
        <v>187.391</v>
      </c>
      <c r="F156" s="93" t="n">
        <v>177.872</v>
      </c>
      <c r="G156" s="93" t="n">
        <v>192.824</v>
      </c>
      <c r="H156" s="93" t="n">
        <v>203.405</v>
      </c>
      <c r="I156" s="93" t="n">
        <v>214.294</v>
      </c>
      <c r="J156" s="93" t="n">
        <v>229.21</v>
      </c>
    </row>
    <row r="157" ht="16" customHeight="1">
      <c r="A157" s="92" t="inlineStr"/>
      <c r="B157" s="89" t="inlineStr">
        <is>
          <t>Gross Margin %</t>
        </is>
      </c>
      <c r="C157" s="66" t="n">
        <v>0.512</v>
      </c>
      <c r="D157" s="66" t="n">
        <v>0.448</v>
      </c>
      <c r="E157" s="66" t="n">
        <v>0.457</v>
      </c>
      <c r="F157" s="66" t="n">
        <v>0.457</v>
      </c>
      <c r="G157" s="66" t="n">
        <v>0.414</v>
      </c>
      <c r="H157" s="66" t="n">
        <v>0.449</v>
      </c>
      <c r="I157" s="66" t="n">
        <v>0.463</v>
      </c>
      <c r="J157" s="66" t="n">
        <v>0.467</v>
      </c>
    </row>
    <row r="158" ht="16" customHeight="1">
      <c r="A158" s="92" t="inlineStr"/>
      <c r="B158" s="26" t="inlineStr">
        <is>
          <t>QoQ Rev Growth</t>
        </is>
      </c>
      <c r="C158" s="45" t="n"/>
      <c r="D158" s="70" t="n">
        <v>-0.3061837800990103</v>
      </c>
      <c r="E158" s="70" t="n">
        <v>0.1226463134813892</v>
      </c>
      <c r="F158" s="70" t="n">
        <v>-0.05079753029761301</v>
      </c>
      <c r="G158" s="70" t="n">
        <v>0.08406044796257983</v>
      </c>
      <c r="H158" s="70" t="n">
        <v>0.05487387462141642</v>
      </c>
      <c r="I158" s="70" t="n">
        <v>0.05353359061969962</v>
      </c>
      <c r="J158" s="70" t="n">
        <v>0.06960530859473434</v>
      </c>
    </row>
    <row r="159" ht="16" customHeight="1">
      <c r="A159" s="92" t="inlineStr"/>
      <c r="B159" s="20" t="inlineStr">
        <is>
          <t>YoY Rev Growth</t>
        </is>
      </c>
      <c r="C159" s="42" t="n"/>
      <c r="D159" s="42" t="n"/>
      <c r="E159" s="42" t="n"/>
      <c r="F159" s="42" t="n"/>
      <c r="G159" s="66" t="n">
        <v>-0.1985069477639547</v>
      </c>
      <c r="H159" s="66" t="n">
        <v>0.2185850622158053</v>
      </c>
      <c r="I159" s="66" t="n">
        <v>0.1435661264415047</v>
      </c>
      <c r="J159" s="66" t="n">
        <v>0.2886232796617793</v>
      </c>
    </row>
    <row r="160" ht="8" customHeight="1"/>
    <row r="161" ht="18" customHeight="1">
      <c r="A161" s="89" t="inlineStr">
        <is>
          <t>XMTR  —  Xometry, Inc.</t>
        </is>
      </c>
      <c r="C161" s="90" t="inlineStr">
        <is>
          <t>Breakout</t>
        </is>
      </c>
      <c r="D161" s="69" t="inlineStr">
        <is>
          <t>Mkt Cap: $2160M</t>
        </is>
      </c>
      <c r="E161" s="91" t="n"/>
      <c r="F161" s="91" t="n"/>
      <c r="G161" s="91" t="n"/>
      <c r="H161" s="91" t="n"/>
      <c r="I161" s="91" t="n"/>
      <c r="J161" s="91" t="n"/>
      <c r="K161" s="91" t="n"/>
    </row>
    <row r="162" ht="16" customHeight="1">
      <c r="A162" s="92" t="inlineStr"/>
      <c r="B162" s="18" t="inlineStr">
        <is>
          <t>Quarter</t>
        </is>
      </c>
      <c r="C162" s="18" t="inlineStr">
        <is>
          <t>2024-03-31</t>
        </is>
      </c>
      <c r="D162" s="18" t="inlineStr">
        <is>
          <t>2024-06-30</t>
        </is>
      </c>
      <c r="E162" s="18" t="inlineStr">
        <is>
          <t>2024-09-30</t>
        </is>
      </c>
      <c r="F162" s="18" t="inlineStr">
        <is>
          <t>2024-12-31</t>
        </is>
      </c>
      <c r="G162" s="18" t="inlineStr">
        <is>
          <t>2025-03-31</t>
        </is>
      </c>
      <c r="H162" s="18" t="inlineStr">
        <is>
          <t>2025-06-30</t>
        </is>
      </c>
      <c r="I162" s="18" t="inlineStr">
        <is>
          <t>2025-09-30</t>
        </is>
      </c>
      <c r="J162" s="18" t="inlineStr">
        <is>
          <t>2025-12-31</t>
        </is>
      </c>
    </row>
    <row r="163" ht="16" customHeight="1">
      <c r="A163" s="92" t="inlineStr"/>
      <c r="B163" s="61" t="inlineStr">
        <is>
          <t>Revenue ($M)</t>
        </is>
      </c>
      <c r="C163" s="93" t="n">
        <v>122.69</v>
      </c>
      <c r="D163" s="93" t="n">
        <v>132.595</v>
      </c>
      <c r="E163" s="93" t="n">
        <v>141.698</v>
      </c>
      <c r="F163" s="93" t="n">
        <v>148.546</v>
      </c>
      <c r="G163" s="93" t="n">
        <v>150.971</v>
      </c>
      <c r="H163" s="93" t="n">
        <v>162.547</v>
      </c>
      <c r="I163" s="93" t="n">
        <v>180.715</v>
      </c>
      <c r="J163" s="93" t="n">
        <v>192.398</v>
      </c>
    </row>
    <row r="164" ht="16" customHeight="1">
      <c r="A164" s="92" t="inlineStr"/>
      <c r="B164" s="89" t="inlineStr">
        <is>
          <t>Gross Margin %</t>
        </is>
      </c>
      <c r="C164" s="66" t="n">
        <v>0.39</v>
      </c>
      <c r="D164" s="66" t="n">
        <v>0.399</v>
      </c>
      <c r="E164" s="66" t="n">
        <v>0.394</v>
      </c>
      <c r="F164" s="66" t="n">
        <v>0.397</v>
      </c>
      <c r="G164" s="66" t="n">
        <v>0.373</v>
      </c>
      <c r="H164" s="66" t="n">
        <v>0.401</v>
      </c>
      <c r="I164" s="66" t="n">
        <v>0.399</v>
      </c>
      <c r="J164" s="66" t="n">
        <v>0.391</v>
      </c>
    </row>
    <row r="165" ht="16" customHeight="1">
      <c r="A165" s="92" t="inlineStr"/>
      <c r="B165" s="26" t="inlineStr">
        <is>
          <t>QoQ Rev Growth</t>
        </is>
      </c>
      <c r="C165" s="45" t="n"/>
      <c r="D165" s="70" t="n">
        <v>0.08073192599233842</v>
      </c>
      <c r="E165" s="70" t="n">
        <v>0.06865266412760662</v>
      </c>
      <c r="F165" s="70" t="n">
        <v>0.04832813448319666</v>
      </c>
      <c r="G165" s="70" t="n">
        <v>0.01632490945565683</v>
      </c>
      <c r="H165" s="70" t="n">
        <v>0.07667697769770353</v>
      </c>
      <c r="I165" s="70" t="n">
        <v>0.1117707493832553</v>
      </c>
      <c r="J165" s="70" t="n">
        <v>0.06464875632902636</v>
      </c>
    </row>
    <row r="166" ht="16" customHeight="1">
      <c r="A166" s="92" t="inlineStr"/>
      <c r="B166" s="20" t="inlineStr">
        <is>
          <t>YoY Rev Growth</t>
        </is>
      </c>
      <c r="C166" s="42" t="n"/>
      <c r="D166" s="42" t="n"/>
      <c r="E166" s="42" t="n"/>
      <c r="F166" s="42" t="n"/>
      <c r="G166" s="66" t="n">
        <v>0.2305077838454642</v>
      </c>
      <c r="H166" s="66" t="n">
        <v>0.2258908706964818</v>
      </c>
      <c r="I166" s="66" t="n">
        <v>0.27535321599458</v>
      </c>
      <c r="J166" s="66" t="n">
        <v>0.2952082183296756</v>
      </c>
    </row>
    <row r="167" ht="8" customHeight="1"/>
    <row r="168" ht="18" customHeight="1">
      <c r="A168" s="89" t="inlineStr">
        <is>
          <t>KRMN  —  Karman Holdings Inc.</t>
        </is>
      </c>
      <c r="C168" s="90" t="inlineStr">
        <is>
          <t>Breakout</t>
        </is>
      </c>
      <c r="D168" s="69" t="inlineStr">
        <is>
          <t>Mkt Cap: $13304M</t>
        </is>
      </c>
      <c r="E168" s="91" t="n"/>
      <c r="F168" s="91" t="n"/>
      <c r="G168" s="91" t="n"/>
      <c r="H168" s="91" t="n"/>
      <c r="I168" s="91" t="n"/>
      <c r="J168" s="91" t="n"/>
      <c r="K168" s="91" t="n"/>
    </row>
    <row r="169" ht="16" customHeight="1">
      <c r="A169" s="92" t="inlineStr"/>
      <c r="B169" s="18" t="inlineStr">
        <is>
          <t>Quarter</t>
        </is>
      </c>
      <c r="C169" s="18" t="inlineStr">
        <is>
          <t>2023-12-31</t>
        </is>
      </c>
      <c r="D169" s="18" t="inlineStr">
        <is>
          <t>2024-03-30</t>
        </is>
      </c>
      <c r="E169" s="18" t="inlineStr">
        <is>
          <t>2024-06-30</t>
        </is>
      </c>
      <c r="F169" s="18" t="inlineStr">
        <is>
          <t>2024-09-30</t>
        </is>
      </c>
      <c r="G169" s="18" t="inlineStr">
        <is>
          <t>2024-12-31</t>
        </is>
      </c>
      <c r="H169" s="18" t="inlineStr">
        <is>
          <t>2025-03-31</t>
        </is>
      </c>
      <c r="I169" s="18" t="inlineStr">
        <is>
          <t>2025-06-30</t>
        </is>
      </c>
      <c r="J169" s="18" t="inlineStr">
        <is>
          <t>2025-09-30</t>
        </is>
      </c>
    </row>
    <row r="170" ht="16" customHeight="1">
      <c r="A170" s="92" t="inlineStr"/>
      <c r="B170" s="61" t="inlineStr">
        <is>
          <t>Revenue ($M)</t>
        </is>
      </c>
      <c r="C170" s="93" t="n">
        <v>76.99255700000001</v>
      </c>
      <c r="D170" s="93" t="n">
        <v>83.006</v>
      </c>
      <c r="E170" s="93" t="n">
        <v>85.039</v>
      </c>
      <c r="F170" s="93" t="n">
        <v>85.96809500000001</v>
      </c>
      <c r="G170" s="93" t="n">
        <v>91.23796900000001</v>
      </c>
      <c r="H170" s="93" t="n">
        <v>100.124</v>
      </c>
      <c r="I170" s="93" t="n">
        <v>115.097</v>
      </c>
      <c r="J170" s="93" t="n">
        <v>121.787</v>
      </c>
    </row>
    <row r="171" ht="16" customHeight="1">
      <c r="A171" s="92" t="inlineStr"/>
      <c r="B171" s="89" t="inlineStr">
        <is>
          <t>Gross Margin %</t>
        </is>
      </c>
      <c r="C171" s="66" t="n">
        <v>0.39</v>
      </c>
      <c r="D171" s="66" t="n">
        <v>0.349</v>
      </c>
      <c r="E171" s="66" t="n">
        <v>0.332</v>
      </c>
      <c r="F171" s="66" t="n">
        <v>0.393</v>
      </c>
      <c r="G171" s="66" t="n">
        <v>0.381</v>
      </c>
      <c r="H171" s="66" t="n">
        <v>0.394</v>
      </c>
      <c r="I171" s="66" t="n">
        <v>0.409</v>
      </c>
      <c r="J171" s="66" t="n">
        <v>0.41</v>
      </c>
    </row>
    <row r="172" ht="16" customHeight="1">
      <c r="A172" s="92" t="inlineStr"/>
      <c r="B172" s="26" t="inlineStr">
        <is>
          <t>QoQ Rev Growth</t>
        </is>
      </c>
      <c r="C172" s="45" t="n"/>
      <c r="D172" s="70" t="n">
        <v>0.07810421207338263</v>
      </c>
      <c r="E172" s="70" t="n">
        <v>0.02449220538274342</v>
      </c>
      <c r="F172" s="70" t="n">
        <v>0.01092551652771082</v>
      </c>
      <c r="G172" s="70" t="n">
        <v>0.06130034636687017</v>
      </c>
      <c r="H172" s="70" t="n">
        <v>0.09739400270955177</v>
      </c>
      <c r="I172" s="70" t="n">
        <v>0.1495445647397227</v>
      </c>
      <c r="J172" s="70" t="n">
        <v>0.05812488596575063</v>
      </c>
    </row>
    <row r="173" ht="16" customHeight="1">
      <c r="A173" s="92" t="inlineStr"/>
      <c r="B173" s="20" t="inlineStr">
        <is>
          <t>YoY Rev Growth</t>
        </is>
      </c>
      <c r="C173" s="42" t="n"/>
      <c r="D173" s="42" t="n"/>
      <c r="E173" s="42" t="n"/>
      <c r="F173" s="42" t="n"/>
      <c r="G173" s="66" t="n">
        <v>0.185023235427809</v>
      </c>
      <c r="H173" s="66" t="n">
        <v>0.2062260559477628</v>
      </c>
      <c r="I173" s="66" t="n">
        <v>0.3534613530262585</v>
      </c>
      <c r="J173" s="66" t="n">
        <v>0.4166534689410065</v>
      </c>
    </row>
    <row r="174" ht="8" customHeight="1"/>
    <row r="175" ht="18" customHeight="1">
      <c r="A175" s="89" t="inlineStr">
        <is>
          <t>RUN  —  Sunrun Inc.</t>
        </is>
      </c>
      <c r="C175" s="90" t="inlineStr">
        <is>
          <t>Breakout</t>
        </is>
      </c>
      <c r="D175" s="69" t="inlineStr">
        <is>
          <t>Mkt Cap: $2659M</t>
        </is>
      </c>
      <c r="E175" s="91" t="n"/>
      <c r="F175" s="91" t="n"/>
      <c r="G175" s="91" t="n"/>
      <c r="H175" s="91" t="n"/>
      <c r="I175" s="91" t="n"/>
      <c r="J175" s="91" t="n"/>
      <c r="K175" s="91" t="n"/>
    </row>
    <row r="176" ht="16" customHeight="1">
      <c r="A176" s="92" t="inlineStr"/>
      <c r="B176" s="18" t="inlineStr">
        <is>
          <t>Quarter</t>
        </is>
      </c>
      <c r="C176" s="18" t="inlineStr">
        <is>
          <t>2024-03-31</t>
        </is>
      </c>
      <c r="D176" s="18" t="inlineStr">
        <is>
          <t>2024-06-30</t>
        </is>
      </c>
      <c r="E176" s="18" t="inlineStr">
        <is>
          <t>2024-09-30</t>
        </is>
      </c>
      <c r="F176" s="18" t="inlineStr">
        <is>
          <t>2024-12-31</t>
        </is>
      </c>
      <c r="G176" s="18" t="inlineStr">
        <is>
          <t>2025-03-31</t>
        </is>
      </c>
      <c r="H176" s="18" t="inlineStr">
        <is>
          <t>2025-06-30</t>
        </is>
      </c>
      <c r="I176" s="18" t="inlineStr">
        <is>
          <t>2025-09-30</t>
        </is>
      </c>
      <c r="J176" s="18" t="inlineStr">
        <is>
          <t>2025-12-31</t>
        </is>
      </c>
    </row>
    <row r="177" ht="16" customHeight="1">
      <c r="A177" s="92" t="inlineStr"/>
      <c r="B177" s="61" t="inlineStr">
        <is>
          <t>Revenue ($M)</t>
        </is>
      </c>
      <c r="C177" s="93" t="n">
        <v>458.188</v>
      </c>
      <c r="D177" s="93" t="n">
        <v>523.866</v>
      </c>
      <c r="E177" s="93" t="n">
        <v>537.173</v>
      </c>
      <c r="F177" s="93" t="n">
        <v>518.492</v>
      </c>
      <c r="G177" s="93" t="n">
        <v>504.271</v>
      </c>
      <c r="H177" s="93" t="n">
        <v>569.336</v>
      </c>
      <c r="I177" s="93" t="n">
        <v>724.557</v>
      </c>
      <c r="J177" s="93" t="n">
        <v>1158.833</v>
      </c>
    </row>
    <row r="178" ht="16" customHeight="1">
      <c r="A178" s="92" t="inlineStr"/>
      <c r="B178" s="89" t="inlineStr">
        <is>
          <t>Gross Margin %</t>
        </is>
      </c>
      <c r="C178" s="66" t="n">
        <v>0.07099999999999999</v>
      </c>
      <c r="D178" s="66" t="n">
        <v>0.181</v>
      </c>
      <c r="E178" s="66" t="n">
        <v>0.193</v>
      </c>
      <c r="F178" s="66" t="n">
        <v>0.188</v>
      </c>
      <c r="G178" s="66" t="n">
        <v>0.196</v>
      </c>
      <c r="H178" s="66" t="n">
        <v>0.166</v>
      </c>
      <c r="I178" s="66" t="n">
        <v>0.336</v>
      </c>
      <c r="J178" s="66" t="n">
        <v>0.353</v>
      </c>
    </row>
    <row r="179" ht="16" customHeight="1">
      <c r="A179" s="92" t="inlineStr"/>
      <c r="B179" s="26" t="inlineStr">
        <is>
          <t>QoQ Rev Growth</t>
        </is>
      </c>
      <c r="C179" s="45" t="n"/>
      <c r="D179" s="70" t="n">
        <v>0.1433429072782351</v>
      </c>
      <c r="E179" s="70" t="n">
        <v>0.0254015339800636</v>
      </c>
      <c r="F179" s="70" t="n">
        <v>-0.0347765058928874</v>
      </c>
      <c r="G179" s="70" t="n">
        <v>-0.02742761701241292</v>
      </c>
      <c r="H179" s="70" t="n">
        <v>0.1290278441552261</v>
      </c>
      <c r="I179" s="70" t="n">
        <v>0.2726351398822488</v>
      </c>
      <c r="J179" s="70" t="n">
        <v>0.5993676135900972</v>
      </c>
    </row>
    <row r="180" ht="16" customHeight="1">
      <c r="A180" s="92" t="inlineStr"/>
      <c r="B180" s="20" t="inlineStr">
        <is>
          <t>YoY Rev Growth</t>
        </is>
      </c>
      <c r="C180" s="42" t="n"/>
      <c r="D180" s="42" t="n"/>
      <c r="E180" s="42" t="n"/>
      <c r="F180" s="42" t="n"/>
      <c r="G180" s="66" t="n">
        <v>0.1005766192043441</v>
      </c>
      <c r="H180" s="66" t="n">
        <v>0.0867970053410605</v>
      </c>
      <c r="I180" s="66" t="n">
        <v>0.3488336159859114</v>
      </c>
      <c r="J180" s="66" t="n">
        <v>1.235006518904824</v>
      </c>
    </row>
    <row r="181" ht="8" customHeight="1"/>
    <row r="182" ht="18" customHeight="1">
      <c r="A182" s="89" t="inlineStr">
        <is>
          <t>MOG-A  —  Moog Inc.</t>
        </is>
      </c>
      <c r="C182" s="90" t="inlineStr">
        <is>
          <t>Breakout</t>
        </is>
      </c>
      <c r="D182" s="69" t="inlineStr">
        <is>
          <t>Mkt Cap: $10055M</t>
        </is>
      </c>
      <c r="E182" s="91" t="n"/>
      <c r="F182" s="91" t="n"/>
      <c r="G182" s="91" t="n"/>
      <c r="H182" s="91" t="n"/>
      <c r="I182" s="91" t="n"/>
      <c r="J182" s="91" t="n"/>
      <c r="K182" s="91" t="n"/>
    </row>
    <row r="183" ht="16" customHeight="1">
      <c r="A183" s="92" t="inlineStr"/>
      <c r="B183" s="18" t="inlineStr">
        <is>
          <t>Quarter</t>
        </is>
      </c>
      <c r="C183" s="18" t="inlineStr">
        <is>
          <t>2024-03-30</t>
        </is>
      </c>
      <c r="D183" s="18" t="inlineStr">
        <is>
          <t>2024-06-29</t>
        </is>
      </c>
      <c r="E183" s="18" t="inlineStr">
        <is>
          <t>2024-09-30</t>
        </is>
      </c>
      <c r="F183" s="18" t="inlineStr">
        <is>
          <t>2024-12-28</t>
        </is>
      </c>
      <c r="G183" s="18" t="inlineStr">
        <is>
          <t>2025-03-29</t>
        </is>
      </c>
      <c r="H183" s="18" t="inlineStr">
        <is>
          <t>2025-06-28</t>
        </is>
      </c>
      <c r="I183" s="18" t="inlineStr">
        <is>
          <t>2025-09-27</t>
        </is>
      </c>
      <c r="J183" s="18" t="inlineStr">
        <is>
          <t>2026-01-03</t>
        </is>
      </c>
    </row>
    <row r="184" ht="16" customHeight="1">
      <c r="A184" s="92" t="inlineStr"/>
      <c r="B184" s="61" t="inlineStr">
        <is>
          <t>Revenue ($M)</t>
        </is>
      </c>
      <c r="C184" s="93" t="n">
        <v>930.303</v>
      </c>
      <c r="D184" s="93" t="n">
        <v>904.735</v>
      </c>
      <c r="E184" s="93" t="n">
        <v>919.395</v>
      </c>
      <c r="F184" s="93" t="n">
        <v>910.3150000000001</v>
      </c>
      <c r="G184" s="93" t="n">
        <v>934.84</v>
      </c>
      <c r="H184" s="93" t="n">
        <v>971.3630000000001</v>
      </c>
      <c r="I184" s="93" t="n">
        <v>1049.137999</v>
      </c>
      <c r="J184" s="93" t="n">
        <v>1100.346</v>
      </c>
    </row>
    <row r="185" ht="16" customHeight="1">
      <c r="A185" s="92" t="inlineStr"/>
      <c r="B185" s="89" t="inlineStr">
        <is>
          <t>Gross Margin %</t>
        </is>
      </c>
      <c r="C185" s="66" t="n">
        <v>0.287</v>
      </c>
      <c r="D185" s="66" t="n">
        <v>0.255</v>
      </c>
      <c r="E185" s="66" t="n">
        <v>0.283</v>
      </c>
      <c r="F185" s="66" t="n">
        <v>0.266</v>
      </c>
      <c r="G185" s="66" t="n">
        <v>0.274</v>
      </c>
      <c r="H185" s="66" t="n">
        <v>0.274</v>
      </c>
      <c r="I185" s="66" t="n">
        <v>0.277</v>
      </c>
      <c r="J185" s="66" t="n">
        <v>0.267</v>
      </c>
    </row>
    <row r="186" ht="16" customHeight="1">
      <c r="A186" s="92" t="inlineStr"/>
      <c r="B186" s="26" t="inlineStr">
        <is>
          <t>QoQ Rev Growth</t>
        </is>
      </c>
      <c r="C186" s="45" t="n"/>
      <c r="D186" s="70" t="n">
        <v>-0.02748351881053807</v>
      </c>
      <c r="E186" s="70" t="n">
        <v>0.01620363973981332</v>
      </c>
      <c r="F186" s="70" t="n">
        <v>-0.009876059800194693</v>
      </c>
      <c r="G186" s="70" t="n">
        <v>0.02694122364236555</v>
      </c>
      <c r="H186" s="70" t="n">
        <v>0.03906871764152155</v>
      </c>
      <c r="I186" s="70" t="n">
        <v>0.08006790355407814</v>
      </c>
      <c r="J186" s="70" t="n">
        <v>0.04880959516175145</v>
      </c>
    </row>
    <row r="187" ht="16" customHeight="1">
      <c r="A187" s="92" t="inlineStr"/>
      <c r="B187" s="20" t="inlineStr">
        <is>
          <t>YoY Rev Growth</t>
        </is>
      </c>
      <c r="C187" s="42" t="n"/>
      <c r="D187" s="42" t="n"/>
      <c r="E187" s="42" t="n"/>
      <c r="F187" s="42" t="n"/>
      <c r="G187" s="66" t="n">
        <v>0.004876905696316146</v>
      </c>
      <c r="H187" s="66" t="n">
        <v>0.07364366361420747</v>
      </c>
      <c r="I187" s="66" t="n">
        <v>0.1411177992049119</v>
      </c>
      <c r="J187" s="66" t="n">
        <v>0.2087530140665594</v>
      </c>
    </row>
    <row r="188" ht="8" customHeight="1"/>
    <row r="189" ht="18" customHeight="1">
      <c r="A189" s="89" t="inlineStr">
        <is>
          <t>LASR  —  nLIGHT, Inc.</t>
        </is>
      </c>
      <c r="C189" s="90" t="inlineStr">
        <is>
          <t>Breakout</t>
        </is>
      </c>
      <c r="D189" s="69" t="inlineStr">
        <is>
          <t>Mkt Cap: $3272M</t>
        </is>
      </c>
      <c r="E189" s="91" t="n"/>
      <c r="F189" s="91" t="n"/>
      <c r="G189" s="91" t="n"/>
      <c r="H189" s="91" t="n"/>
      <c r="I189" s="91" t="n"/>
      <c r="J189" s="91" t="n"/>
      <c r="K189" s="91" t="n"/>
    </row>
    <row r="190" ht="16" customHeight="1">
      <c r="A190" s="92" t="inlineStr"/>
      <c r="B190" s="18" t="inlineStr">
        <is>
          <t>Quarter</t>
        </is>
      </c>
      <c r="C190" s="18" t="inlineStr">
        <is>
          <t>2024-03-31</t>
        </is>
      </c>
      <c r="D190" s="18" t="inlineStr">
        <is>
          <t>2024-06-30</t>
        </is>
      </c>
      <c r="E190" s="18" t="inlineStr">
        <is>
          <t>2024-09-30</t>
        </is>
      </c>
      <c r="F190" s="18" t="inlineStr">
        <is>
          <t>2024-12-31</t>
        </is>
      </c>
      <c r="G190" s="18" t="inlineStr">
        <is>
          <t>2025-03-31</t>
        </is>
      </c>
      <c r="H190" s="18" t="inlineStr">
        <is>
          <t>2025-06-30</t>
        </is>
      </c>
      <c r="I190" s="18" t="inlineStr">
        <is>
          <t>2025-09-30</t>
        </is>
      </c>
      <c r="J190" s="18" t="inlineStr">
        <is>
          <t>2025-12-31</t>
        </is>
      </c>
    </row>
    <row r="191" ht="16" customHeight="1">
      <c r="A191" s="92" t="inlineStr"/>
      <c r="B191" s="61" t="inlineStr">
        <is>
          <t>Revenue ($M)</t>
        </is>
      </c>
      <c r="C191" s="93" t="n">
        <v>44.527</v>
      </c>
      <c r="D191" s="93" t="n">
        <v>50.511</v>
      </c>
      <c r="E191" s="93" t="n">
        <v>56.129</v>
      </c>
      <c r="F191" s="93" t="n">
        <v>47.381</v>
      </c>
      <c r="G191" s="93" t="n">
        <v>51.668</v>
      </c>
      <c r="H191" s="93" t="n">
        <v>61.735</v>
      </c>
      <c r="I191" s="93" t="n">
        <v>66.742</v>
      </c>
      <c r="J191" s="93" t="n">
        <v>81.185</v>
      </c>
    </row>
    <row r="192" ht="16" customHeight="1">
      <c r="A192" s="92" t="inlineStr"/>
      <c r="B192" s="89" t="inlineStr">
        <is>
          <t>Gross Margin %</t>
        </is>
      </c>
      <c r="C192" s="66" t="n">
        <v>0.168</v>
      </c>
      <c r="D192" s="66" t="n">
        <v>0.235</v>
      </c>
      <c r="E192" s="66" t="n">
        <v>0.224</v>
      </c>
      <c r="F192" s="66" t="n">
        <v>0.024</v>
      </c>
      <c r="G192" s="66" t="n">
        <v>0.267</v>
      </c>
      <c r="H192" s="66" t="n">
        <v>0.299</v>
      </c>
      <c r="I192" s="66" t="n">
        <v>0.311</v>
      </c>
      <c r="J192" s="66" t="n">
        <v>0.307</v>
      </c>
    </row>
    <row r="193" ht="16" customHeight="1">
      <c r="A193" s="92" t="inlineStr"/>
      <c r="B193" s="26" t="inlineStr">
        <is>
          <t>QoQ Rev Growth</t>
        </is>
      </c>
      <c r="C193" s="45" t="n"/>
      <c r="D193" s="70" t="n">
        <v>0.1343903698879332</v>
      </c>
      <c r="E193" s="70" t="n">
        <v>0.1112232978955079</v>
      </c>
      <c r="F193" s="70" t="n">
        <v>-0.1558552619857828</v>
      </c>
      <c r="G193" s="70" t="n">
        <v>0.0904793060509487</v>
      </c>
      <c r="H193" s="70" t="n">
        <v>0.194840133157854</v>
      </c>
      <c r="I193" s="70" t="n">
        <v>0.08110472179476796</v>
      </c>
      <c r="J193" s="70" t="n">
        <v>0.2164004674717569</v>
      </c>
    </row>
    <row r="194" ht="16" customHeight="1">
      <c r="A194" s="92" t="inlineStr"/>
      <c r="B194" s="20" t="inlineStr">
        <is>
          <t>YoY Rev Growth</t>
        </is>
      </c>
      <c r="C194" s="42" t="n"/>
      <c r="D194" s="42" t="n"/>
      <c r="E194" s="42" t="n"/>
      <c r="F194" s="42" t="n"/>
      <c r="G194" s="66" t="n">
        <v>0.1603746041727491</v>
      </c>
      <c r="H194" s="66" t="n">
        <v>0.2222090237769991</v>
      </c>
      <c r="I194" s="66" t="n">
        <v>0.1890822925760302</v>
      </c>
      <c r="J194" s="66" t="n">
        <v>0.7134505392456892</v>
      </c>
    </row>
    <row r="195" ht="8" customHeight="1"/>
    <row r="196" ht="18" customHeight="1">
      <c r="A196" s="89" t="inlineStr">
        <is>
          <t>IPGP  —  IPG Photonics Corporation</t>
        </is>
      </c>
      <c r="C196" s="90" t="inlineStr">
        <is>
          <t>Breakout</t>
        </is>
      </c>
      <c r="D196" s="69" t="inlineStr">
        <is>
          <t>Mkt Cap: $5092M</t>
        </is>
      </c>
      <c r="E196" s="91" t="n"/>
      <c r="F196" s="91" t="n"/>
      <c r="G196" s="91" t="n"/>
      <c r="H196" s="91" t="n"/>
      <c r="I196" s="91" t="n"/>
      <c r="J196" s="91" t="n"/>
      <c r="K196" s="91" t="n"/>
    </row>
    <row r="197" ht="16" customHeight="1">
      <c r="A197" s="92" t="inlineStr"/>
      <c r="B197" s="18" t="inlineStr">
        <is>
          <t>Quarter</t>
        </is>
      </c>
      <c r="C197" s="18" t="inlineStr">
        <is>
          <t>2024-03-31</t>
        </is>
      </c>
      <c r="D197" s="18" t="inlineStr">
        <is>
          <t>2024-06-30</t>
        </is>
      </c>
      <c r="E197" s="18" t="inlineStr">
        <is>
          <t>2024-09-30</t>
        </is>
      </c>
      <c r="F197" s="18" t="inlineStr">
        <is>
          <t>2024-12-31</t>
        </is>
      </c>
      <c r="G197" s="18" t="inlineStr">
        <is>
          <t>2025-03-31</t>
        </is>
      </c>
      <c r="H197" s="18" t="inlineStr">
        <is>
          <t>2025-06-30</t>
        </is>
      </c>
      <c r="I197" s="18" t="inlineStr">
        <is>
          <t>2025-09-30</t>
        </is>
      </c>
      <c r="J197" s="18" t="inlineStr">
        <is>
          <t>2025-12-31</t>
        </is>
      </c>
    </row>
    <row r="198" ht="16" customHeight="1">
      <c r="A198" s="92" t="inlineStr"/>
      <c r="B198" s="61" t="inlineStr">
        <is>
          <t>Revenue ($M)</t>
        </is>
      </c>
      <c r="C198" s="93" t="n">
        <v>252.009</v>
      </c>
      <c r="D198" s="93" t="n">
        <v>257.645</v>
      </c>
      <c r="E198" s="93" t="n">
        <v>233.143</v>
      </c>
      <c r="F198" s="93" t="n">
        <v>234.337</v>
      </c>
      <c r="G198" s="93" t="n">
        <v>227.793</v>
      </c>
      <c r="H198" s="93" t="n">
        <v>250.721</v>
      </c>
      <c r="I198" s="93" t="n">
        <v>250.792</v>
      </c>
      <c r="J198" s="93" t="n">
        <v>274.471</v>
      </c>
    </row>
    <row r="199" ht="16" customHeight="1">
      <c r="A199" s="92" t="inlineStr"/>
      <c r="B199" s="89" t="inlineStr">
        <is>
          <t>Gross Margin %</t>
        </is>
      </c>
      <c r="C199" s="66" t="n">
        <v>0.387</v>
      </c>
      <c r="D199" s="66" t="n">
        <v>0.373</v>
      </c>
      <c r="E199" s="66" t="n">
        <v>0.232</v>
      </c>
      <c r="F199" s="66" t="n">
        <v>0.386</v>
      </c>
      <c r="G199" s="66" t="n">
        <v>0.394</v>
      </c>
      <c r="H199" s="66" t="n">
        <v>0.373</v>
      </c>
      <c r="I199" s="66" t="n">
        <v>0.395</v>
      </c>
      <c r="J199" s="66" t="n">
        <v>0.361</v>
      </c>
    </row>
    <row r="200" ht="16" customHeight="1">
      <c r="A200" s="92" t="inlineStr"/>
      <c r="B200" s="26" t="inlineStr">
        <is>
          <t>QoQ Rev Growth</t>
        </is>
      </c>
      <c r="C200" s="45" t="n"/>
      <c r="D200" s="70" t="n">
        <v>0.02236428064077077</v>
      </c>
      <c r="E200" s="70" t="n">
        <v>-0.09509984668827262</v>
      </c>
      <c r="F200" s="70" t="n">
        <v>0.005121320391347799</v>
      </c>
      <c r="G200" s="70" t="n">
        <v>-0.02792559433636174</v>
      </c>
      <c r="H200" s="70" t="n">
        <v>0.1006527856431058</v>
      </c>
      <c r="I200" s="70" t="n">
        <v>0.0002831832993646324</v>
      </c>
      <c r="J200" s="70" t="n">
        <v>0.09441688730103033</v>
      </c>
    </row>
    <row r="201" ht="16" customHeight="1">
      <c r="A201" s="92" t="inlineStr"/>
      <c r="B201" s="20" t="inlineStr">
        <is>
          <t>YoY Rev Growth</t>
        </is>
      </c>
      <c r="C201" s="42" t="n"/>
      <c r="D201" s="42" t="n"/>
      <c r="E201" s="42" t="n"/>
      <c r="F201" s="42" t="n"/>
      <c r="G201" s="66" t="n">
        <v>-0.09609180624501507</v>
      </c>
      <c r="H201" s="66" t="n">
        <v>-0.02687418735081216</v>
      </c>
      <c r="I201" s="66" t="n">
        <v>0.07570032126205806</v>
      </c>
      <c r="J201" s="66" t="n">
        <v>0.1712661679546977</v>
      </c>
    </row>
    <row r="202" ht="8" customHeight="1"/>
    <row r="203" ht="18" customHeight="1">
      <c r="A203" s="89" t="inlineStr">
        <is>
          <t>ESE  —  ESCO Technologies Inc.</t>
        </is>
      </c>
      <c r="C203" s="90" t="inlineStr">
        <is>
          <t>Breakout</t>
        </is>
      </c>
      <c r="D203" s="69" t="inlineStr">
        <is>
          <t>Mkt Cap: $6899M</t>
        </is>
      </c>
      <c r="E203" s="91" t="n"/>
      <c r="F203" s="91" t="n"/>
      <c r="G203" s="91" t="n"/>
      <c r="H203" s="91" t="n"/>
      <c r="I203" s="91" t="n"/>
      <c r="J203" s="91" t="n"/>
      <c r="K203" s="91" t="n"/>
    </row>
    <row r="204" ht="16" customHeight="1">
      <c r="A204" s="92" t="inlineStr"/>
      <c r="B204" s="18" t="inlineStr">
        <is>
          <t>Quarter</t>
        </is>
      </c>
      <c r="C204" s="18" t="inlineStr">
        <is>
          <t>2024-03-31</t>
        </is>
      </c>
      <c r="D204" s="18" t="inlineStr">
        <is>
          <t>2024-06-30</t>
        </is>
      </c>
      <c r="E204" s="18" t="inlineStr">
        <is>
          <t>2024-09-30</t>
        </is>
      </c>
      <c r="F204" s="18" t="inlineStr">
        <is>
          <t>2024-12-31</t>
        </is>
      </c>
      <c r="G204" s="18" t="inlineStr">
        <is>
          <t>2025-03-31</t>
        </is>
      </c>
      <c r="H204" s="18" t="inlineStr">
        <is>
          <t>2025-06-30</t>
        </is>
      </c>
      <c r="I204" s="18" t="inlineStr">
        <is>
          <t>2025-09-30</t>
        </is>
      </c>
      <c r="J204" s="18" t="inlineStr">
        <is>
          <t>2025-12-31</t>
        </is>
      </c>
    </row>
    <row r="205" ht="16" customHeight="1">
      <c r="A205" s="92" t="inlineStr"/>
      <c r="B205" s="61" t="inlineStr">
        <is>
          <t>Revenue ($M)</t>
        </is>
      </c>
      <c r="C205" s="93" t="n">
        <v>249.129</v>
      </c>
      <c r="D205" s="93" t="n">
        <v>233.568</v>
      </c>
      <c r="E205" s="93" t="n">
        <v>298.533</v>
      </c>
      <c r="F205" s="93" t="n">
        <v>214.593</v>
      </c>
      <c r="G205" s="93" t="n">
        <v>265.519</v>
      </c>
      <c r="H205" s="93" t="n">
        <v>296.344</v>
      </c>
      <c r="I205" s="93" t="n">
        <v>352.674</v>
      </c>
      <c r="J205" s="93" t="n">
        <v>289.659</v>
      </c>
    </row>
    <row r="206" ht="16" customHeight="1">
      <c r="A206" s="92" t="inlineStr"/>
      <c r="B206" s="89" t="inlineStr">
        <is>
          <t>Gross Margin %</t>
        </is>
      </c>
      <c r="C206" s="66" t="n">
        <v>0.388</v>
      </c>
      <c r="D206" s="66" t="n">
        <v>0.42</v>
      </c>
      <c r="E206" s="66" t="n">
        <v>0.401</v>
      </c>
      <c r="F206" s="66" t="n">
        <v>0.421</v>
      </c>
      <c r="G206" s="66" t="n">
        <v>0.411</v>
      </c>
      <c r="H206" s="66" t="n">
        <v>0.412</v>
      </c>
      <c r="I206" s="66" t="n">
        <v>0.424</v>
      </c>
      <c r="J206" s="66" t="n">
        <v>0.414</v>
      </c>
    </row>
    <row r="207" ht="16" customHeight="1">
      <c r="A207" s="92" t="inlineStr"/>
      <c r="B207" s="26" t="inlineStr">
        <is>
          <t>QoQ Rev Growth</t>
        </is>
      </c>
      <c r="C207" s="45" t="n"/>
      <c r="D207" s="70" t="n">
        <v>-0.06246161627108848</v>
      </c>
      <c r="E207" s="70" t="n">
        <v>0.2781416974928073</v>
      </c>
      <c r="F207" s="70" t="n">
        <v>-0.2811749454834139</v>
      </c>
      <c r="G207" s="70" t="n">
        <v>0.2373143578774704</v>
      </c>
      <c r="H207" s="70" t="n">
        <v>0.1160933869139308</v>
      </c>
      <c r="I207" s="70" t="n">
        <v>0.1900831466133952</v>
      </c>
      <c r="J207" s="70" t="n">
        <v>-0.1786777590636112</v>
      </c>
    </row>
    <row r="208" ht="16" customHeight="1">
      <c r="A208" s="92" t="inlineStr"/>
      <c r="B208" s="20" t="inlineStr">
        <is>
          <t>YoY Rev Growth</t>
        </is>
      </c>
      <c r="C208" s="42" t="n"/>
      <c r="D208" s="42" t="n"/>
      <c r="E208" s="42" t="n"/>
      <c r="F208" s="42" t="n"/>
      <c r="G208" s="66" t="n">
        <v>0.06578920960626825</v>
      </c>
      <c r="H208" s="66" t="n">
        <v>0.2687696944786957</v>
      </c>
      <c r="I208" s="66" t="n">
        <v>0.1813568349227724</v>
      </c>
      <c r="J208" s="66" t="n">
        <v>0.3498063776544435</v>
      </c>
    </row>
    <row r="209" ht="8" customHeight="1"/>
    <row r="210" ht="18" customHeight="1">
      <c r="A210" s="89" t="inlineStr">
        <is>
          <t>VIAV  —  Viavi Solutions Inc.</t>
        </is>
      </c>
      <c r="C210" s="90" t="inlineStr">
        <is>
          <t>Breakout</t>
        </is>
      </c>
      <c r="D210" s="69" t="inlineStr">
        <is>
          <t>Mkt Cap: $6451M</t>
        </is>
      </c>
      <c r="E210" s="91" t="n"/>
      <c r="F210" s="91" t="n"/>
      <c r="G210" s="91" t="n"/>
      <c r="H210" s="91" t="n"/>
      <c r="I210" s="91" t="n"/>
      <c r="J210" s="91" t="n"/>
      <c r="K210" s="91" t="n"/>
    </row>
    <row r="211" ht="16" customHeight="1">
      <c r="A211" s="92" t="inlineStr"/>
      <c r="B211" s="18" t="inlineStr">
        <is>
          <t>Quarter</t>
        </is>
      </c>
      <c r="C211" s="18" t="inlineStr">
        <is>
          <t>2024-03-30</t>
        </is>
      </c>
      <c r="D211" s="18" t="inlineStr">
        <is>
          <t>2024-06-29</t>
        </is>
      </c>
      <c r="E211" s="18" t="inlineStr">
        <is>
          <t>2024-09-28</t>
        </is>
      </c>
      <c r="F211" s="18" t="inlineStr">
        <is>
          <t>2024-12-28</t>
        </is>
      </c>
      <c r="G211" s="18" t="inlineStr">
        <is>
          <t>2025-03-29</t>
        </is>
      </c>
      <c r="H211" s="18" t="inlineStr">
        <is>
          <t>2025-06-28</t>
        </is>
      </c>
      <c r="I211" s="18" t="inlineStr">
        <is>
          <t>2025-09-27</t>
        </is>
      </c>
      <c r="J211" s="18" t="inlineStr">
        <is>
          <t>2025-12-27</t>
        </is>
      </c>
    </row>
    <row r="212" ht="16" customHeight="1">
      <c r="A212" s="92" t="inlineStr"/>
      <c r="B212" s="61" t="inlineStr">
        <is>
          <t>Revenue ($M)</t>
        </is>
      </c>
      <c r="C212" s="93" t="n">
        <v>246</v>
      </c>
      <c r="D212" s="93" t="n">
        <v>252</v>
      </c>
      <c r="E212" s="93" t="n">
        <v>238.2</v>
      </c>
      <c r="F212" s="93" t="n">
        <v>270.8</v>
      </c>
      <c r="G212" s="93" t="n">
        <v>284.8</v>
      </c>
      <c r="H212" s="93" t="n">
        <v>290.5</v>
      </c>
      <c r="I212" s="93" t="n">
        <v>299.1</v>
      </c>
      <c r="J212" s="93" t="n">
        <v>369.3</v>
      </c>
    </row>
    <row r="213" ht="16" customHeight="1">
      <c r="A213" s="92" t="inlineStr"/>
      <c r="B213" s="89" t="inlineStr">
        <is>
          <t>Gross Margin %</t>
        </is>
      </c>
      <c r="C213" s="66" t="n">
        <v>0.5539999999999999</v>
      </c>
      <c r="D213" s="66" t="n">
        <v>0.573</v>
      </c>
      <c r="E213" s="66" t="n">
        <v>0.5670000000000001</v>
      </c>
      <c r="F213" s="66" t="n">
        <v>0.59</v>
      </c>
      <c r="G213" s="66" t="n">
        <v>0.5600000000000001</v>
      </c>
      <c r="H213" s="66" t="n">
        <v>0.5579999999999999</v>
      </c>
      <c r="I213" s="66" t="n">
        <v>0.5600000000000001</v>
      </c>
      <c r="J213" s="66" t="n">
        <v>0.5529999999999999</v>
      </c>
    </row>
    <row r="214" ht="16" customHeight="1">
      <c r="A214" s="92" t="inlineStr"/>
      <c r="B214" s="26" t="inlineStr">
        <is>
          <t>QoQ Rev Growth</t>
        </is>
      </c>
      <c r="C214" s="45" t="n"/>
      <c r="D214" s="70" t="n">
        <v>0.02439024390243903</v>
      </c>
      <c r="E214" s="70" t="n">
        <v>-0.05476190476190476</v>
      </c>
      <c r="F214" s="70" t="n">
        <v>0.1368597816960537</v>
      </c>
      <c r="G214" s="70" t="n">
        <v>0.051698670605613</v>
      </c>
      <c r="H214" s="70" t="n">
        <v>0.02001404494382023</v>
      </c>
      <c r="I214" s="70" t="n">
        <v>0.02960413080895009</v>
      </c>
      <c r="J214" s="70" t="n">
        <v>0.234704112337011</v>
      </c>
    </row>
    <row r="215" ht="16" customHeight="1">
      <c r="A215" s="92" t="inlineStr"/>
      <c r="B215" s="20" t="inlineStr">
        <is>
          <t>YoY Rev Growth</t>
        </is>
      </c>
      <c r="C215" s="42" t="n"/>
      <c r="D215" s="42" t="n"/>
      <c r="E215" s="42" t="n"/>
      <c r="F215" s="42" t="n"/>
      <c r="G215" s="66" t="n">
        <v>0.1577235772357723</v>
      </c>
      <c r="H215" s="66" t="n">
        <v>0.1527777777777778</v>
      </c>
      <c r="I215" s="66" t="n">
        <v>0.2556675062972292</v>
      </c>
      <c r="J215" s="66" t="n">
        <v>0.3637370753323486</v>
      </c>
    </row>
    <row r="216" ht="8" customHeight="1"/>
  </sheetData>
  <mergeCells count="35">
    <mergeCell ref="A182:B182"/>
    <mergeCell ref="A132:B132"/>
    <mergeCell ref="A61:B61"/>
    <mergeCell ref="A1:K1"/>
    <mergeCell ref="A168:B168"/>
    <mergeCell ref="A146:K146"/>
    <mergeCell ref="A54:B54"/>
    <mergeCell ref="A196:B196"/>
    <mergeCell ref="A90:B90"/>
    <mergeCell ref="A118:B118"/>
    <mergeCell ref="A189:B189"/>
    <mergeCell ref="A75:K75"/>
    <mergeCell ref="A154:B154"/>
    <mergeCell ref="A12:B12"/>
    <mergeCell ref="A26:B26"/>
    <mergeCell ref="A139:B139"/>
    <mergeCell ref="A210:B210"/>
    <mergeCell ref="A104:B104"/>
    <mergeCell ref="A175:B175"/>
    <mergeCell ref="A76:B76"/>
    <mergeCell ref="A33:B33"/>
    <mergeCell ref="A47:B47"/>
    <mergeCell ref="A5:B5"/>
    <mergeCell ref="A2:K2"/>
    <mergeCell ref="A203:B203"/>
    <mergeCell ref="A97:B97"/>
    <mergeCell ref="A125:B125"/>
    <mergeCell ref="A4:K4"/>
    <mergeCell ref="A147:B147"/>
    <mergeCell ref="A19:B19"/>
    <mergeCell ref="A68:B68"/>
    <mergeCell ref="A161:B161"/>
    <mergeCell ref="A111:B111"/>
    <mergeCell ref="A40:B40"/>
    <mergeCell ref="A83:B83"/>
  </mergeCells>
  <conditionalFormatting sqref="C8:J8">
    <cfRule type="colorScale" priority="1">
      <colorScale>
        <cfvo type="min"/>
        <cfvo type="max"/>
        <color rgb="00FFFFFF"/>
        <color rgb="002A9D8F"/>
      </colorScale>
    </cfRule>
  </conditionalFormatting>
  <conditionalFormatting sqref="D9:J9">
    <cfRule type="colorScale" priority="2">
      <colorScale>
        <cfvo type="min"/>
        <cfvo type="num" val="0"/>
        <cfvo type="max"/>
        <color rgb="00E76F51"/>
        <color rgb="00FFFFFF"/>
        <color rgb="002A9D8F"/>
      </colorScale>
    </cfRule>
  </conditionalFormatting>
  <conditionalFormatting sqref="C15:J15">
    <cfRule type="colorScale" priority="3">
      <colorScale>
        <cfvo type="min"/>
        <cfvo type="max"/>
        <color rgb="00FFFFFF"/>
        <color rgb="002A9D8F"/>
      </colorScale>
    </cfRule>
  </conditionalFormatting>
  <conditionalFormatting sqref="D16:J16">
    <cfRule type="colorScale" priority="4">
      <colorScale>
        <cfvo type="min"/>
        <cfvo type="num" val="0"/>
        <cfvo type="max"/>
        <color rgb="00E76F51"/>
        <color rgb="00FFFFFF"/>
        <color rgb="002A9D8F"/>
      </colorScale>
    </cfRule>
  </conditionalFormatting>
  <conditionalFormatting sqref="C22:J22">
    <cfRule type="colorScale" priority="5">
      <colorScale>
        <cfvo type="min"/>
        <cfvo type="max"/>
        <color rgb="00FFFFFF"/>
        <color rgb="002A9D8F"/>
      </colorScale>
    </cfRule>
  </conditionalFormatting>
  <conditionalFormatting sqref="D23:J23">
    <cfRule type="colorScale" priority="6">
      <colorScale>
        <cfvo type="min"/>
        <cfvo type="num" val="0"/>
        <cfvo type="max"/>
        <color rgb="00E76F51"/>
        <color rgb="00FFFFFF"/>
        <color rgb="002A9D8F"/>
      </colorScale>
    </cfRule>
  </conditionalFormatting>
  <conditionalFormatting sqref="C29:J29">
    <cfRule type="colorScale" priority="7">
      <colorScale>
        <cfvo type="min"/>
        <cfvo type="max"/>
        <color rgb="00FFFFFF"/>
        <color rgb="002A9D8F"/>
      </colorScale>
    </cfRule>
  </conditionalFormatting>
  <conditionalFormatting sqref="D30:J30">
    <cfRule type="colorScale" priority="8">
      <colorScale>
        <cfvo type="min"/>
        <cfvo type="num" val="0"/>
        <cfvo type="max"/>
        <color rgb="00E76F51"/>
        <color rgb="00FFFFFF"/>
        <color rgb="002A9D8F"/>
      </colorScale>
    </cfRule>
  </conditionalFormatting>
  <conditionalFormatting sqref="C36:J36">
    <cfRule type="colorScale" priority="9">
      <colorScale>
        <cfvo type="min"/>
        <cfvo type="max"/>
        <color rgb="00FFFFFF"/>
        <color rgb="002A9D8F"/>
      </colorScale>
    </cfRule>
  </conditionalFormatting>
  <conditionalFormatting sqref="D37:J37">
    <cfRule type="colorScale" priority="10">
      <colorScale>
        <cfvo type="min"/>
        <cfvo type="num" val="0"/>
        <cfvo type="max"/>
        <color rgb="00E76F51"/>
        <color rgb="00FFFFFF"/>
        <color rgb="002A9D8F"/>
      </colorScale>
    </cfRule>
  </conditionalFormatting>
  <conditionalFormatting sqref="C43:J43">
    <cfRule type="colorScale" priority="11">
      <colorScale>
        <cfvo type="min"/>
        <cfvo type="max"/>
        <color rgb="00FFFFFF"/>
        <color rgb="002A9D8F"/>
      </colorScale>
    </cfRule>
  </conditionalFormatting>
  <conditionalFormatting sqref="D44:J44">
    <cfRule type="colorScale" priority="12">
      <colorScale>
        <cfvo type="min"/>
        <cfvo type="num" val="0"/>
        <cfvo type="max"/>
        <color rgb="00E76F51"/>
        <color rgb="00FFFFFF"/>
        <color rgb="002A9D8F"/>
      </colorScale>
    </cfRule>
  </conditionalFormatting>
  <conditionalFormatting sqref="C50:J50">
    <cfRule type="colorScale" priority="13">
      <colorScale>
        <cfvo type="min"/>
        <cfvo type="max"/>
        <color rgb="00FFFFFF"/>
        <color rgb="002A9D8F"/>
      </colorScale>
    </cfRule>
  </conditionalFormatting>
  <conditionalFormatting sqref="D51:J51">
    <cfRule type="colorScale" priority="14">
      <colorScale>
        <cfvo type="min"/>
        <cfvo type="num" val="0"/>
        <cfvo type="max"/>
        <color rgb="00E76F51"/>
        <color rgb="00FFFFFF"/>
        <color rgb="002A9D8F"/>
      </colorScale>
    </cfRule>
  </conditionalFormatting>
  <conditionalFormatting sqref="C57:J57">
    <cfRule type="colorScale" priority="15">
      <colorScale>
        <cfvo type="min"/>
        <cfvo type="max"/>
        <color rgb="00FFFFFF"/>
        <color rgb="002A9D8F"/>
      </colorScale>
    </cfRule>
  </conditionalFormatting>
  <conditionalFormatting sqref="D58:J58">
    <cfRule type="colorScale" priority="16">
      <colorScale>
        <cfvo type="min"/>
        <cfvo type="num" val="0"/>
        <cfvo type="max"/>
        <color rgb="00E76F51"/>
        <color rgb="00FFFFFF"/>
        <color rgb="002A9D8F"/>
      </colorScale>
    </cfRule>
  </conditionalFormatting>
  <conditionalFormatting sqref="C64:I64">
    <cfRule type="colorScale" priority="17">
      <colorScale>
        <cfvo type="min"/>
        <cfvo type="max"/>
        <color rgb="00FFFFFF"/>
        <color rgb="002A9D8F"/>
      </colorScale>
    </cfRule>
  </conditionalFormatting>
  <conditionalFormatting sqref="D65:I65">
    <cfRule type="colorScale" priority="18">
      <colorScale>
        <cfvo type="min"/>
        <cfvo type="num" val="0"/>
        <cfvo type="max"/>
        <color rgb="00E76F51"/>
        <color rgb="00FFFFFF"/>
        <color rgb="002A9D8F"/>
      </colorScale>
    </cfRule>
  </conditionalFormatting>
  <conditionalFormatting sqref="C71:J71">
    <cfRule type="colorScale" priority="19">
      <colorScale>
        <cfvo type="min"/>
        <cfvo type="max"/>
        <color rgb="00FFFFFF"/>
        <color rgb="002A9D8F"/>
      </colorScale>
    </cfRule>
  </conditionalFormatting>
  <conditionalFormatting sqref="D72:J72">
    <cfRule type="colorScale" priority="20">
      <colorScale>
        <cfvo type="min"/>
        <cfvo type="num" val="0"/>
        <cfvo type="max"/>
        <color rgb="00E76F51"/>
        <color rgb="00FFFFFF"/>
        <color rgb="002A9D8F"/>
      </colorScale>
    </cfRule>
  </conditionalFormatting>
  <conditionalFormatting sqref="C79:J79">
    <cfRule type="colorScale" priority="21">
      <colorScale>
        <cfvo type="min"/>
        <cfvo type="max"/>
        <color rgb="00FFFFFF"/>
        <color rgb="002A9D8F"/>
      </colorScale>
    </cfRule>
  </conditionalFormatting>
  <conditionalFormatting sqref="D80:J80">
    <cfRule type="colorScale" priority="22">
      <colorScale>
        <cfvo type="min"/>
        <cfvo type="num" val="0"/>
        <cfvo type="max"/>
        <color rgb="00E76F51"/>
        <color rgb="00FFFFFF"/>
        <color rgb="002A9D8F"/>
      </colorScale>
    </cfRule>
  </conditionalFormatting>
  <conditionalFormatting sqref="C86:J86">
    <cfRule type="colorScale" priority="23">
      <colorScale>
        <cfvo type="min"/>
        <cfvo type="max"/>
        <color rgb="00FFFFFF"/>
        <color rgb="002A9D8F"/>
      </colorScale>
    </cfRule>
  </conditionalFormatting>
  <conditionalFormatting sqref="D87:J87">
    <cfRule type="colorScale" priority="24">
      <colorScale>
        <cfvo type="min"/>
        <cfvo type="num" val="0"/>
        <cfvo type="max"/>
        <color rgb="00E76F51"/>
        <color rgb="00FFFFFF"/>
        <color rgb="002A9D8F"/>
      </colorScale>
    </cfRule>
  </conditionalFormatting>
  <conditionalFormatting sqref="C93:J93">
    <cfRule type="colorScale" priority="25">
      <colorScale>
        <cfvo type="min"/>
        <cfvo type="max"/>
        <color rgb="00FFFFFF"/>
        <color rgb="002A9D8F"/>
      </colorScale>
    </cfRule>
  </conditionalFormatting>
  <conditionalFormatting sqref="D94:J94">
    <cfRule type="colorScale" priority="26">
      <colorScale>
        <cfvo type="min"/>
        <cfvo type="num" val="0"/>
        <cfvo type="max"/>
        <color rgb="00E76F51"/>
        <color rgb="00FFFFFF"/>
        <color rgb="002A9D8F"/>
      </colorScale>
    </cfRule>
  </conditionalFormatting>
  <conditionalFormatting sqref="C100:J100">
    <cfRule type="colorScale" priority="27">
      <colorScale>
        <cfvo type="min"/>
        <cfvo type="max"/>
        <color rgb="00FFFFFF"/>
        <color rgb="002A9D8F"/>
      </colorScale>
    </cfRule>
  </conditionalFormatting>
  <conditionalFormatting sqref="D101:J101">
    <cfRule type="colorScale" priority="28">
      <colorScale>
        <cfvo type="min"/>
        <cfvo type="num" val="0"/>
        <cfvo type="max"/>
        <color rgb="00E76F51"/>
        <color rgb="00FFFFFF"/>
        <color rgb="002A9D8F"/>
      </colorScale>
    </cfRule>
  </conditionalFormatting>
  <conditionalFormatting sqref="C107:J107">
    <cfRule type="colorScale" priority="29">
      <colorScale>
        <cfvo type="min"/>
        <cfvo type="max"/>
        <color rgb="00FFFFFF"/>
        <color rgb="002A9D8F"/>
      </colorScale>
    </cfRule>
  </conditionalFormatting>
  <conditionalFormatting sqref="D108:J108">
    <cfRule type="colorScale" priority="30">
      <colorScale>
        <cfvo type="min"/>
        <cfvo type="num" val="0"/>
        <cfvo type="max"/>
        <color rgb="00E76F51"/>
        <color rgb="00FFFFFF"/>
        <color rgb="002A9D8F"/>
      </colorScale>
    </cfRule>
  </conditionalFormatting>
  <conditionalFormatting sqref="C114:J114">
    <cfRule type="colorScale" priority="31">
      <colorScale>
        <cfvo type="min"/>
        <cfvo type="max"/>
        <color rgb="00FFFFFF"/>
        <color rgb="002A9D8F"/>
      </colorScale>
    </cfRule>
  </conditionalFormatting>
  <conditionalFormatting sqref="D115:J115">
    <cfRule type="colorScale" priority="32">
      <colorScale>
        <cfvo type="min"/>
        <cfvo type="num" val="0"/>
        <cfvo type="max"/>
        <color rgb="00E76F51"/>
        <color rgb="00FFFFFF"/>
        <color rgb="002A9D8F"/>
      </colorScale>
    </cfRule>
  </conditionalFormatting>
  <conditionalFormatting sqref="C121:J121">
    <cfRule type="colorScale" priority="33">
      <colorScale>
        <cfvo type="min"/>
        <cfvo type="max"/>
        <color rgb="00FFFFFF"/>
        <color rgb="002A9D8F"/>
      </colorScale>
    </cfRule>
  </conditionalFormatting>
  <conditionalFormatting sqref="D122:J122">
    <cfRule type="colorScale" priority="34">
      <colorScale>
        <cfvo type="min"/>
        <cfvo type="num" val="0"/>
        <cfvo type="max"/>
        <color rgb="00E76F51"/>
        <color rgb="00FFFFFF"/>
        <color rgb="002A9D8F"/>
      </colorScale>
    </cfRule>
  </conditionalFormatting>
  <conditionalFormatting sqref="C128:J128">
    <cfRule type="colorScale" priority="35">
      <colorScale>
        <cfvo type="min"/>
        <cfvo type="max"/>
        <color rgb="00FFFFFF"/>
        <color rgb="002A9D8F"/>
      </colorScale>
    </cfRule>
  </conditionalFormatting>
  <conditionalFormatting sqref="D129:J129">
    <cfRule type="colorScale" priority="36">
      <colorScale>
        <cfvo type="min"/>
        <cfvo type="num" val="0"/>
        <cfvo type="max"/>
        <color rgb="00E76F51"/>
        <color rgb="00FFFFFF"/>
        <color rgb="002A9D8F"/>
      </colorScale>
    </cfRule>
  </conditionalFormatting>
  <conditionalFormatting sqref="C135:J135">
    <cfRule type="colorScale" priority="37">
      <colorScale>
        <cfvo type="min"/>
        <cfvo type="max"/>
        <color rgb="00FFFFFF"/>
        <color rgb="002A9D8F"/>
      </colorScale>
    </cfRule>
  </conditionalFormatting>
  <conditionalFormatting sqref="D136:J136">
    <cfRule type="colorScale" priority="38">
      <colorScale>
        <cfvo type="min"/>
        <cfvo type="num" val="0"/>
        <cfvo type="max"/>
        <color rgb="00E76F51"/>
        <color rgb="00FFFFFF"/>
        <color rgb="002A9D8F"/>
      </colorScale>
    </cfRule>
  </conditionalFormatting>
  <conditionalFormatting sqref="C142:J142">
    <cfRule type="colorScale" priority="39">
      <colorScale>
        <cfvo type="min"/>
        <cfvo type="max"/>
        <color rgb="00FFFFFF"/>
        <color rgb="002A9D8F"/>
      </colorScale>
    </cfRule>
  </conditionalFormatting>
  <conditionalFormatting sqref="D143:J143">
    <cfRule type="colorScale" priority="40">
      <colorScale>
        <cfvo type="min"/>
        <cfvo type="num" val="0"/>
        <cfvo type="max"/>
        <color rgb="00E76F51"/>
        <color rgb="00FFFFFF"/>
        <color rgb="002A9D8F"/>
      </colorScale>
    </cfRule>
  </conditionalFormatting>
  <conditionalFormatting sqref="C150:J150">
    <cfRule type="colorScale" priority="41">
      <colorScale>
        <cfvo type="min"/>
        <cfvo type="max"/>
        <color rgb="00FFFFFF"/>
        <color rgb="002A9D8F"/>
      </colorScale>
    </cfRule>
  </conditionalFormatting>
  <conditionalFormatting sqref="D151:J151">
    <cfRule type="colorScale" priority="42">
      <colorScale>
        <cfvo type="min"/>
        <cfvo type="num" val="0"/>
        <cfvo type="max"/>
        <color rgb="00E76F51"/>
        <color rgb="00FFFFFF"/>
        <color rgb="002A9D8F"/>
      </colorScale>
    </cfRule>
  </conditionalFormatting>
  <conditionalFormatting sqref="C157:J157">
    <cfRule type="colorScale" priority="43">
      <colorScale>
        <cfvo type="min"/>
        <cfvo type="max"/>
        <color rgb="00FFFFFF"/>
        <color rgb="002A9D8F"/>
      </colorScale>
    </cfRule>
  </conditionalFormatting>
  <conditionalFormatting sqref="D158:J158">
    <cfRule type="colorScale" priority="44">
      <colorScale>
        <cfvo type="min"/>
        <cfvo type="num" val="0"/>
        <cfvo type="max"/>
        <color rgb="00E76F51"/>
        <color rgb="00FFFFFF"/>
        <color rgb="002A9D8F"/>
      </colorScale>
    </cfRule>
  </conditionalFormatting>
  <conditionalFormatting sqref="C164:J164">
    <cfRule type="colorScale" priority="45">
      <colorScale>
        <cfvo type="min"/>
        <cfvo type="max"/>
        <color rgb="00FFFFFF"/>
        <color rgb="002A9D8F"/>
      </colorScale>
    </cfRule>
  </conditionalFormatting>
  <conditionalFormatting sqref="D165:J165">
    <cfRule type="colorScale" priority="46">
      <colorScale>
        <cfvo type="min"/>
        <cfvo type="num" val="0"/>
        <cfvo type="max"/>
        <color rgb="00E76F51"/>
        <color rgb="00FFFFFF"/>
        <color rgb="002A9D8F"/>
      </colorScale>
    </cfRule>
  </conditionalFormatting>
  <conditionalFormatting sqref="C171:J171">
    <cfRule type="colorScale" priority="47">
      <colorScale>
        <cfvo type="min"/>
        <cfvo type="max"/>
        <color rgb="00FFFFFF"/>
        <color rgb="002A9D8F"/>
      </colorScale>
    </cfRule>
  </conditionalFormatting>
  <conditionalFormatting sqref="D172:J172">
    <cfRule type="colorScale" priority="48">
      <colorScale>
        <cfvo type="min"/>
        <cfvo type="num" val="0"/>
        <cfvo type="max"/>
        <color rgb="00E76F51"/>
        <color rgb="00FFFFFF"/>
        <color rgb="002A9D8F"/>
      </colorScale>
    </cfRule>
  </conditionalFormatting>
  <conditionalFormatting sqref="C178:J178">
    <cfRule type="colorScale" priority="49">
      <colorScale>
        <cfvo type="min"/>
        <cfvo type="max"/>
        <color rgb="00FFFFFF"/>
        <color rgb="002A9D8F"/>
      </colorScale>
    </cfRule>
  </conditionalFormatting>
  <conditionalFormatting sqref="D179:J179">
    <cfRule type="colorScale" priority="50">
      <colorScale>
        <cfvo type="min"/>
        <cfvo type="num" val="0"/>
        <cfvo type="max"/>
        <color rgb="00E76F51"/>
        <color rgb="00FFFFFF"/>
        <color rgb="002A9D8F"/>
      </colorScale>
    </cfRule>
  </conditionalFormatting>
  <conditionalFormatting sqref="C185:J185">
    <cfRule type="colorScale" priority="51">
      <colorScale>
        <cfvo type="min"/>
        <cfvo type="max"/>
        <color rgb="00FFFFFF"/>
        <color rgb="002A9D8F"/>
      </colorScale>
    </cfRule>
  </conditionalFormatting>
  <conditionalFormatting sqref="D186:J186">
    <cfRule type="colorScale" priority="52">
      <colorScale>
        <cfvo type="min"/>
        <cfvo type="num" val="0"/>
        <cfvo type="max"/>
        <color rgb="00E76F51"/>
        <color rgb="00FFFFFF"/>
        <color rgb="002A9D8F"/>
      </colorScale>
    </cfRule>
  </conditionalFormatting>
  <conditionalFormatting sqref="C192:J192">
    <cfRule type="colorScale" priority="53">
      <colorScale>
        <cfvo type="min"/>
        <cfvo type="max"/>
        <color rgb="00FFFFFF"/>
        <color rgb="002A9D8F"/>
      </colorScale>
    </cfRule>
  </conditionalFormatting>
  <conditionalFormatting sqref="D193:J193">
    <cfRule type="colorScale" priority="54">
      <colorScale>
        <cfvo type="min"/>
        <cfvo type="num" val="0"/>
        <cfvo type="max"/>
        <color rgb="00E76F51"/>
        <color rgb="00FFFFFF"/>
        <color rgb="002A9D8F"/>
      </colorScale>
    </cfRule>
  </conditionalFormatting>
  <conditionalFormatting sqref="C199:J199">
    <cfRule type="colorScale" priority="55">
      <colorScale>
        <cfvo type="min"/>
        <cfvo type="max"/>
        <color rgb="00FFFFFF"/>
        <color rgb="002A9D8F"/>
      </colorScale>
    </cfRule>
  </conditionalFormatting>
  <conditionalFormatting sqref="D200:J200">
    <cfRule type="colorScale" priority="56">
      <colorScale>
        <cfvo type="min"/>
        <cfvo type="num" val="0"/>
        <cfvo type="max"/>
        <color rgb="00E76F51"/>
        <color rgb="00FFFFFF"/>
        <color rgb="002A9D8F"/>
      </colorScale>
    </cfRule>
  </conditionalFormatting>
  <conditionalFormatting sqref="C206:J206">
    <cfRule type="colorScale" priority="57">
      <colorScale>
        <cfvo type="min"/>
        <cfvo type="max"/>
        <color rgb="00FFFFFF"/>
        <color rgb="002A9D8F"/>
      </colorScale>
    </cfRule>
  </conditionalFormatting>
  <conditionalFormatting sqref="D207:J207">
    <cfRule type="colorScale" priority="58">
      <colorScale>
        <cfvo type="min"/>
        <cfvo type="num" val="0"/>
        <cfvo type="max"/>
        <color rgb="00E76F51"/>
        <color rgb="00FFFFFF"/>
        <color rgb="002A9D8F"/>
      </colorScale>
    </cfRule>
  </conditionalFormatting>
  <conditionalFormatting sqref="C213:J213">
    <cfRule type="colorScale" priority="59">
      <colorScale>
        <cfvo type="min"/>
        <cfvo type="max"/>
        <color rgb="00FFFFFF"/>
        <color rgb="002A9D8F"/>
      </colorScale>
    </cfRule>
  </conditionalFormatting>
  <conditionalFormatting sqref="D214:J214">
    <cfRule type="colorScale" priority="60">
      <colorScale>
        <cfvo type="min"/>
        <cfvo type="num" val="0"/>
        <cfvo type="max"/>
        <color rgb="00E76F51"/>
        <color rgb="00FFFFFF"/>
        <color rgb="002A9D8F"/>
      </colorScale>
    </cfRule>
  </conditionalFormatting>
  <pageMargins left="0.75" right="0.75" top="1" bottom="1" header="0.5" footer="0.5"/>
  <pageSetup orientation="landscape" fitToWidth="1"/>
</worksheet>
</file>

<file path=xl/worksheets/sheet12.xml><?xml version="1.0" encoding="utf-8"?>
<worksheet xmlns="http://schemas.openxmlformats.org/spreadsheetml/2006/main">
  <sheetPr>
    <tabColor rgb="00C9A84C"/>
    <outlinePr summaryBelow="1" summaryRight="1"/>
    <pageSetUpPr fitToPage="1"/>
  </sheetPr>
  <dimension ref="A1:Q6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ht="28" customHeight="1">
      <c r="A1" s="15" t="inlineStr">
        <is>
          <t>THE FINGERPRINT — Pre-Run Profiles of 10x Stocks</t>
        </is>
      </c>
    </row>
    <row r="2" ht="20" customHeight="1"/>
    <row r="3" ht="20" customHeight="1">
      <c r="A3" s="31" t="inlineStr">
        <is>
          <t>Historical winners at their pre-run inflection point — the benchmark for scoring</t>
        </is>
      </c>
    </row>
    <row r="4" ht="8" customHeight="1"/>
    <row r="5" ht="22" customHeight="1">
      <c r="A5" s="16" t="inlineStr">
        <is>
          <t>REFERENCE STOCK PROFILES</t>
        </is>
      </c>
      <c r="B5" s="17" t="n"/>
      <c r="C5" s="17" t="n"/>
      <c r="D5" s="17" t="n"/>
      <c r="E5" s="17" t="n"/>
      <c r="F5" s="17" t="n"/>
      <c r="G5" s="17" t="n"/>
      <c r="H5" s="17" t="n"/>
      <c r="I5" s="17" t="n"/>
      <c r="J5" s="17" t="n"/>
      <c r="K5" s="17" t="n"/>
      <c r="L5" s="17" t="n"/>
      <c r="M5" s="17" t="n"/>
      <c r="N5" s="17" t="n"/>
      <c r="O5" s="17" t="n"/>
      <c r="P5" s="17" t="n"/>
      <c r="Q5" s="17" t="n"/>
    </row>
    <row r="6">
      <c r="A6" s="94" t="inlineStr">
        <is>
          <t>LITE  —  Lumentum Holdings</t>
        </is>
      </c>
      <c r="B6" s="75" t="n"/>
      <c r="C6" s="75" t="n"/>
      <c r="D6" s="75" t="n"/>
      <c r="E6" s="95" t="n"/>
      <c r="G6" s="94" t="inlineStr">
        <is>
          <t>COHR  —  Coherent Corp (formerly II-VI)</t>
        </is>
      </c>
      <c r="H6" s="75" t="n"/>
      <c r="I6" s="75" t="n"/>
      <c r="J6" s="75" t="n"/>
      <c r="K6" s="95" t="n"/>
      <c r="M6" s="94" t="inlineStr">
        <is>
          <t>AAOI  —  Applied Optoelectronics</t>
        </is>
      </c>
      <c r="N6" s="75" t="n"/>
      <c r="O6" s="75" t="n"/>
      <c r="P6" s="75" t="n"/>
      <c r="Q6" s="95" t="n"/>
    </row>
    <row r="7">
      <c r="A7" s="96" t="inlineStr">
        <is>
          <t>Run Period: 2017   ▲ 850%</t>
        </is>
      </c>
      <c r="B7" s="91" t="n"/>
      <c r="C7" s="91" t="n"/>
      <c r="D7" s="91" t="n"/>
      <c r="E7" s="97" t="n"/>
      <c r="G7" s="96" t="inlineStr">
        <is>
          <t>Run Period: 2016   ▲ 600%</t>
        </is>
      </c>
      <c r="H7" s="91" t="n"/>
      <c r="I7" s="91" t="n"/>
      <c r="J7" s="91" t="n"/>
      <c r="K7" s="97" t="n"/>
      <c r="M7" s="96" t="inlineStr">
        <is>
          <t>Run Period: 2017   ▲ 1,200%</t>
        </is>
      </c>
      <c r="N7" s="91" t="n"/>
      <c r="O7" s="91" t="n"/>
      <c r="P7" s="91" t="n"/>
      <c r="Q7" s="97" t="n"/>
    </row>
    <row r="8">
      <c r="A8" s="98" t="inlineStr">
        <is>
          <t>Market Cap</t>
        </is>
      </c>
      <c r="B8" s="89" t="inlineStr">
        <is>
          <t>$1200M</t>
        </is>
      </c>
      <c r="C8" s="91" t="n"/>
      <c r="D8" s="91" t="n"/>
      <c r="E8" s="97" t="n"/>
      <c r="G8" s="98" t="inlineStr">
        <is>
          <t>Market Cap</t>
        </is>
      </c>
      <c r="H8" s="89" t="inlineStr">
        <is>
          <t>$900M</t>
        </is>
      </c>
      <c r="I8" s="91" t="n"/>
      <c r="J8" s="91" t="n"/>
      <c r="K8" s="97" t="n"/>
      <c r="M8" s="98" t="inlineStr">
        <is>
          <t>Market Cap</t>
        </is>
      </c>
      <c r="N8" s="89" t="inlineStr">
        <is>
          <t>$300M</t>
        </is>
      </c>
      <c r="O8" s="91" t="n"/>
      <c r="P8" s="91" t="n"/>
      <c r="Q8" s="97" t="n"/>
    </row>
    <row r="9">
      <c r="A9" s="98" t="inlineStr">
        <is>
          <t>Revenue Growth</t>
        </is>
      </c>
      <c r="B9" s="89" t="inlineStr">
        <is>
          <t>38%</t>
        </is>
      </c>
      <c r="C9" s="91" t="n"/>
      <c r="D9" s="91" t="n"/>
      <c r="E9" s="97" t="n"/>
      <c r="G9" s="98" t="inlineStr">
        <is>
          <t>Revenue Growth</t>
        </is>
      </c>
      <c r="H9" s="89" t="inlineStr">
        <is>
          <t>22%</t>
        </is>
      </c>
      <c r="I9" s="91" t="n"/>
      <c r="J9" s="91" t="n"/>
      <c r="K9" s="97" t="n"/>
      <c r="M9" s="98" t="inlineStr">
        <is>
          <t>Revenue Growth</t>
        </is>
      </c>
      <c r="N9" s="89" t="inlineStr">
        <is>
          <t>95%</t>
        </is>
      </c>
      <c r="O9" s="91" t="n"/>
      <c r="P9" s="91" t="n"/>
      <c r="Q9" s="97" t="n"/>
    </row>
    <row r="10">
      <c r="A10" s="98" t="inlineStr">
        <is>
          <t>Gross Margin</t>
        </is>
      </c>
      <c r="B10" s="89" t="inlineStr">
        <is>
          <t>44%</t>
        </is>
      </c>
      <c r="C10" s="91" t="n"/>
      <c r="D10" s="91" t="n"/>
      <c r="E10" s="97" t="n"/>
      <c r="G10" s="98" t="inlineStr">
        <is>
          <t>Gross Margin</t>
        </is>
      </c>
      <c r="H10" s="89" t="inlineStr">
        <is>
          <t>50%</t>
        </is>
      </c>
      <c r="I10" s="91" t="n"/>
      <c r="J10" s="91" t="n"/>
      <c r="K10" s="97" t="n"/>
      <c r="M10" s="98" t="inlineStr">
        <is>
          <t>Gross Margin</t>
        </is>
      </c>
      <c r="N10" s="89" t="inlineStr">
        <is>
          <t>38%</t>
        </is>
      </c>
      <c r="O10" s="91" t="n"/>
      <c r="P10" s="91" t="n"/>
      <c r="Q10" s="97" t="n"/>
    </row>
    <row r="11">
      <c r="A11" s="98" t="inlineStr">
        <is>
          <t>Insider Ownership</t>
        </is>
      </c>
      <c r="B11" s="89" t="inlineStr">
        <is>
          <t>8%</t>
        </is>
      </c>
      <c r="C11" s="91" t="n"/>
      <c r="D11" s="91" t="n"/>
      <c r="E11" s="97" t="n"/>
      <c r="G11" s="98" t="inlineStr">
        <is>
          <t>Insider Ownership</t>
        </is>
      </c>
      <c r="H11" s="89" t="inlineStr">
        <is>
          <t>12%</t>
        </is>
      </c>
      <c r="I11" s="91" t="n"/>
      <c r="J11" s="91" t="n"/>
      <c r="K11" s="97" t="n"/>
      <c r="M11" s="98" t="inlineStr">
        <is>
          <t>Insider Ownership</t>
        </is>
      </c>
      <c r="N11" s="89" t="inlineStr">
        <is>
          <t>20%</t>
        </is>
      </c>
      <c r="O11" s="91" t="n"/>
      <c r="P11" s="91" t="n"/>
      <c r="Q11" s="97" t="n"/>
    </row>
    <row r="12">
      <c r="A12" s="98" t="inlineStr">
        <is>
          <t>Dilution 3yr</t>
        </is>
      </c>
      <c r="B12" s="89" t="inlineStr">
        <is>
          <t>4%</t>
        </is>
      </c>
      <c r="C12" s="91" t="n"/>
      <c r="D12" s="91" t="n"/>
      <c r="E12" s="97" t="n"/>
      <c r="G12" s="98" t="inlineStr">
        <is>
          <t>Dilution 3yr</t>
        </is>
      </c>
      <c r="H12" s="89" t="inlineStr">
        <is>
          <t>6%</t>
        </is>
      </c>
      <c r="I12" s="91" t="n"/>
      <c r="J12" s="91" t="n"/>
      <c r="K12" s="97" t="n"/>
      <c r="M12" s="98" t="inlineStr">
        <is>
          <t>Dilution 3yr</t>
        </is>
      </c>
      <c r="N12" s="89" t="inlineStr">
        <is>
          <t>3%</t>
        </is>
      </c>
      <c r="O12" s="91" t="n"/>
      <c r="P12" s="91" t="n"/>
      <c r="Q12" s="97" t="n"/>
    </row>
    <row r="13">
      <c r="A13" s="99" t="inlineStr">
        <is>
          <t>Data center optical interconnects</t>
        </is>
      </c>
      <c r="B13" s="91" t="n"/>
      <c r="C13" s="91" t="n"/>
      <c r="D13" s="91" t="n"/>
      <c r="E13" s="97" t="n"/>
      <c r="G13" s="99" t="inlineStr">
        <is>
          <t>Optical networking + vertical integration</t>
        </is>
      </c>
      <c r="H13" s="91" t="n"/>
      <c r="I13" s="91" t="n"/>
      <c r="J13" s="91" t="n"/>
      <c r="K13" s="97" t="n"/>
      <c r="M13" s="99" t="inlineStr">
        <is>
          <t>Hyperscaler data center buildout</t>
        </is>
      </c>
      <c r="N13" s="91" t="n"/>
      <c r="O13" s="91" t="n"/>
      <c r="P13" s="91" t="n"/>
      <c r="Q13" s="97" t="n"/>
    </row>
    <row r="19">
      <c r="A19" s="94" t="inlineStr">
        <is>
          <t>KTOS  —  Kratos Defense &amp; Security</t>
        </is>
      </c>
      <c r="B19" s="75" t="n"/>
      <c r="C19" s="75" t="n"/>
      <c r="D19" s="75" t="n"/>
      <c r="E19" s="95" t="n"/>
      <c r="G19" s="94" t="inlineStr">
        <is>
          <t>RKLB  —  Rocket Lab USA</t>
        </is>
      </c>
      <c r="H19" s="75" t="n"/>
      <c r="I19" s="75" t="n"/>
      <c r="J19" s="75" t="n"/>
      <c r="K19" s="95" t="n"/>
      <c r="M19" s="94" t="inlineStr">
        <is>
          <t>MVIS  —  MicroVision</t>
        </is>
      </c>
      <c r="N19" s="75" t="n"/>
      <c r="O19" s="75" t="n"/>
      <c r="P19" s="75" t="n"/>
      <c r="Q19" s="95" t="n"/>
    </row>
    <row r="20">
      <c r="A20" s="96" t="inlineStr">
        <is>
          <t>Run Period: 2019   ▲ 500%</t>
        </is>
      </c>
      <c r="B20" s="91" t="n"/>
      <c r="C20" s="91" t="n"/>
      <c r="D20" s="91" t="n"/>
      <c r="E20" s="97" t="n"/>
      <c r="G20" s="96" t="inlineStr">
        <is>
          <t>Run Period: 2023   ▲ 400%</t>
        </is>
      </c>
      <c r="H20" s="91" t="n"/>
      <c r="I20" s="91" t="n"/>
      <c r="J20" s="91" t="n"/>
      <c r="K20" s="97" t="n"/>
      <c r="M20" s="96" t="inlineStr">
        <is>
          <t>Run Period: 2021   ▲ 700%</t>
        </is>
      </c>
      <c r="N20" s="91" t="n"/>
      <c r="O20" s="91" t="n"/>
      <c r="P20" s="91" t="n"/>
      <c r="Q20" s="97" t="n"/>
    </row>
    <row r="21">
      <c r="A21" s="98" t="inlineStr">
        <is>
          <t>Market Cap</t>
        </is>
      </c>
      <c r="B21" s="89" t="inlineStr">
        <is>
          <t>$700M</t>
        </is>
      </c>
      <c r="C21" s="91" t="n"/>
      <c r="D21" s="91" t="n"/>
      <c r="E21" s="97" t="n"/>
      <c r="G21" s="98" t="inlineStr">
        <is>
          <t>Market Cap</t>
        </is>
      </c>
      <c r="H21" s="89" t="inlineStr">
        <is>
          <t>$1200M</t>
        </is>
      </c>
      <c r="I21" s="91" t="n"/>
      <c r="J21" s="91" t="n"/>
      <c r="K21" s="97" t="n"/>
      <c r="M21" s="98" t="inlineStr">
        <is>
          <t>Market Cap</t>
        </is>
      </c>
      <c r="N21" s="89" t="inlineStr">
        <is>
          <t>$150M</t>
        </is>
      </c>
      <c r="O21" s="91" t="n"/>
      <c r="P21" s="91" t="n"/>
      <c r="Q21" s="97" t="n"/>
    </row>
    <row r="22">
      <c r="A22" s="98" t="inlineStr">
        <is>
          <t>Revenue Growth</t>
        </is>
      </c>
      <c r="B22" s="89" t="inlineStr">
        <is>
          <t>18%</t>
        </is>
      </c>
      <c r="C22" s="91" t="n"/>
      <c r="D22" s="91" t="n"/>
      <c r="E22" s="97" t="n"/>
      <c r="G22" s="98" t="inlineStr">
        <is>
          <t>Revenue Growth</t>
        </is>
      </c>
      <c r="H22" s="89" t="inlineStr">
        <is>
          <t>55%</t>
        </is>
      </c>
      <c r="I22" s="91" t="n"/>
      <c r="J22" s="91" t="n"/>
      <c r="K22" s="97" t="n"/>
      <c r="M22" s="98" t="inlineStr">
        <is>
          <t>Revenue Growth</t>
        </is>
      </c>
      <c r="N22" s="89" t="inlineStr">
        <is>
          <t>12%</t>
        </is>
      </c>
      <c r="O22" s="91" t="n"/>
      <c r="P22" s="91" t="n"/>
      <c r="Q22" s="97" t="n"/>
    </row>
    <row r="23">
      <c r="A23" s="98" t="inlineStr">
        <is>
          <t>Gross Margin</t>
        </is>
      </c>
      <c r="B23" s="89" t="inlineStr">
        <is>
          <t>25%</t>
        </is>
      </c>
      <c r="C23" s="91" t="n"/>
      <c r="D23" s="91" t="n"/>
      <c r="E23" s="97" t="n"/>
      <c r="G23" s="98" t="inlineStr">
        <is>
          <t>Gross Margin</t>
        </is>
      </c>
      <c r="H23" s="89" t="inlineStr">
        <is>
          <t>28%</t>
        </is>
      </c>
      <c r="I23" s="91" t="n"/>
      <c r="J23" s="91" t="n"/>
      <c r="K23" s="97" t="n"/>
      <c r="M23" s="98" t="inlineStr">
        <is>
          <t>Gross Margin</t>
        </is>
      </c>
      <c r="N23" s="89" t="inlineStr">
        <is>
          <t>35%</t>
        </is>
      </c>
      <c r="O23" s="91" t="n"/>
      <c r="P23" s="91" t="n"/>
      <c r="Q23" s="97" t="n"/>
    </row>
    <row r="24">
      <c r="A24" s="98" t="inlineStr">
        <is>
          <t>Insider Ownership</t>
        </is>
      </c>
      <c r="B24" s="89" t="inlineStr">
        <is>
          <t>5%</t>
        </is>
      </c>
      <c r="C24" s="91" t="n"/>
      <c r="D24" s="91" t="n"/>
      <c r="E24" s="97" t="n"/>
      <c r="G24" s="98" t="inlineStr">
        <is>
          <t>Insider Ownership</t>
        </is>
      </c>
      <c r="H24" s="89" t="inlineStr">
        <is>
          <t>30%</t>
        </is>
      </c>
      <c r="I24" s="91" t="n"/>
      <c r="J24" s="91" t="n"/>
      <c r="K24" s="97" t="n"/>
      <c r="M24" s="98" t="inlineStr">
        <is>
          <t>Insider Ownership</t>
        </is>
      </c>
      <c r="N24" s="89" t="inlineStr">
        <is>
          <t>6%</t>
        </is>
      </c>
      <c r="O24" s="91" t="n"/>
      <c r="P24" s="91" t="n"/>
      <c r="Q24" s="97" t="n"/>
    </row>
    <row r="25">
      <c r="A25" s="98" t="inlineStr">
        <is>
          <t>Dilution 3yr</t>
        </is>
      </c>
      <c r="B25" s="89" t="inlineStr">
        <is>
          <t>8%</t>
        </is>
      </c>
      <c r="C25" s="91" t="n"/>
      <c r="D25" s="91" t="n"/>
      <c r="E25" s="97" t="n"/>
      <c r="G25" s="98" t="inlineStr">
        <is>
          <t>Dilution 3yr</t>
        </is>
      </c>
      <c r="H25" s="89" t="inlineStr">
        <is>
          <t>15%</t>
        </is>
      </c>
      <c r="I25" s="91" t="n"/>
      <c r="J25" s="91" t="n"/>
      <c r="K25" s="97" t="n"/>
      <c r="M25" s="98" t="inlineStr">
        <is>
          <t>Dilution 3yr</t>
        </is>
      </c>
      <c r="N25" s="89" t="inlineStr">
        <is>
          <t>25%</t>
        </is>
      </c>
      <c r="O25" s="91" t="n"/>
      <c r="P25" s="91" t="n"/>
      <c r="Q25" s="97" t="n"/>
    </row>
    <row r="26">
      <c r="A26" s="99" t="inlineStr">
        <is>
          <t>Drone warfare + affordable attritable aircraft</t>
        </is>
      </c>
      <c r="B26" s="91" t="n"/>
      <c r="C26" s="91" t="n"/>
      <c r="D26" s="91" t="n"/>
      <c r="E26" s="97" t="n"/>
      <c r="G26" s="99" t="inlineStr">
        <is>
          <t>Small sat launch + space systems vertical integration</t>
        </is>
      </c>
      <c r="H26" s="91" t="n"/>
      <c r="I26" s="91" t="n"/>
      <c r="J26" s="91" t="n"/>
      <c r="K26" s="97" t="n"/>
      <c r="M26" s="99" t="inlineStr">
        <is>
          <t>Autonomous vehicle sensor infrastructure</t>
        </is>
      </c>
      <c r="N26" s="91" t="n"/>
      <c r="O26" s="91" t="n"/>
      <c r="P26" s="91" t="n"/>
      <c r="Q26" s="97" t="n"/>
    </row>
    <row r="34" ht="22" customHeight="1">
      <c r="A34" s="16" t="inlineStr">
        <is>
          <t>COMPARATIVE RADAR — All Reference Stocks</t>
        </is>
      </c>
      <c r="B34" s="17" t="n"/>
      <c r="C34" s="17" t="n"/>
      <c r="D34" s="17" t="n"/>
      <c r="E34" s="17" t="n"/>
      <c r="F34" s="17" t="n"/>
      <c r="G34" s="17" t="n"/>
      <c r="H34" s="17" t="n"/>
      <c r="I34" s="17" t="n"/>
      <c r="J34" s="17" t="n"/>
      <c r="K34" s="17" t="n"/>
      <c r="L34" s="17" t="n"/>
      <c r="M34" s="17" t="n"/>
      <c r="N34" s="17" t="n"/>
      <c r="O34" s="17" t="n"/>
      <c r="P34" s="17" t="n"/>
      <c r="Q34" s="17" t="n"/>
    </row>
    <row r="35">
      <c r="A35" t="inlineStr">
        <is>
          <t>Metric</t>
        </is>
      </c>
      <c r="B35" t="inlineStr">
        <is>
          <t>LITE</t>
        </is>
      </c>
      <c r="C35" t="inlineStr">
        <is>
          <t>COHR</t>
        </is>
      </c>
      <c r="D35" t="inlineStr">
        <is>
          <t>AAOI</t>
        </is>
      </c>
      <c r="E35" t="inlineStr">
        <is>
          <t>KTOS</t>
        </is>
      </c>
      <c r="F35" t="inlineStr">
        <is>
          <t>RKLB</t>
        </is>
      </c>
      <c r="G35" t="inlineStr">
        <is>
          <t>MVIS</t>
        </is>
      </c>
    </row>
    <row r="36">
      <c r="A36" t="inlineStr">
        <is>
          <t>Revenue Growth</t>
        </is>
      </c>
      <c r="B36" t="n">
        <v>40</v>
      </c>
      <c r="C36" t="n">
        <v>23.15789473684211</v>
      </c>
      <c r="D36" t="n">
        <v>100</v>
      </c>
      <c r="E36" t="n">
        <v>18.94736842105263</v>
      </c>
      <c r="F36" t="n">
        <v>57.89473684210526</v>
      </c>
      <c r="G36" t="n">
        <v>12.63157894736842</v>
      </c>
    </row>
    <row r="37">
      <c r="A37" t="inlineStr">
        <is>
          <t>Gross Margin</t>
        </is>
      </c>
      <c r="B37" t="n">
        <v>88</v>
      </c>
      <c r="C37" t="n">
        <v>100</v>
      </c>
      <c r="D37" t="n">
        <v>76</v>
      </c>
      <c r="E37" t="n">
        <v>50</v>
      </c>
      <c r="F37" t="n">
        <v>56</v>
      </c>
      <c r="G37" t="n">
        <v>70</v>
      </c>
    </row>
    <row r="38">
      <c r="A38" t="inlineStr">
        <is>
          <t>Insider %</t>
        </is>
      </c>
      <c r="B38" t="n">
        <v>26.66666666666667</v>
      </c>
      <c r="C38" t="n">
        <v>40</v>
      </c>
      <c r="D38" t="n">
        <v>66.66666666666667</v>
      </c>
      <c r="E38" t="n">
        <v>16.66666666666667</v>
      </c>
      <c r="F38" t="n">
        <v>100</v>
      </c>
      <c r="G38" t="n">
        <v>20</v>
      </c>
    </row>
    <row r="39">
      <c r="A39" t="inlineStr">
        <is>
          <t>Low Dilution</t>
        </is>
      </c>
      <c r="B39" t="n">
        <v>84</v>
      </c>
      <c r="C39" t="n">
        <v>76</v>
      </c>
      <c r="D39" t="n">
        <v>88</v>
      </c>
      <c r="E39" t="n">
        <v>68</v>
      </c>
      <c r="F39" t="n">
        <v>40</v>
      </c>
      <c r="G39" t="n">
        <v>0</v>
      </c>
    </row>
    <row r="40">
      <c r="A40" t="inlineStr">
        <is>
          <t>Mkt Cap Score</t>
        </is>
      </c>
      <c r="B40" t="n">
        <v>0</v>
      </c>
      <c r="C40" t="n">
        <v>25</v>
      </c>
      <c r="D40" t="n">
        <v>75</v>
      </c>
      <c r="E40" t="n">
        <v>41.66666666666666</v>
      </c>
      <c r="F40" t="n">
        <v>0</v>
      </c>
      <c r="G40" t="n">
        <v>87.5</v>
      </c>
    </row>
    <row r="60" ht="22" customHeight="1">
      <c r="A60" s="16" t="inlineStr">
        <is>
          <t>DERIVED IDEAL RANGES</t>
        </is>
      </c>
      <c r="B60" s="17" t="n"/>
      <c r="C60" s="17" t="n"/>
      <c r="D60" s="17" t="n"/>
      <c r="E60" s="17" t="n"/>
      <c r="F60" s="17" t="n"/>
      <c r="G60" s="17" t="n"/>
      <c r="H60" s="17" t="n"/>
      <c r="I60" s="17" t="n"/>
      <c r="J60" s="17" t="n"/>
    </row>
    <row r="61" ht="18" customHeight="1">
      <c r="A61" s="18" t="inlineStr">
        <is>
          <t>Metric</t>
        </is>
      </c>
      <c r="B61" s="18" t="inlineStr">
        <is>
          <t>Min</t>
        </is>
      </c>
      <c r="C61" s="18" t="inlineStr">
        <is>
          <t>Median</t>
        </is>
      </c>
      <c r="D61" s="18" t="inlineStr">
        <is>
          <t>Max</t>
        </is>
      </c>
      <c r="E61" s="18" t="inlineStr">
        <is>
          <t>Screener Threshold</t>
        </is>
      </c>
      <c r="F61" s="18" t="inlineStr">
        <is>
          <t>Status</t>
        </is>
      </c>
    </row>
    <row r="62" ht="16" customHeight="1">
      <c r="A62" s="89" t="inlineStr">
        <is>
          <t>Revenue Growth %</t>
        </is>
      </c>
      <c r="B62" s="35" t="n">
        <v>12</v>
      </c>
      <c r="C62" s="35" t="n">
        <v>30</v>
      </c>
      <c r="D62" s="35" t="n">
        <v>95</v>
      </c>
      <c r="E62" s="20" t="inlineStr">
        <is>
          <t>5% (floor)</t>
        </is>
      </c>
      <c r="F62" s="100" t="inlineStr">
        <is>
          <t>✓ Aligned</t>
        </is>
      </c>
    </row>
    <row r="63" ht="16" customHeight="1">
      <c r="A63" s="61" t="inlineStr">
        <is>
          <t>Gross Margin %</t>
        </is>
      </c>
      <c r="B63" s="39" t="n">
        <v>25</v>
      </c>
      <c r="C63" s="39" t="n">
        <v>36.5</v>
      </c>
      <c r="D63" s="39" t="n">
        <v>50</v>
      </c>
      <c r="E63" s="26" t="inlineStr">
        <is>
          <t>20% (floor)</t>
        </is>
      </c>
      <c r="F63" s="100" t="inlineStr">
        <is>
          <t>✓ Aligned</t>
        </is>
      </c>
    </row>
    <row r="64" ht="16" customHeight="1">
      <c r="A64" s="89" t="inlineStr">
        <is>
          <t>Insider Ownership %</t>
        </is>
      </c>
      <c r="B64" s="35" t="n">
        <v>5</v>
      </c>
      <c r="C64" s="35" t="n">
        <v>10</v>
      </c>
      <c r="D64" s="35" t="n">
        <v>30</v>
      </c>
      <c r="E64" s="20" t="inlineStr">
        <is>
          <t>N/A</t>
        </is>
      </c>
      <c r="F64" s="101" t="inlineStr">
        <is>
          <t>⚠ Loose</t>
        </is>
      </c>
    </row>
    <row r="65" ht="16" customHeight="1">
      <c r="A65" s="61" t="inlineStr">
        <is>
          <t>Dilution 3yr %</t>
        </is>
      </c>
      <c r="B65" s="39" t="n">
        <v>3</v>
      </c>
      <c r="C65" s="39" t="n">
        <v>7</v>
      </c>
      <c r="D65" s="39" t="n">
        <v>25</v>
      </c>
      <c r="E65" s="26" t="inlineStr">
        <is>
          <t>30% (ceiling)</t>
        </is>
      </c>
      <c r="F65" s="100" t="inlineStr">
        <is>
          <t>✓ Aligned</t>
        </is>
      </c>
    </row>
  </sheetData>
  <mergeCells count="53">
    <mergeCell ref="H22:K22"/>
    <mergeCell ref="B9:E9"/>
    <mergeCell ref="A34:Q34"/>
    <mergeCell ref="N9:Q9"/>
    <mergeCell ref="H12:K12"/>
    <mergeCell ref="B24:E24"/>
    <mergeCell ref="H24:K24"/>
    <mergeCell ref="N24:Q24"/>
    <mergeCell ref="A6:E6"/>
    <mergeCell ref="H23:K23"/>
    <mergeCell ref="G7:K7"/>
    <mergeCell ref="M20:Q20"/>
    <mergeCell ref="H8:K8"/>
    <mergeCell ref="A7:E7"/>
    <mergeCell ref="N11:Q11"/>
    <mergeCell ref="B25:E25"/>
    <mergeCell ref="G13:K13"/>
    <mergeCell ref="G19:K19"/>
    <mergeCell ref="G6:K6"/>
    <mergeCell ref="M13:Q13"/>
    <mergeCell ref="H10:K10"/>
    <mergeCell ref="B22:E22"/>
    <mergeCell ref="M7:Q7"/>
    <mergeCell ref="N25:Q25"/>
    <mergeCell ref="A60:J60"/>
    <mergeCell ref="A26:E26"/>
    <mergeCell ref="H9:K9"/>
    <mergeCell ref="A3:Q3"/>
    <mergeCell ref="N22:Q22"/>
    <mergeCell ref="B12:E12"/>
    <mergeCell ref="M6:Q6"/>
    <mergeCell ref="H25:K25"/>
    <mergeCell ref="B21:E21"/>
    <mergeCell ref="N21:Q21"/>
    <mergeCell ref="B11:E11"/>
    <mergeCell ref="N12:Q12"/>
    <mergeCell ref="H21:K21"/>
    <mergeCell ref="A5:Q5"/>
    <mergeCell ref="A1:Q2"/>
    <mergeCell ref="G26:K26"/>
    <mergeCell ref="M26:Q26"/>
    <mergeCell ref="B23:E23"/>
    <mergeCell ref="N23:Q23"/>
    <mergeCell ref="B8:E8"/>
    <mergeCell ref="A20:E20"/>
    <mergeCell ref="N8:Q8"/>
    <mergeCell ref="G20:K20"/>
    <mergeCell ref="H11:K11"/>
    <mergeCell ref="A19:E19"/>
    <mergeCell ref="A13:E13"/>
    <mergeCell ref="M19:Q19"/>
    <mergeCell ref="B10:E10"/>
    <mergeCell ref="N10:Q10"/>
  </mergeCells>
  <pageMargins left="0.75" right="0.75" top="1" bottom="1" header="0.5" footer="0.5"/>
  <pageSetup orientation="landscape" fitToWidth="1"/>
  <drawing xmlns:r="http://schemas.openxmlformats.org/officeDocument/2006/relationships" r:id="rId1"/>
</worksheet>
</file>

<file path=xl/worksheets/sheet13.xml><?xml version="1.0" encoding="utf-8"?>
<worksheet xmlns="http://schemas.openxmlformats.org/spreadsheetml/2006/main">
  <sheetPr>
    <tabColor rgb="001B2A3B"/>
    <outlinePr summaryBelow="1" summaryRight="1"/>
    <pageSetUpPr fitToPage="1"/>
  </sheetPr>
  <dimension ref="A1:C62"/>
  <sheetViews>
    <sheetView showGridLines="0" workbookViewId="0">
      <pane ySplit="3" topLeftCell="A4" activePane="bottomLeft" state="frozen"/>
      <selection pane="bottomLeft" activeCell="A1" sqref="A1"/>
    </sheetView>
  </sheetViews>
  <sheetFormatPr baseColWidth="8" defaultRowHeight="15"/>
  <cols>
    <col width="3" customWidth="1" min="1" max="1"/>
    <col width="28" customWidth="1" min="2" max="2"/>
    <col width="55" customWidth="1" min="3" max="3"/>
  </cols>
  <sheetData>
    <row r="1" ht="28" customHeight="1">
      <c r="A1" s="30" t="inlineStr">
        <is>
          <t>SCREENING METHODOLOGY</t>
        </is>
      </c>
      <c r="B1" s="11" t="n"/>
      <c r="C1" s="11" t="n"/>
    </row>
    <row r="2" ht="22" customHeight="1">
      <c r="A2" s="31" t="inlineStr">
        <is>
          <t>Technical documentation for the structural growth equity screener</t>
        </is>
      </c>
      <c r="B2" s="12" t="n"/>
      <c r="C2" s="12" t="n"/>
    </row>
    <row r="3" ht="8" customHeight="1"/>
    <row r="4" ht="22" customHeight="1">
      <c r="B4" s="16" t="inlineStr">
        <is>
          <t>Screening Universe</t>
        </is>
      </c>
      <c r="C4" s="17" t="n"/>
    </row>
    <row r="5" ht="16" customHeight="1">
      <c r="B5" s="102" t="inlineStr"/>
      <c r="C5" s="46" t="inlineStr">
        <is>
          <t>US-listed equities across three market cap tiers:</t>
        </is>
      </c>
    </row>
    <row r="6" ht="16" customHeight="1">
      <c r="B6" s="102" t="inlineStr"/>
      <c r="C6" s="46" t="inlineStr">
        <is>
          <t xml:space="preserve">  Nano Cap: $50M–$300M (highest risk, highest upside)</t>
        </is>
      </c>
    </row>
    <row r="7" ht="16" customHeight="1">
      <c r="B7" s="102" t="inlineStr"/>
      <c r="C7" s="46" t="inlineStr">
        <is>
          <t xml:space="preserve">  Small Cap: $300M–$2B (the sweet spot — proven enough to have real revenue)</t>
        </is>
      </c>
    </row>
    <row r="8" ht="16" customHeight="1">
      <c r="B8" s="102" t="inlineStr"/>
      <c r="C8" s="46" t="inlineStr">
        <is>
          <t xml:space="preserve">  Breakout: $2B–$15B (validated, growth re-accelerating)</t>
        </is>
      </c>
    </row>
    <row r="9" ht="8" customHeight="1"/>
    <row r="10" ht="16" customHeight="1">
      <c r="B10" s="102" t="inlineStr"/>
      <c r="C10" s="46" t="inlineStr">
        <is>
          <t>Focus themes: Aerospace/Defense, Semiconductors, AI Infrastructure,</t>
        </is>
      </c>
    </row>
    <row r="11" ht="16" customHeight="1">
      <c r="B11" s="102" t="inlineStr"/>
      <c r="C11" s="46" t="inlineStr">
        <is>
          <t>Photonics, Quantum Computing, Space, New Energy, Gene Editing</t>
        </is>
      </c>
    </row>
    <row r="12" ht="8" customHeight="1"/>
    <row r="13" ht="22" customHeight="1">
      <c r="B13" s="16" t="inlineStr">
        <is>
          <t>Hard Filters</t>
        </is>
      </c>
      <c r="C13" s="17" t="n"/>
    </row>
    <row r="14" ht="16" customHeight="1">
      <c r="B14" s="102" t="inlineStr"/>
      <c r="C14" s="46" t="inlineStr">
        <is>
          <t>Must be US-domiciled and actively trading on a major exchange</t>
        </is>
      </c>
    </row>
    <row r="15" ht="16" customHeight="1">
      <c r="B15" s="102" t="inlineStr"/>
      <c r="C15" s="46" t="inlineStr">
        <is>
          <t>Excludes: Biotech/Pharma (unless gene editing keywords in description)</t>
        </is>
      </c>
    </row>
    <row r="16" ht="16" customHeight="1">
      <c r="B16" s="102" t="inlineStr"/>
      <c r="C16" s="46" t="inlineStr">
        <is>
          <t>Excludes: Oil &amp; Gas, Warrants, Units, Preferred shares</t>
        </is>
      </c>
    </row>
    <row r="17" ht="16" customHeight="1">
      <c r="B17" s="102" t="inlineStr"/>
      <c r="C17" s="46" t="inlineStr">
        <is>
          <t>Must match industry whitelist OR description keywords in target themes</t>
        </is>
      </c>
    </row>
    <row r="18" ht="16" customHeight="1">
      <c r="B18" s="102" t="inlineStr"/>
      <c r="C18" s="46" t="inlineStr">
        <is>
          <t>No OTC/pink sheet securities</t>
        </is>
      </c>
    </row>
    <row r="19" ht="8" customHeight="1"/>
    <row r="20" ht="22" customHeight="1">
      <c r="B20" s="16" t="inlineStr">
        <is>
          <t>Quality Floor</t>
        </is>
      </c>
      <c r="C20" s="17" t="n"/>
    </row>
    <row r="21" ht="16" customHeight="1">
      <c r="B21" s="102" t="inlineStr"/>
      <c r="C21" s="46" t="inlineStr">
        <is>
          <t>Revenue growth must exceed 5% YoY</t>
        </is>
      </c>
    </row>
    <row r="22" ht="16" customHeight="1">
      <c r="B22" s="102" t="inlineStr"/>
      <c r="C22" s="46" t="inlineStr">
        <is>
          <t>Gross margin must exceed 20%</t>
        </is>
      </c>
    </row>
    <row r="23" ht="16" customHeight="1">
      <c r="B23" s="102" t="inlineStr"/>
      <c r="C23" s="46" t="inlineStr">
        <is>
          <t>3-year share dilution must be below 30%</t>
        </is>
      </c>
    </row>
    <row r="24" ht="16" customHeight="1">
      <c r="B24" s="102" t="inlineStr"/>
      <c r="C24" s="46" t="inlineStr">
        <is>
          <t>Stocks failing any of these thresholds are excluded entirely</t>
        </is>
      </c>
    </row>
    <row r="25" ht="8" customHeight="1"/>
    <row r="26" ht="22" customHeight="1">
      <c r="B26" s="16" t="inlineStr">
        <is>
          <t>Composite Score (60%)</t>
        </is>
      </c>
      <c r="C26" s="17" t="n"/>
    </row>
    <row r="27" ht="16" customHeight="1">
      <c r="B27" s="102" t="inlineStr"/>
      <c r="C27" s="46" t="inlineStr">
        <is>
          <t>Revenue Growth YoY: 30% weight — Higher is better, &gt;50% = max score</t>
        </is>
      </c>
    </row>
    <row r="28" ht="16" customHeight="1">
      <c r="B28" s="102" t="inlineStr"/>
      <c r="C28" s="46" t="inlineStr">
        <is>
          <t>Gross Margin: 20% weight — &gt;40% = max, proxy for pricing power and moat</t>
        </is>
      </c>
    </row>
    <row r="29" ht="16" customHeight="1">
      <c r="B29" s="102" t="inlineStr"/>
      <c r="C29" s="46" t="inlineStr">
        <is>
          <t>Dilution 3yr: 20% weight — Lower is better, &lt;5% = full points, &gt;30% = zero</t>
        </is>
      </c>
    </row>
    <row r="30" ht="16" customHeight="1">
      <c r="B30" s="102" t="inlineStr"/>
      <c r="C30" s="46" t="inlineStr">
        <is>
          <t>Insider Ownership: 15% weight — &gt;10% = full points, founders with skin in the game</t>
        </is>
      </c>
    </row>
    <row r="31" ht="16" customHeight="1">
      <c r="B31" s="102" t="inlineStr"/>
      <c r="C31" s="46" t="inlineStr">
        <is>
          <t>Revenue Acceleration: 15% weight — Is the growth rate itself increasing?</t>
        </is>
      </c>
    </row>
    <row r="32" ht="8" customHeight="1"/>
    <row r="33" ht="22" customHeight="1">
      <c r="B33" s="16" t="inlineStr">
        <is>
          <t>Fingerprint Score (40%)</t>
        </is>
      </c>
      <c r="C33" s="17" t="n"/>
    </row>
    <row r="34" ht="16" customHeight="1">
      <c r="B34" s="102" t="inlineStr"/>
      <c r="C34" s="46" t="inlineStr">
        <is>
          <t>Measures similarity to 6 reference stocks at their pre-run inflection point</t>
        </is>
      </c>
    </row>
    <row r="35" ht="16" customHeight="1">
      <c r="B35" s="102" t="inlineStr"/>
      <c r="C35" s="46" t="inlineStr">
        <is>
          <t>Reference stocks: LITE, COHR, AAOI, KTOS, RKLB, MVIS</t>
        </is>
      </c>
    </row>
    <row r="36" ht="16" customHeight="1">
      <c r="B36" s="102" t="inlineStr"/>
      <c r="C36" s="46" t="inlineStr">
        <is>
          <t>Compares: revenue growth, gross margin, insider %, dilution, market cap</t>
        </is>
      </c>
    </row>
    <row r="37" ht="16" customHeight="1">
      <c r="B37" s="102" t="inlineStr"/>
      <c r="C37" s="46" t="inlineStr">
        <is>
          <t>Inside the ideal range = 100; score decays with distance from range</t>
        </is>
      </c>
    </row>
    <row r="38" ht="16" customHeight="1">
      <c r="B38" s="102" t="inlineStr"/>
      <c r="C38" s="46" t="inlineStr">
        <is>
          <t>Combined Score = 60% × Composite + 40% × Fingerprint</t>
        </is>
      </c>
    </row>
    <row r="39" ht="8" customHeight="1"/>
    <row r="40" ht="22" customHeight="1">
      <c r="B40" s="16" t="inlineStr">
        <is>
          <t>Position Sizing Rules</t>
        </is>
      </c>
      <c r="C40" s="17" t="n"/>
    </row>
    <row r="41" ht="16" customHeight="1">
      <c r="B41" s="102" t="inlineStr"/>
      <c r="C41" s="46" t="inlineStr">
        <is>
          <t>Based on conviction level: High (8%), Medium-High (5%), Medium (3%), Speculative (1.5%)</t>
        </is>
      </c>
    </row>
    <row r="42" ht="16" customHeight="1">
      <c r="B42" s="102" t="inlineStr"/>
      <c r="C42" s="46" t="inlineStr">
        <is>
          <t>Nano caps receive 0.6x risk multiplier (smaller positions for higher risk)</t>
        </is>
      </c>
    </row>
    <row r="43" ht="16" customHeight="1">
      <c r="B43" s="102" t="inlineStr"/>
      <c r="C43" s="46" t="inlineStr">
        <is>
          <t>Breakout caps receive 1.2x multiplier (larger positions for validated growth)</t>
        </is>
      </c>
    </row>
    <row r="44" ht="16" customHeight="1">
      <c r="B44" s="102" t="inlineStr"/>
      <c r="C44" s="46" t="inlineStr">
        <is>
          <t>Designed to sum to &lt;100% with meaningful cash reserve</t>
        </is>
      </c>
    </row>
    <row r="45" ht="8" customHeight="1"/>
    <row r="46" ht="22" customHeight="1">
      <c r="B46" s="16" t="inlineStr">
        <is>
          <t>Data Source &amp; Refresh</t>
        </is>
      </c>
      <c r="C46" s="17" t="n"/>
    </row>
    <row r="47" ht="16" customHeight="1">
      <c r="B47" s="102" t="inlineStr"/>
      <c r="C47" s="46" t="inlineStr">
        <is>
          <t>All data sourced from Financial Modeling Prep (FMP) API</t>
        </is>
      </c>
    </row>
    <row r="48" ht="16" customHeight="1">
      <c r="B48" s="102" t="inlineStr"/>
      <c r="C48" s="46" t="inlineStr">
        <is>
          <t>24-hour cache on all API responses to protect rate limits</t>
        </is>
      </c>
    </row>
    <row r="49" ht="16" customHeight="1">
      <c r="B49" s="102" t="inlineStr"/>
      <c r="C49" s="46" t="inlineStr">
        <is>
          <t>Quarterly financials: last 8 quarters of income statements</t>
        </is>
      </c>
    </row>
    <row r="50" ht="16" customHeight="1">
      <c r="B50" s="102" t="inlineStr"/>
      <c r="C50" s="46" t="inlineStr">
        <is>
          <t>Share count history: last 12 quarters of enterprise values</t>
        </is>
      </c>
    </row>
    <row r="51" ht="16" customHeight="1">
      <c r="B51" s="102" t="inlineStr"/>
      <c r="C51" s="46" t="inlineStr">
        <is>
          <t>Report generated: March 08, 2026</t>
        </is>
      </c>
    </row>
    <row r="52" ht="8" customHeight="1"/>
    <row r="53" ht="22" customHeight="1">
      <c r="B53" s="16" t="inlineStr">
        <is>
          <t>Disclaimer</t>
        </is>
      </c>
      <c r="C53" s="17" t="n"/>
    </row>
    <row r="54" ht="16" customHeight="1">
      <c r="B54" s="102" t="inlineStr"/>
      <c r="C54" s="46" t="inlineStr">
        <is>
          <t>This screener is for research and educational purposes only.</t>
        </is>
      </c>
    </row>
    <row r="55" ht="16" customHeight="1">
      <c r="B55" s="102" t="inlineStr"/>
      <c r="C55" s="46" t="inlineStr">
        <is>
          <t>It does not constitute investment advice or a recommendation to buy or sell.</t>
        </is>
      </c>
    </row>
    <row r="56" ht="16" customHeight="1">
      <c r="B56" s="102" t="inlineStr"/>
      <c r="C56" s="46" t="inlineStr">
        <is>
          <t>Past performance of reference stocks does not guarantee future results.</t>
        </is>
      </c>
    </row>
    <row r="57" ht="16" customHeight="1">
      <c r="B57" s="102" t="inlineStr"/>
      <c r="C57" s="46" t="inlineStr">
        <is>
          <t>All investments carry risk of loss. Consult a licensed financial advisor.</t>
        </is>
      </c>
    </row>
    <row r="58" ht="8" customHeight="1"/>
    <row r="60">
      <c r="B60" s="16" t="inlineStr">
        <is>
          <t>VERSION HISTORY</t>
        </is>
      </c>
      <c r="C60" s="17" t="n"/>
    </row>
    <row r="61">
      <c r="B61" s="89" t="inlineStr">
        <is>
          <t>v2.0</t>
        </is>
      </c>
      <c r="C61" s="43" t="inlineStr">
        <is>
          <t>March 08, 2026 — Institutional rebuild: openpyxl, design system, charts, data validation</t>
        </is>
      </c>
    </row>
    <row r="62">
      <c r="B62" s="61" t="inlineStr">
        <is>
          <t>v1.0</t>
        </is>
      </c>
      <c r="C62" s="46" t="inlineStr">
        <is>
          <t>Initial release — xlsxwriter-based export with basic formatting</t>
        </is>
      </c>
    </row>
  </sheetData>
  <mergeCells count="2">
    <mergeCell ref="A1:C1"/>
    <mergeCell ref="A2:C2"/>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2026-03-08T22:45:48Z</dcterms:created>
  <dcterms:modified xsi:type="dcterms:W3CDTF">2026-03-08T22:45:48Z</dcterms:modified>
</cp:coreProperties>
</file>