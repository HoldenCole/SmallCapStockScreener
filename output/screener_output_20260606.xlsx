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drawings/drawing6.xml" ContentType="application/vnd.openxmlformats-officedocument.drawing+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Nano Cap" sheetId="2" state="visible" r:id="rId2"/>
    <sheet xmlns:r="http://schemas.openxmlformats.org/officeDocument/2006/relationships" name="Small Cap" sheetId="3" state="visible" r:id="rId3"/>
    <sheet xmlns:r="http://schemas.openxmlformats.org/officeDocument/2006/relationships" name="Breakout" sheetId="4" state="visible" r:id="rId4"/>
    <sheet xmlns:r="http://schemas.openxmlformats.org/officeDocument/2006/relationships" name="Descriptions" sheetId="5" state="visible" r:id="rId5"/>
    <sheet xmlns:r="http://schemas.openxmlformats.org/officeDocument/2006/relationships" name="Competitive Moats" sheetId="6" state="visible" r:id="rId6"/>
    <sheet xmlns:r="http://schemas.openxmlformats.org/officeDocument/2006/relationships" name="Standouts" sheetId="7" state="visible" r:id="rId7"/>
    <sheet xmlns:r="http://schemas.openxmlformats.org/officeDocument/2006/relationships" name="Recommendations" sheetId="8" state="visible" r:id="rId8"/>
    <sheet xmlns:r="http://schemas.openxmlformats.org/officeDocument/2006/relationships" name="Portfolio Construction" sheetId="9" state="visible" r:id="rId9"/>
    <sheet xmlns:r="http://schemas.openxmlformats.org/officeDocument/2006/relationships" name="Sensitivity Analysis" sheetId="10" state="visible" r:id="rId10"/>
    <sheet xmlns:r="http://schemas.openxmlformats.org/officeDocument/2006/relationships" name="Revenue Trends" sheetId="11" state="visible" r:id="rId11"/>
    <sheet xmlns:r="http://schemas.openxmlformats.org/officeDocument/2006/relationships" name="Fingerprint Reference" sheetId="12" state="visible" r:id="rId12"/>
    <sheet xmlns:r="http://schemas.openxmlformats.org/officeDocument/2006/relationships" name="Methodology" sheetId="13" state="visible" r:id="rId13"/>
  </sheets>
  <definedNames>
    <definedName name="_xlnm._FilterDatabase" localSheetId="4" hidden="1">'Descriptions'!$A$4:$F$34</definedName>
    <definedName name="_xlnm._FilterDatabase" localSheetId="5" hidden="1">'Competitive Moats'!$A$4:$G$34</definedName>
  </definedNames>
  <calcPr calcId="124519" fullCalcOnLoad="1"/>
</workbook>
</file>

<file path=xl/styles.xml><?xml version="1.0" encoding="utf-8"?>
<styleSheet xmlns="http://schemas.openxmlformats.org/spreadsheetml/2006/main">
  <numFmts count="6">
    <numFmt numFmtId="164" formatCode="$#,##0"/>
    <numFmt numFmtId="165" formatCode="0.0"/>
    <numFmt numFmtId="166" formatCode="$#,##0.00"/>
    <numFmt numFmtId="167" formatCode="0.0%"/>
    <numFmt numFmtId="168" formatCode="0.0x"/>
    <numFmt numFmtId="169" formatCode="$#,##0.0"/>
  </numFmts>
  <fonts count="20">
    <font>
      <name val="Calibri"/>
      <family val="2"/>
      <color theme="1"/>
      <sz val="11"/>
      <scheme val="minor"/>
    </font>
    <font>
      <name val="Arial"/>
      <b val="1"/>
      <color rgb="00C9A84C"/>
      <sz val="18"/>
    </font>
    <font>
      <name val="Arial"/>
      <color rgb="00FFFFFF"/>
      <sz val="11"/>
    </font>
    <font>
      <name val="Arial"/>
      <color rgb="006B7280"/>
      <sz val="9"/>
    </font>
    <font>
      <name val="Arial"/>
      <color rgb="00FFFFFF"/>
      <sz val="9"/>
    </font>
    <font>
      <name val="Arial"/>
      <b val="1"/>
      <color rgb="00C9A84C"/>
      <sz val="16"/>
    </font>
    <font>
      <name val="Arial"/>
      <b val="1"/>
      <color rgb="00C9A84C"/>
      <sz val="11"/>
    </font>
    <font>
      <name val="Arial"/>
      <b val="1"/>
      <color rgb="00FFFFFF"/>
      <sz val="10"/>
    </font>
    <font>
      <name val="Arial"/>
      <b val="1"/>
      <color rgb="004FC3F7"/>
      <sz val="10"/>
    </font>
    <font>
      <name val="Arial"/>
      <color rgb="000D1B2A"/>
      <sz val="10"/>
    </font>
    <font>
      <name val="Arial"/>
      <b val="1"/>
      <color rgb="000D1B2A"/>
      <sz val="10"/>
    </font>
    <font>
      <name val="Arial"/>
      <b val="1"/>
      <color rgb="00FFFFFF"/>
      <sz val="13"/>
    </font>
    <font>
      <name val="Arial"/>
      <color rgb="000000FF"/>
      <sz val="10"/>
    </font>
    <font>
      <name val="Arial"/>
      <color rgb="00000000"/>
      <sz val="10"/>
    </font>
    <font>
      <name val="Arial"/>
      <b val="1"/>
      <color rgb="00C9A84C"/>
      <sz val="10"/>
    </font>
    <font>
      <name val="Arial"/>
      <b val="1"/>
      <color rgb="002A9D8F"/>
      <sz val="10"/>
    </font>
    <font>
      <name val="Arial"/>
      <i val="1"/>
      <color rgb="006B7280"/>
      <sz val="9"/>
    </font>
    <font>
      <name val="Arial"/>
      <b val="1"/>
      <color rgb="00FFFFFF"/>
      <sz val="11"/>
    </font>
    <font>
      <name val="Arial"/>
      <color rgb="001A6B3C"/>
      <sz val="10"/>
    </font>
    <font>
      <name val="Arial"/>
      <color rgb="00F9C74F"/>
      <sz val="10"/>
    </font>
  </fonts>
  <fills count="20">
    <fill>
      <patternFill/>
    </fill>
    <fill>
      <patternFill patternType="gray125"/>
    </fill>
    <fill>
      <patternFill patternType="solid">
        <fgColor rgb="000D1B2A"/>
      </patternFill>
    </fill>
    <fill>
      <patternFill patternType="solid">
        <fgColor rgb="001B2A3B"/>
      </patternFill>
    </fill>
    <fill>
      <patternFill patternType="solid">
        <fgColor rgb="002E3B4E"/>
      </patternFill>
    </fill>
    <fill>
      <patternFill patternType="solid">
        <fgColor rgb="00F7F9FC"/>
      </patternFill>
    </fill>
    <fill>
      <patternFill patternType="solid">
        <fgColor rgb="001A6B3C"/>
      </patternFill>
    </fill>
    <fill>
      <patternFill patternType="solid">
        <fgColor rgb="004FC3F7"/>
      </patternFill>
    </fill>
    <fill>
      <patternFill patternType="solid">
        <fgColor rgb="00FFFFFF"/>
      </patternFill>
    </fill>
    <fill>
      <patternFill patternType="solid">
        <fgColor rgb="00F9C74F"/>
      </patternFill>
    </fill>
    <fill>
      <patternFill patternType="solid">
        <fgColor rgb="00F4E4B0"/>
      </patternFill>
    </fill>
    <fill>
      <patternFill patternType="solid">
        <fgColor rgb="00B5D8B0"/>
      </patternFill>
    </fill>
    <fill>
      <patternFill patternType="solid">
        <fgColor rgb="00E76F51"/>
      </patternFill>
    </fill>
    <fill>
      <patternFill patternType="solid">
        <fgColor rgb="00EDE8F0"/>
      </patternFill>
    </fill>
    <fill>
      <patternFill patternType="solid">
        <fgColor rgb="00E8EDF2"/>
      </patternFill>
    </fill>
    <fill>
      <patternFill patternType="solid">
        <fgColor rgb="00E0F0ED"/>
      </patternFill>
    </fill>
    <fill>
      <patternFill patternType="solid">
        <fgColor rgb="00FFF8E1"/>
      </patternFill>
    </fill>
    <fill>
      <patternFill patternType="solid">
        <fgColor rgb="00E8F5E9"/>
      </patternFill>
    </fill>
    <fill>
      <patternFill patternType="solid">
        <fgColor rgb="00FBE9E7"/>
      </patternFill>
    </fill>
    <fill>
      <patternFill patternType="solid">
        <fgColor rgb="002A9D8F"/>
      </patternFill>
    </fill>
  </fills>
  <borders count="19">
    <border>
      <left/>
      <right/>
      <top/>
      <bottom/>
      <diagonal/>
    </border>
    <border>
      <left style="medium">
        <color rgb="000D1B2A"/>
      </left>
      <right style="medium">
        <color rgb="000D1B2A"/>
      </right>
      <top style="medium">
        <color rgb="000D1B2A"/>
      </top>
      <bottom style="medium">
        <color rgb="000D1B2A"/>
      </bottom>
    </border>
    <border>
      <left/>
      <right/>
      <top style="medium">
        <color rgb="000D1B2A"/>
      </top>
      <bottom/>
      <diagonal/>
    </border>
    <border>
      <left style="medium">
        <color rgb="000D1B2A"/>
      </left>
      <right/>
      <top/>
      <bottom/>
      <diagonal/>
    </border>
    <border>
      <left/>
      <right style="medium">
        <color rgb="000D1B2A"/>
      </right>
      <top style="medium">
        <color rgb="000D1B2A"/>
      </top>
      <bottom/>
      <diagonal/>
    </border>
    <border>
      <left/>
      <right style="medium">
        <color rgb="000D1B2A"/>
      </right>
      <top/>
      <bottom/>
      <diagonal/>
    </border>
    <border>
      <left style="medium">
        <color rgb="000D1B2A"/>
      </left>
      <right/>
      <top/>
      <bottom style="medium">
        <color rgb="000D1B2A"/>
      </bottom>
      <diagonal/>
    </border>
    <border>
      <left/>
      <right/>
      <top/>
      <bottom style="medium">
        <color rgb="000D1B2A"/>
      </bottom>
      <diagonal/>
    </border>
    <border>
      <left/>
      <right style="medium">
        <color rgb="000D1B2A"/>
      </right>
      <top/>
      <bottom style="medium">
        <color rgb="000D1B2A"/>
      </bottom>
      <diagonal/>
    </border>
    <border>
      <left/>
      <right/>
      <top style="medium">
        <color rgb="000D1B2A"/>
      </top>
      <bottom style="medium">
        <color rgb="000D1B2A"/>
      </bottom>
      <diagonal/>
    </border>
    <border>
      <left/>
      <right style="medium">
        <color rgb="000D1B2A"/>
      </right>
      <top style="medium">
        <color rgb="000D1B2A"/>
      </top>
      <bottom style="medium">
        <color rgb="000D1B2A"/>
      </bottom>
      <diagonal/>
    </border>
    <border>
      <top style="medium">
        <color rgb="00C9A84C"/>
      </top>
    </border>
    <border>
      <bottom style="medium">
        <color rgb="00C9A84C"/>
      </bottom>
    </border>
    <border>
      <left style="thin">
        <color rgb="002E3B4E"/>
      </left>
      <right style="thin">
        <color rgb="002E3B4E"/>
      </right>
      <top style="thin">
        <color rgb="002E3B4E"/>
      </top>
      <bottom style="thin">
        <color rgb="002E3B4E"/>
      </bottom>
    </border>
    <border>
      <left style="medium">
        <color rgb="00C9A84C"/>
      </left>
      <bottom style="medium">
        <color rgb="00C9A84C"/>
      </bottom>
    </border>
    <border>
      <right style="medium">
        <color rgb="00C9A84C"/>
      </right>
      <bottom style="medium">
        <color rgb="00C9A84C"/>
      </bottom>
    </border>
    <border>
      <left style="medium">
        <color rgb="00C9A84C"/>
      </left>
      <right style="thin">
        <color rgb="002E3B4E"/>
      </right>
      <top style="thin">
        <color rgb="002E3B4E"/>
      </top>
      <bottom style="thin">
        <color rgb="002E3B4E"/>
      </bottom>
    </border>
    <border>
      <left style="thin">
        <color rgb="002E3B4E"/>
      </left>
      <right style="medium">
        <color rgb="00C9A84C"/>
      </right>
      <top style="thin">
        <color rgb="002E3B4E"/>
      </top>
      <bottom style="thin">
        <color rgb="002E3B4E"/>
      </bottom>
    </border>
    <border>
      <left style="medium">
        <color rgb="00C9A84C"/>
      </left>
      <right style="medium">
        <color rgb="00C9A84C"/>
      </right>
      <top style="medium">
        <color rgb="00C9A84C"/>
      </top>
      <bottom style="medium">
        <color rgb="00C9A84C"/>
      </bottom>
    </border>
  </borders>
  <cellStyleXfs count="1">
    <xf numFmtId="0" fontId="0" fillId="0" borderId="0"/>
  </cellStyleXfs>
  <cellXfs count="107">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center" wrapText="1"/>
    </xf>
    <xf numFmtId="0" fontId="0" fillId="0" borderId="9" pivotButton="0" quotePrefix="0" xfId="0"/>
    <xf numFmtId="0" fontId="0" fillId="0" borderId="10" pivotButton="0" quotePrefix="0" xfId="0"/>
    <xf numFmtId="0" fontId="3" fillId="2" borderId="1" applyAlignment="1" pivotButton="0" quotePrefix="0" xfId="0">
      <alignment horizontal="right" vertical="center"/>
    </xf>
    <xf numFmtId="0" fontId="0" fillId="2" borderId="1" pivotButton="0" quotePrefix="0" xfId="0"/>
    <xf numFmtId="0" fontId="0" fillId="2" borderId="0" pivotButton="0" quotePrefix="0" xfId="0"/>
    <xf numFmtId="0" fontId="0" fillId="2" borderId="11" pivotButton="0" quotePrefix="0" xfId="0"/>
    <xf numFmtId="0" fontId="4" fillId="2" borderId="0"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2" applyAlignment="1" pivotButton="0" quotePrefix="0" xfId="0">
      <alignment horizontal="left" vertical="center" wrapText="1"/>
    </xf>
    <xf numFmtId="0" fontId="0" fillId="3" borderId="12" pivotButton="0" quotePrefix="0" xfId="0"/>
    <xf numFmtId="0" fontId="7" fillId="4" borderId="13" applyAlignment="1" pivotButton="0" quotePrefix="0" xfId="0">
      <alignment horizontal="center" vertical="center" wrapText="1"/>
    </xf>
    <xf numFmtId="0" fontId="8" fillId="5" borderId="13" applyAlignment="1" pivotButton="0" quotePrefix="0" xfId="0">
      <alignment horizontal="center" vertical="center" wrapText="1"/>
    </xf>
    <xf numFmtId="0" fontId="9" fillId="5" borderId="13" applyAlignment="1" pivotButton="0" quotePrefix="0" xfId="0">
      <alignment horizontal="left" vertical="center" wrapText="1"/>
    </xf>
    <xf numFmtId="164" fontId="9" fillId="5" borderId="13" applyAlignment="1" pivotButton="0" quotePrefix="0" xfId="0">
      <alignment horizontal="center" vertical="center" wrapText="1"/>
    </xf>
    <xf numFmtId="165" fontId="7" fillId="6" borderId="13" applyAlignment="1" pivotButton="0" quotePrefix="0" xfId="0">
      <alignment horizontal="center" vertical="center" wrapText="1"/>
    </xf>
    <xf numFmtId="0" fontId="10" fillId="7" borderId="13" applyAlignment="1" pivotButton="0" quotePrefix="0" xfId="0">
      <alignment horizontal="center" vertical="center" wrapText="1"/>
    </xf>
    <xf numFmtId="165" fontId="10" fillId="9" borderId="13" applyAlignment="1" pivotButton="0" quotePrefix="0" xfId="0">
      <alignment horizontal="center" vertical="center" wrapText="1"/>
    </xf>
    <xf numFmtId="0" fontId="8" fillId="8" borderId="13" applyAlignment="1" pivotButton="0" quotePrefix="0" xfId="0">
      <alignment horizontal="center" vertical="center" wrapText="1"/>
    </xf>
    <xf numFmtId="0" fontId="9" fillId="8" borderId="13" applyAlignment="1" pivotButton="0" quotePrefix="0" xfId="0">
      <alignment horizontal="left" vertical="center" wrapText="1"/>
    </xf>
    <xf numFmtId="164" fontId="9" fillId="8" borderId="13" applyAlignment="1" pivotButton="0" quotePrefix="0" xfId="0">
      <alignment horizontal="center" vertical="center" wrapText="1"/>
    </xf>
    <xf numFmtId="0" fontId="10" fillId="10" borderId="13" applyAlignment="1" pivotButton="0" quotePrefix="0" xfId="0">
      <alignment horizontal="center" vertical="center" wrapText="1"/>
    </xf>
    <xf numFmtId="0" fontId="9" fillId="0" borderId="0" pivotButton="0" quotePrefix="0" xfId="0"/>
    <xf numFmtId="0" fontId="11" fillId="2" borderId="1" applyAlignment="1" pivotButton="0" quotePrefix="0" xfId="0">
      <alignment horizontal="center" vertical="center" wrapText="1"/>
    </xf>
    <xf numFmtId="0" fontId="2" fillId="2" borderId="0" applyAlignment="1" pivotButton="0" quotePrefix="0" xfId="0">
      <alignment horizontal="center" vertical="center" wrapText="1"/>
    </xf>
    <xf numFmtId="0" fontId="7" fillId="2" borderId="13" applyAlignment="1" pivotButton="0" quotePrefix="0" xfId="0">
      <alignment horizontal="center" vertical="center" wrapText="1"/>
    </xf>
    <xf numFmtId="166" fontId="9" fillId="5" borderId="13" applyAlignment="1" pivotButton="0" quotePrefix="0" xfId="0">
      <alignment horizontal="center" vertical="center" wrapText="1"/>
    </xf>
    <xf numFmtId="167" fontId="9" fillId="5" borderId="13" applyAlignment="1" pivotButton="0" quotePrefix="0" xfId="0">
      <alignment horizontal="center" vertical="center" wrapText="1"/>
    </xf>
    <xf numFmtId="165" fontId="9" fillId="5" borderId="13" applyAlignment="1" pivotButton="0" quotePrefix="0" xfId="0">
      <alignment horizontal="center" vertical="center" wrapText="1"/>
    </xf>
    <xf numFmtId="165" fontId="10" fillId="5" borderId="13" applyAlignment="1" pivotButton="0" quotePrefix="0" xfId="0">
      <alignment horizontal="center" vertical="center" wrapText="1"/>
    </xf>
    <xf numFmtId="0" fontId="3" fillId="5" borderId="13" applyAlignment="1" pivotButton="0" quotePrefix="0" xfId="0">
      <alignment horizontal="center" vertical="center" wrapText="1"/>
    </xf>
    <xf numFmtId="165" fontId="10" fillId="11" borderId="13" applyAlignment="1" pivotButton="0" quotePrefix="0" xfId="0">
      <alignment horizontal="center" vertical="center" wrapText="1"/>
    </xf>
    <xf numFmtId="166" fontId="9" fillId="8" borderId="13" applyAlignment="1" pivotButton="0" quotePrefix="0" xfId="0">
      <alignment horizontal="center" vertical="center" wrapText="1"/>
    </xf>
    <xf numFmtId="167" fontId="9" fillId="8" borderId="13" applyAlignment="1" pivotButton="0" quotePrefix="0" xfId="0">
      <alignment horizontal="center" vertical="center" wrapText="1"/>
    </xf>
    <xf numFmtId="165" fontId="9" fillId="8" borderId="13" applyAlignment="1" pivotButton="0" quotePrefix="0" xfId="0">
      <alignment horizontal="center" vertical="center" wrapText="1"/>
    </xf>
    <xf numFmtId="165" fontId="10" fillId="8" borderId="13" applyAlignment="1" pivotButton="0" quotePrefix="0" xfId="0">
      <alignment horizontal="center" vertical="center" wrapText="1"/>
    </xf>
    <xf numFmtId="0" fontId="3" fillId="8" borderId="13" applyAlignment="1" pivotButton="0" quotePrefix="0" xfId="0">
      <alignment horizontal="center" vertical="center" wrapText="1"/>
    </xf>
    <xf numFmtId="165" fontId="7" fillId="12" borderId="13" applyAlignment="1" pivotButton="0" quotePrefix="0" xfId="0">
      <alignment horizontal="center" vertical="center" wrapText="1"/>
    </xf>
    <xf numFmtId="165" fontId="10" fillId="10" borderId="13" applyAlignment="1" pivotButton="0" quotePrefix="0" xfId="0">
      <alignment horizontal="center" vertical="center" wrapText="1"/>
    </xf>
    <xf numFmtId="0" fontId="9" fillId="13" borderId="13" applyAlignment="1" pivotButton="0" quotePrefix="0" xfId="0">
      <alignment horizontal="left" vertical="center" wrapText="1"/>
    </xf>
    <xf numFmtId="0" fontId="9" fillId="5" borderId="13" applyAlignment="1" pivotButton="0" quotePrefix="0" xfId="0">
      <alignment horizontal="center" vertical="center" wrapText="1"/>
    </xf>
    <xf numFmtId="0" fontId="9" fillId="5" borderId="13" applyAlignment="1" pivotButton="0" quotePrefix="0" xfId="0">
      <alignment horizontal="left" vertical="top" wrapText="1"/>
    </xf>
    <xf numFmtId="0" fontId="9" fillId="8" borderId="13" applyAlignment="1" pivotButton="0" quotePrefix="0" xfId="0">
      <alignment horizontal="center" vertical="center" wrapText="1"/>
    </xf>
    <xf numFmtId="0" fontId="9" fillId="8" borderId="13" applyAlignment="1" pivotButton="0" quotePrefix="0" xfId="0">
      <alignment horizontal="left" vertical="top" wrapText="1"/>
    </xf>
    <xf numFmtId="0" fontId="9" fillId="14" borderId="13" applyAlignment="1" pivotButton="0" quotePrefix="0" xfId="0">
      <alignment horizontal="left" vertical="center" wrapText="1"/>
    </xf>
    <xf numFmtId="0" fontId="9" fillId="15" borderId="13" applyAlignment="1" pivotButton="0" quotePrefix="0" xfId="0">
      <alignment horizontal="left" vertical="center" wrapText="1"/>
    </xf>
    <xf numFmtId="0" fontId="9" fillId="16" borderId="13" applyAlignment="1" pivotButton="0" quotePrefix="0" xfId="0">
      <alignment horizontal="left" vertical="center" wrapText="1"/>
    </xf>
    <xf numFmtId="0" fontId="6" fillId="3" borderId="14" applyAlignment="1" pivotButton="0" quotePrefix="0" xfId="0">
      <alignment horizontal="left" vertical="center" wrapText="1"/>
    </xf>
    <xf numFmtId="0" fontId="0" fillId="3" borderId="15" pivotButton="0" quotePrefix="0" xfId="0"/>
    <xf numFmtId="0" fontId="7" fillId="4" borderId="16" applyAlignment="1" pivotButton="0" quotePrefix="0" xfId="0">
      <alignment horizontal="center" vertical="center" wrapText="1"/>
    </xf>
    <xf numFmtId="0" fontId="7" fillId="4" borderId="17" applyAlignment="1" pivotButton="0" quotePrefix="0" xfId="0">
      <alignment horizontal="center" vertical="center" wrapText="1"/>
    </xf>
    <xf numFmtId="0" fontId="9" fillId="5" borderId="16" applyAlignment="1" pivotButton="0" quotePrefix="0" xfId="0">
      <alignment horizontal="center" vertical="center" wrapText="1"/>
    </xf>
    <xf numFmtId="165" fontId="9" fillId="5" borderId="17" applyAlignment="1" pivotButton="0" quotePrefix="0" xfId="0">
      <alignment horizontal="center" vertical="center" wrapText="1"/>
    </xf>
    <xf numFmtId="0" fontId="9" fillId="8" borderId="16" applyAlignment="1" pivotButton="0" quotePrefix="0" xfId="0">
      <alignment horizontal="center" vertical="center" wrapText="1"/>
    </xf>
    <xf numFmtId="165" fontId="9" fillId="8" borderId="17" applyAlignment="1" pivotButton="0" quotePrefix="0" xfId="0">
      <alignment horizontal="center" vertical="center" wrapText="1"/>
    </xf>
    <xf numFmtId="0" fontId="3" fillId="0" borderId="0" applyAlignment="1" pivotButton="0" quotePrefix="0" xfId="0">
      <alignment horizontal="right" vertical="center"/>
    </xf>
    <xf numFmtId="0" fontId="12" fillId="10" borderId="18" applyAlignment="1" pivotButton="0" quotePrefix="0" xfId="0">
      <alignment horizontal="center" vertical="center" wrapText="1"/>
    </xf>
    <xf numFmtId="0" fontId="9" fillId="17" borderId="13" applyAlignment="1" pivotButton="0" quotePrefix="0" xfId="0">
      <alignment horizontal="left" vertical="top" wrapText="1"/>
    </xf>
    <xf numFmtId="0" fontId="9" fillId="18" borderId="13" applyAlignment="1" pivotButton="0" quotePrefix="0" xfId="0">
      <alignment horizontal="left" vertical="top" wrapText="1"/>
    </xf>
    <xf numFmtId="0" fontId="10" fillId="8" borderId="13" applyAlignment="1" pivotButton="0" quotePrefix="0" xfId="0">
      <alignment horizontal="left" vertical="center" wrapText="1"/>
    </xf>
    <xf numFmtId="164" fontId="12" fillId="10" borderId="18" applyAlignment="1" pivotButton="0" quotePrefix="0" xfId="0">
      <alignment horizontal="center" vertical="center" wrapText="1"/>
    </xf>
    <xf numFmtId="0" fontId="3" fillId="0" borderId="0" applyAlignment="1" pivotButton="0" quotePrefix="0" xfId="0">
      <alignment horizontal="left" vertical="center" wrapText="1"/>
    </xf>
    <xf numFmtId="167" fontId="12" fillId="10" borderId="18" applyAlignment="1" pivotButton="0" quotePrefix="0" xfId="0">
      <alignment horizontal="center" vertical="center" wrapText="1"/>
    </xf>
    <xf numFmtId="168" fontId="12" fillId="10" borderId="18" applyAlignment="1" pivotButton="0" quotePrefix="0" xfId="0">
      <alignment horizontal="center" vertical="center" wrapText="1"/>
    </xf>
    <xf numFmtId="167" fontId="13" fillId="5" borderId="13" applyAlignment="1" pivotButton="0" quotePrefix="0" xfId="0">
      <alignment horizontal="center" vertical="center" wrapText="1"/>
    </xf>
    <xf numFmtId="164" fontId="13" fillId="5" borderId="13" applyAlignment="1" pivotButton="0" quotePrefix="0" xfId="0">
      <alignment horizontal="center" vertical="center" wrapText="1"/>
    </xf>
    <xf numFmtId="3" fontId="9" fillId="5" borderId="13" applyAlignment="1" pivotButton="0" quotePrefix="0" xfId="0">
      <alignment horizontal="center" vertical="center" wrapText="1"/>
    </xf>
    <xf numFmtId="0" fontId="3" fillId="5" borderId="13" applyAlignment="1" pivotButton="0" quotePrefix="0" xfId="0">
      <alignment horizontal="left" vertical="center" wrapText="1"/>
    </xf>
    <xf numFmtId="167" fontId="13" fillId="8" borderId="13" applyAlignment="1" pivotButton="0" quotePrefix="0" xfId="0">
      <alignment horizontal="center" vertical="center" wrapText="1"/>
    </xf>
    <xf numFmtId="164" fontId="13" fillId="8" borderId="13" applyAlignment="1" pivotButton="0" quotePrefix="0" xfId="0">
      <alignment horizontal="center" vertical="center" wrapText="1"/>
    </xf>
    <xf numFmtId="3" fontId="9" fillId="8" borderId="13" applyAlignment="1" pivotButton="0" quotePrefix="0" xfId="0">
      <alignment horizontal="center" vertical="center" wrapText="1"/>
    </xf>
    <xf numFmtId="0" fontId="3" fillId="8" borderId="13" applyAlignment="1" pivotButton="0" quotePrefix="0" xfId="0">
      <alignment horizontal="left" vertical="center" wrapText="1"/>
    </xf>
    <xf numFmtId="0" fontId="10" fillId="3" borderId="13" applyAlignment="1" pivotButton="0" quotePrefix="0" xfId="0">
      <alignment horizontal="left" vertical="center" wrapText="1"/>
    </xf>
    <xf numFmtId="0" fontId="0" fillId="3" borderId="13" pivotButton="0" quotePrefix="0" xfId="0"/>
    <xf numFmtId="167" fontId="14" fillId="3" borderId="13" applyAlignment="1" pivotButton="0" quotePrefix="0" xfId="0">
      <alignment horizontal="center" vertical="center" wrapText="1"/>
    </xf>
    <xf numFmtId="164" fontId="14" fillId="3" borderId="13" applyAlignment="1" pivotButton="0" quotePrefix="0" xfId="0">
      <alignment horizontal="center" vertical="center" wrapText="1"/>
    </xf>
    <xf numFmtId="167" fontId="15" fillId="3" borderId="13" applyAlignment="1" pivotButton="0" quotePrefix="0" xfId="0">
      <alignment horizontal="center" vertical="center" wrapText="1"/>
    </xf>
    <xf numFmtId="164" fontId="15" fillId="3" borderId="13" applyAlignment="1" pivotButton="0" quotePrefix="0" xfId="0">
      <alignment horizontal="center" vertical="center" wrapText="1"/>
    </xf>
    <xf numFmtId="164" fontId="9" fillId="10" borderId="13" applyAlignment="1" pivotButton="0" quotePrefix="0" xfId="0">
      <alignment horizontal="center" vertical="center" wrapText="1"/>
    </xf>
    <xf numFmtId="0" fontId="10" fillId="0" borderId="0" applyAlignment="1" pivotButton="0" quotePrefix="0" xfId="0">
      <alignment horizontal="right" vertical="center"/>
    </xf>
    <xf numFmtId="2" fontId="13" fillId="10" borderId="13" applyAlignment="1" pivotButton="0" quotePrefix="0" xfId="0">
      <alignment horizontal="center" vertical="center" wrapText="1"/>
    </xf>
    <xf numFmtId="2" fontId="13" fillId="5" borderId="13" applyAlignment="1" pivotButton="0" quotePrefix="0" xfId="0">
      <alignment horizontal="center" vertical="center" wrapText="1"/>
    </xf>
    <xf numFmtId="2" fontId="12" fillId="10" borderId="13" applyAlignment="1" pivotButton="0" quotePrefix="0" xfId="0">
      <alignment horizontal="center" vertical="center" wrapText="1"/>
    </xf>
    <xf numFmtId="0" fontId="7" fillId="19" borderId="13" applyAlignment="1" pivotButton="0" quotePrefix="0" xfId="0">
      <alignment horizontal="center" vertical="center" wrapText="1"/>
    </xf>
    <xf numFmtId="0" fontId="16" fillId="0" borderId="0" applyAlignment="1" pivotButton="0" quotePrefix="0" xfId="0">
      <alignment horizontal="left" vertical="center" wrapText="1"/>
    </xf>
    <xf numFmtId="2" fontId="9" fillId="5" borderId="13" applyAlignment="1" pivotButton="0" quotePrefix="0" xfId="0">
      <alignment horizontal="center" vertical="center" wrapText="1"/>
    </xf>
    <xf numFmtId="2" fontId="9" fillId="8" borderId="13" applyAlignment="1" pivotButton="0" quotePrefix="0" xfId="0">
      <alignment horizontal="center" vertical="center" wrapText="1"/>
    </xf>
    <xf numFmtId="0" fontId="10" fillId="5" borderId="13" applyAlignment="1" pivotButton="0" quotePrefix="0" xfId="0">
      <alignment horizontal="left" vertical="center" wrapText="1"/>
    </xf>
    <xf numFmtId="0" fontId="0" fillId="5" borderId="13" pivotButton="0" quotePrefix="0" xfId="0"/>
    <xf numFmtId="0" fontId="9" fillId="0" borderId="13" pivotButton="0" quotePrefix="0" xfId="0"/>
    <xf numFmtId="169" fontId="12" fillId="8" borderId="13" applyAlignment="1" pivotButton="0" quotePrefix="0" xfId="0">
      <alignment horizontal="center" vertical="center" wrapText="1"/>
    </xf>
    <xf numFmtId="0" fontId="17" fillId="3" borderId="16" applyAlignment="1" pivotButton="0" quotePrefix="0" xfId="0">
      <alignment horizontal="left" vertical="center" wrapText="1"/>
    </xf>
    <xf numFmtId="0" fontId="0" fillId="3" borderId="17" pivotButton="0" quotePrefix="0" xfId="0"/>
    <xf numFmtId="0" fontId="15" fillId="5" borderId="16" applyAlignment="1" pivotButton="0" quotePrefix="0" xfId="0">
      <alignment horizontal="left" vertical="center" wrapText="1"/>
    </xf>
    <xf numFmtId="0" fontId="0" fillId="5" borderId="17" pivotButton="0" quotePrefix="0" xfId="0"/>
    <xf numFmtId="0" fontId="3" fillId="5" borderId="16" applyAlignment="1" pivotButton="0" quotePrefix="0" xfId="0">
      <alignment horizontal="left" vertical="center" wrapText="1"/>
    </xf>
    <xf numFmtId="0" fontId="16" fillId="5" borderId="16" applyAlignment="1" pivotButton="0" quotePrefix="0" xfId="0">
      <alignment horizontal="left" vertical="center" wrapText="1"/>
    </xf>
    <xf numFmtId="0" fontId="18" fillId="17" borderId="13" applyAlignment="1" pivotButton="0" quotePrefix="0" xfId="0">
      <alignment horizontal="center" vertical="center" wrapText="1"/>
    </xf>
    <xf numFmtId="0" fontId="19" fillId="16" borderId="13" applyAlignment="1" pivotButton="0" quotePrefix="0" xfId="0">
      <alignment horizontal="center" vertical="center" wrapText="1"/>
    </xf>
    <xf numFmtId="0" fontId="9" fillId="8" borderId="13" pivotButton="0" quotePrefix="0" xfId="0"/>
  </cellXfs>
  <cellStyles count="1">
    <cellStyle name="Normal" xfId="0" builtinId="0" hidden="0"/>
  </cellStyles>
  <dxfs count="1">
    <dxf>
      <fill>
        <patternFill patternType="solid">
          <fgColor rgb="00E76F5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style val="10"/>
  <chart>
    <plotArea>
      <barChart>
        <barDir val="col"/>
        <grouping val="clustered"/>
        <ser>
          <idx val="0"/>
          <order val="0"/>
          <tx>
            <strRef>
              <f>'Dashboard'!B40</f>
            </strRef>
          </tx>
          <spPr>
            <a:solidFill xmlns:a="http://schemas.openxmlformats.org/drawingml/2006/main">
              <a:srgbClr val="C9A84C"/>
            </a:solidFill>
            <a:ln xmlns:a="http://schemas.openxmlformats.org/drawingml/2006/main">
              <a:prstDash val="solid"/>
            </a:ln>
          </spPr>
          <cat>
            <numRef>
              <f>'Dashboard'!$A$41:$A$50</f>
            </numRef>
          </cat>
          <val>
            <numRef>
              <f>'Dashboard'!$B$41:$B$50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Combined Score</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Growth vs Margin (bubble = market cap)</a:t>
            </a:r>
          </a:p>
        </rich>
      </tx>
    </title>
    <plotArea>
      <bubbleChart>
        <ser>
          <idx val="0"/>
          <order val="0"/>
          <tx>
            <v>Stocks</v>
          </tx>
          <spPr>
            <a:solidFill xmlns:a="http://schemas.openxmlformats.org/drawingml/2006/main">
              <a:srgbClr val="C9A84C"/>
            </a:solidFill>
            <a:ln xmlns:a="http://schemas.openxmlformats.org/drawingml/2006/main">
              <a:prstDash val="solid"/>
            </a:ln>
          </spPr>
          <xVal>
            <numRef>
              <f>'Nano Cap'!$B$61:$B$70</f>
            </numRef>
          </xVal>
          <yVal>
            <numRef>
              <f>'Nano Cap'!$C$61:$C$70</f>
            </numRef>
          </yVal>
          <bubbleSize>
            <numRef>
              <f>'Nano Cap'!$D$61:$D$70</f>
            </numRef>
          </bubbleSize>
        </ser>
        <axId val="10"/>
        <axId val="20"/>
      </bubbleChart>
      <valAx>
        <axId val="10"/>
        <scaling>
          <orientation val="minMax"/>
        </scaling>
        <axPos val="l"/>
        <majorGridlines/>
        <title>
          <tx>
            <rich>
              <a:bodyPr xmlns:a="http://schemas.openxmlformats.org/drawingml/2006/main"/>
              <a:p xmlns:a="http://schemas.openxmlformats.org/drawingml/2006/main">
                <a:pPr>
                  <a:defRPr/>
                </a:pPr>
                <a:r>
                  <a:t>Gross Margin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Growth %</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Growth vs Margin (bubble = market cap)</a:t>
            </a:r>
          </a:p>
        </rich>
      </tx>
    </title>
    <plotArea>
      <bubbleChart>
        <ser>
          <idx val="0"/>
          <order val="0"/>
          <tx>
            <v>Stocks</v>
          </tx>
          <spPr>
            <a:solidFill xmlns:a="http://schemas.openxmlformats.org/drawingml/2006/main">
              <a:srgbClr val="C9A84C"/>
            </a:solidFill>
            <a:ln xmlns:a="http://schemas.openxmlformats.org/drawingml/2006/main">
              <a:prstDash val="solid"/>
            </a:ln>
          </spPr>
          <xVal>
            <numRef>
              <f>'Small Cap'!$B$61:$B$70</f>
            </numRef>
          </xVal>
          <yVal>
            <numRef>
              <f>'Small Cap'!$C$61:$C$70</f>
            </numRef>
          </yVal>
          <bubbleSize>
            <numRef>
              <f>'Small Cap'!$D$61:$D$70</f>
            </numRef>
          </bubbleSize>
        </ser>
        <axId val="10"/>
        <axId val="20"/>
      </bubbleChart>
      <valAx>
        <axId val="10"/>
        <scaling>
          <orientation val="minMax"/>
        </scaling>
        <axPos val="l"/>
        <majorGridlines/>
        <title>
          <tx>
            <rich>
              <a:bodyPr xmlns:a="http://schemas.openxmlformats.org/drawingml/2006/main"/>
              <a:p xmlns:a="http://schemas.openxmlformats.org/drawingml/2006/main">
                <a:pPr>
                  <a:defRPr/>
                </a:pPr>
                <a:r>
                  <a:t>Gross Margin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Growth %</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Growth vs Margin (bubble = market cap)</a:t>
            </a:r>
          </a:p>
        </rich>
      </tx>
    </title>
    <plotArea>
      <bubbleChart>
        <ser>
          <idx val="0"/>
          <order val="0"/>
          <tx>
            <v>Stocks</v>
          </tx>
          <spPr>
            <a:solidFill xmlns:a="http://schemas.openxmlformats.org/drawingml/2006/main">
              <a:srgbClr val="C9A84C"/>
            </a:solidFill>
            <a:ln xmlns:a="http://schemas.openxmlformats.org/drawingml/2006/main">
              <a:prstDash val="solid"/>
            </a:ln>
          </spPr>
          <xVal>
            <numRef>
              <f>'Breakout'!$B$61:$B$70</f>
            </numRef>
          </xVal>
          <yVal>
            <numRef>
              <f>'Breakout'!$C$61:$C$70</f>
            </numRef>
          </yVal>
          <bubbleSize>
            <numRef>
              <f>'Breakout'!$D$61:$D$70</f>
            </numRef>
          </bubbleSize>
        </ser>
        <axId val="10"/>
        <axId val="20"/>
      </bubbleChart>
      <valAx>
        <axId val="10"/>
        <scaling>
          <orientation val="minMax"/>
        </scaling>
        <axPos val="l"/>
        <majorGridlines/>
        <title>
          <tx>
            <rich>
              <a:bodyPr xmlns:a="http://schemas.openxmlformats.org/drawingml/2006/main"/>
              <a:p xmlns:a="http://schemas.openxmlformats.org/drawingml/2006/main">
                <a:pPr>
                  <a:defRPr/>
                </a:pPr>
                <a:r>
                  <a:t>Gross Margin %</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Revenue Growth %</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Conviction Distribution by Tier</a:t>
            </a:r>
          </a:p>
        </rich>
      </tx>
    </title>
    <plotArea>
      <barChart>
        <barDir val="bar"/>
        <grouping val="stacked"/>
        <ser>
          <idx val="0"/>
          <order val="0"/>
          <tx>
            <strRef>
              <f>'Recommendations'!B39</f>
            </strRef>
          </tx>
          <spPr>
            <a:solidFill xmlns:a="http://schemas.openxmlformats.org/drawingml/2006/main">
              <a:srgbClr val="2A9D8F"/>
            </a:solidFill>
            <a:ln xmlns:a="http://schemas.openxmlformats.org/drawingml/2006/main">
              <a:prstDash val="solid"/>
            </a:ln>
          </spPr>
          <cat>
            <numRef>
              <f>'Recommendations'!$A$40:$A$42</f>
            </numRef>
          </cat>
          <val>
            <numRef>
              <f>'Recommendations'!$B$40:$B$42</f>
            </numRef>
          </val>
        </ser>
        <ser>
          <idx val="1"/>
          <order val="1"/>
          <tx>
            <strRef>
              <f>'Recommendations'!C39</f>
            </strRef>
          </tx>
          <spPr>
            <a:solidFill xmlns:a="http://schemas.openxmlformats.org/drawingml/2006/main">
              <a:srgbClr val="4FC3F7"/>
            </a:solidFill>
            <a:ln xmlns:a="http://schemas.openxmlformats.org/drawingml/2006/main">
              <a:prstDash val="solid"/>
            </a:ln>
          </spPr>
          <cat>
            <numRef>
              <f>'Recommendations'!$A$40:$A$42</f>
            </numRef>
          </cat>
          <val>
            <numRef>
              <f>'Recommendations'!$C$40:$C$42</f>
            </numRef>
          </val>
        </ser>
        <ser>
          <idx val="2"/>
          <order val="2"/>
          <tx>
            <strRef>
              <f>'Recommendations'!D39</f>
            </strRef>
          </tx>
          <spPr>
            <a:solidFill xmlns:a="http://schemas.openxmlformats.org/drawingml/2006/main">
              <a:srgbClr val="C9A84C"/>
            </a:solidFill>
            <a:ln xmlns:a="http://schemas.openxmlformats.org/drawingml/2006/main">
              <a:prstDash val="solid"/>
            </a:ln>
          </spPr>
          <cat>
            <numRef>
              <f>'Recommendations'!$A$40:$A$42</f>
            </numRef>
          </cat>
          <val>
            <numRef>
              <f>'Recommendations'!$D$40:$D$42</f>
            </numRef>
          </val>
        </ser>
        <ser>
          <idx val="3"/>
          <order val="3"/>
          <tx>
            <strRef>
              <f>'Recommendations'!E39</f>
            </strRef>
          </tx>
          <spPr>
            <a:solidFill xmlns:a="http://schemas.openxmlformats.org/drawingml/2006/main">
              <a:srgbClr val="E76F51"/>
            </a:solidFill>
            <a:ln xmlns:a="http://schemas.openxmlformats.org/drawingml/2006/main">
              <a:prstDash val="solid"/>
            </a:ln>
          </spPr>
          <cat>
            <numRef>
              <f>'Recommendations'!$A$40:$A$42</f>
            </numRef>
          </cat>
          <val>
            <numRef>
              <f>'Recommendations'!$E$40:$E$42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Allocation by Tier</a:t>
            </a:r>
          </a:p>
        </rich>
      </tx>
    </title>
    <plotArea>
      <doughnutChart>
        <varyColors val="1"/>
        <ser>
          <idx val="0"/>
          <order val="0"/>
          <tx>
            <strRef>
              <f>'Portfolio Construction'!M49</f>
            </strRef>
          </tx>
          <spPr>
            <a:ln xmlns:a="http://schemas.openxmlformats.org/drawingml/2006/main">
              <a:prstDash val="solid"/>
            </a:ln>
          </spPr>
          <cat>
            <numRef>
              <f>'Portfolio Construction'!$L$50:$L$53</f>
            </numRef>
          </cat>
          <val>
            <numRef>
              <f>'Portfolio Construction'!$M$50:$M$53</f>
            </numRef>
          </val>
        </ser>
        <firstSliceAng val="0"/>
        <holeSize val="10"/>
      </doughnutChart>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Score Impact — KVHI</a:t>
            </a:r>
          </a:p>
        </rich>
      </tx>
    </title>
    <plotArea>
      <barChart>
        <barDir val="bar"/>
        <grouping val="clustered"/>
        <ser>
          <idx val="0"/>
          <order val="0"/>
          <spPr>
            <a:solidFill xmlns:a="http://schemas.openxmlformats.org/drawingml/2006/main">
              <a:srgbClr val="E76F51"/>
            </a:solidFill>
            <a:ln xmlns:a="http://schemas.openxmlformats.org/drawingml/2006/main">
              <a:prstDash val="solid"/>
            </a:ln>
          </spPr>
          <cat>
            <numRef>
              <f>'Sensitivity Analysis'!$B$51:$B$55</f>
            </numRef>
          </cat>
          <val>
            <numRef>
              <f>'Sensitivity Analysis'!$C$51:$C$55</f>
            </numRef>
          </val>
        </ser>
        <ser>
          <idx val="1"/>
          <order val="1"/>
          <spPr>
            <a:solidFill xmlns:a="http://schemas.openxmlformats.org/drawingml/2006/main">
              <a:srgbClr val="2A9D8F"/>
            </a:solidFill>
            <a:ln xmlns:a="http://schemas.openxmlformats.org/drawingml/2006/main">
              <a:prstDash val="solid"/>
            </a:ln>
          </spPr>
          <cat>
            <numRef>
              <f>'Sensitivity Analysis'!$B$51:$B$55</f>
            </numRef>
          </cat>
          <val>
            <numRef>
              <f>'Sensitivity Analysis'!$D$51:$D$55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8.xml><?xml version="1.0" encoding="utf-8"?>
<chartSpace xmlns="http://schemas.openxmlformats.org/drawingml/2006/chart">
  <style val="26"/>
  <chart>
    <title>
      <tx>
        <rich>
          <a:bodyPr xmlns:a="http://schemas.openxmlformats.org/drawingml/2006/main"/>
          <a:p xmlns:a="http://schemas.openxmlformats.org/drawingml/2006/main">
            <a:pPr>
              <a:defRPr/>
            </a:pPr>
            <a:r>
              <a:t>Reference Stock Comparison</a:t>
            </a:r>
          </a:p>
        </rich>
      </tx>
    </title>
    <plotArea>
      <radarChart>
        <radarStyle val="standard"/>
        <ser>
          <idx val="0"/>
          <order val="0"/>
          <tx>
            <strRef>
              <f>'Fingerprint Reference'!B35</f>
            </strRef>
          </tx>
          <spPr>
            <a:ln xmlns:a="http://schemas.openxmlformats.org/drawingml/2006/main">
              <a:solidFill>
                <a:srgbClr val="C9A84C"/>
              </a:solidFill>
              <a:prstDash val="solid"/>
            </a:ln>
          </spPr>
          <marker>
            <symbol val="none"/>
            <spPr>
              <a:ln xmlns:a="http://schemas.openxmlformats.org/drawingml/2006/main">
                <a:prstDash val="solid"/>
              </a:ln>
            </spPr>
          </marker>
          <cat>
            <numRef>
              <f>'Fingerprint Reference'!$A$36:$A$40</f>
            </numRef>
          </cat>
          <val>
            <numRef>
              <f>'Fingerprint Reference'!$B$36:$B$40</f>
            </numRef>
          </val>
        </ser>
        <ser>
          <idx val="1"/>
          <order val="1"/>
          <tx>
            <strRef>
              <f>'Fingerprint Reference'!C35</f>
            </strRef>
          </tx>
          <spPr>
            <a:ln xmlns:a="http://schemas.openxmlformats.org/drawingml/2006/main">
              <a:solidFill>
                <a:srgbClr val="2A9D8F"/>
              </a:solidFill>
              <a:prstDash val="solid"/>
            </a:ln>
          </spPr>
          <marker>
            <symbol val="none"/>
            <spPr>
              <a:ln xmlns:a="http://schemas.openxmlformats.org/drawingml/2006/main">
                <a:prstDash val="solid"/>
              </a:ln>
            </spPr>
          </marker>
          <cat>
            <numRef>
              <f>'Fingerprint Reference'!$A$36:$A$40</f>
            </numRef>
          </cat>
          <val>
            <numRef>
              <f>'Fingerprint Reference'!$C$36:$C$40</f>
            </numRef>
          </val>
        </ser>
        <ser>
          <idx val="2"/>
          <order val="2"/>
          <tx>
            <strRef>
              <f>'Fingerprint Reference'!D35</f>
            </strRef>
          </tx>
          <spPr>
            <a:ln xmlns:a="http://schemas.openxmlformats.org/drawingml/2006/main">
              <a:solidFill>
                <a:srgbClr val="E76F51"/>
              </a:solidFill>
              <a:prstDash val="solid"/>
            </a:ln>
          </spPr>
          <marker>
            <symbol val="none"/>
            <spPr>
              <a:ln xmlns:a="http://schemas.openxmlformats.org/drawingml/2006/main">
                <a:prstDash val="solid"/>
              </a:ln>
            </spPr>
          </marker>
          <cat>
            <numRef>
              <f>'Fingerprint Reference'!$A$36:$A$40</f>
            </numRef>
          </cat>
          <val>
            <numRef>
              <f>'Fingerprint Reference'!$D$36:$D$40</f>
            </numRef>
          </val>
        </ser>
        <ser>
          <idx val="3"/>
          <order val="3"/>
          <tx>
            <strRef>
              <f>'Fingerprint Reference'!E35</f>
            </strRef>
          </tx>
          <spPr>
            <a:ln xmlns:a="http://schemas.openxmlformats.org/drawingml/2006/main">
              <a:solidFill>
                <a:srgbClr val="4FC3F7"/>
              </a:solidFill>
              <a:prstDash val="solid"/>
            </a:ln>
          </spPr>
          <marker>
            <symbol val="none"/>
            <spPr>
              <a:ln xmlns:a="http://schemas.openxmlformats.org/drawingml/2006/main">
                <a:prstDash val="solid"/>
              </a:ln>
            </spPr>
          </marker>
          <cat>
            <numRef>
              <f>'Fingerprint Reference'!$A$36:$A$40</f>
            </numRef>
          </cat>
          <val>
            <numRef>
              <f>'Fingerprint Reference'!$E$36:$E$40</f>
            </numRef>
          </val>
        </ser>
        <ser>
          <idx val="4"/>
          <order val="4"/>
          <tx>
            <strRef>
              <f>'Fingerprint Reference'!F35</f>
            </strRef>
          </tx>
          <spPr>
            <a:ln xmlns:a="http://schemas.openxmlformats.org/drawingml/2006/main">
              <a:solidFill>
                <a:srgbClr val="0D1B2A"/>
              </a:solidFill>
              <a:prstDash val="solid"/>
            </a:ln>
          </spPr>
          <marker>
            <symbol val="none"/>
            <spPr>
              <a:ln xmlns:a="http://schemas.openxmlformats.org/drawingml/2006/main">
                <a:prstDash val="solid"/>
              </a:ln>
            </spPr>
          </marker>
          <cat>
            <numRef>
              <f>'Fingerprint Reference'!$A$36:$A$40</f>
            </numRef>
          </cat>
          <val>
            <numRef>
              <f>'Fingerprint Reference'!$F$36:$F$40</f>
            </numRef>
          </val>
        </ser>
        <ser>
          <idx val="5"/>
          <order val="5"/>
          <tx>
            <strRef>
              <f>'Fingerprint Reference'!G35</f>
            </strRef>
          </tx>
          <spPr>
            <a:ln xmlns:a="http://schemas.openxmlformats.org/drawingml/2006/main">
              <a:solidFill>
                <a:srgbClr val="F9C74F"/>
              </a:solidFill>
              <a:prstDash val="solid"/>
            </a:ln>
          </spPr>
          <marker>
            <symbol val="none"/>
            <spPr>
              <a:ln xmlns:a="http://schemas.openxmlformats.org/drawingml/2006/main">
                <a:prstDash val="solid"/>
              </a:ln>
            </spPr>
          </marker>
          <cat>
            <numRef>
              <f>'Fingerprint Reference'!$A$36:$A$40</f>
            </numRef>
          </cat>
          <val>
            <numRef>
              <f>'Fingerprint Reference'!$G$36:$G$40</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oneCellAnchor>
    <from>
      <col>1</col>
      <colOff>0</colOff>
      <row>19</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7</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7</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16</row>
      <rowOff>0</rowOff>
    </from>
    <ext cx="64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43</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11</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50</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41</row>
      <rowOff>0</rowOff>
    </from>
    <ext cx="720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_rels/sheet9.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tabColor rgb="00C9A84C"/>
    <outlinePr summaryBelow="1" summaryRight="1"/>
    <pageSetUpPr fitToPage="1"/>
  </sheetPr>
  <dimension ref="A1:P50"/>
  <sheetViews>
    <sheetView showGridLines="0" workbookViewId="0">
      <pane ySplit="4" topLeftCell="A5" activePane="bottomLeft" state="frozen"/>
      <selection pane="bottomLeft"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3" customWidth="1" min="8" max="8"/>
    <col width="14" customWidth="1" min="9" max="9"/>
    <col width="14" customWidth="1" min="10" max="10"/>
    <col width="14" customWidth="1" min="11" max="11"/>
    <col width="14" customWidth="1" min="12" max="12"/>
    <col width="14" customWidth="1" min="13" max="13"/>
    <col width="14" customWidth="1" min="14" max="14"/>
    <col width="3" customWidth="1" min="15" max="15"/>
    <col width="14" customWidth="1" min="16" max="16"/>
  </cols>
  <sheetData>
    <row r="1" ht="28" customHeight="1">
      <c r="A1" s="1" t="inlineStr">
        <is>
          <t>STRUCTURAL GROWTH EQUITY SCREENER</t>
        </is>
      </c>
      <c r="B1" s="2" t="n"/>
      <c r="C1" s="2" t="n"/>
      <c r="D1" s="2" t="n"/>
      <c r="E1" s="2" t="n"/>
      <c r="F1" s="2" t="n"/>
      <c r="G1" s="2" t="n"/>
      <c r="H1" s="2" t="n"/>
      <c r="I1" s="2" t="n"/>
      <c r="J1" s="2" t="n"/>
      <c r="K1" s="2" t="n"/>
      <c r="L1" s="2" t="n"/>
      <c r="M1" s="2" t="n"/>
      <c r="N1" s="2" t="n"/>
      <c r="O1" s="2" t="n"/>
      <c r="P1" s="3" t="n"/>
    </row>
    <row r="2" ht="28" customHeight="1">
      <c r="A2" s="4" t="n"/>
      <c r="B2" s="5" t="n"/>
      <c r="C2" s="5" t="n"/>
      <c r="D2" s="5" t="n"/>
      <c r="E2" s="5" t="n"/>
      <c r="F2" s="5" t="n"/>
      <c r="G2" s="5" t="n"/>
      <c r="H2" s="5" t="n"/>
      <c r="I2" s="5" t="n"/>
      <c r="J2" s="5" t="n"/>
      <c r="K2" s="5" t="n"/>
      <c r="L2" s="5" t="n"/>
      <c r="M2" s="5" t="n"/>
      <c r="N2" s="5" t="n"/>
      <c r="O2" s="5" t="n"/>
      <c r="P2" s="6" t="n"/>
    </row>
    <row r="3" ht="20" customHeight="1">
      <c r="A3" s="7" t="inlineStr">
        <is>
          <t>Nano  ·  Small  ·  Breakout Tier Analysis</t>
        </is>
      </c>
      <c r="B3" s="8" t="n"/>
      <c r="C3" s="8" t="n"/>
      <c r="D3" s="8" t="n"/>
      <c r="E3" s="8" t="n"/>
      <c r="F3" s="8" t="n"/>
      <c r="G3" s="8" t="n"/>
      <c r="H3" s="8" t="n"/>
      <c r="I3" s="8" t="n"/>
      <c r="J3" s="9" t="n"/>
      <c r="K3" s="10" t="inlineStr">
        <is>
          <t>Run Date: June 06, 2026  |  Universe: 30 stocks  |  Source: Financial Modeling Prep</t>
        </is>
      </c>
      <c r="L3" s="8" t="n"/>
      <c r="M3" s="8" t="n"/>
      <c r="N3" s="8" t="n"/>
      <c r="O3" s="8" t="n"/>
      <c r="P3" s="9" t="n"/>
    </row>
    <row r="4" ht="8" customHeight="1">
      <c r="A4" s="11" t="n"/>
      <c r="B4" s="11" t="n"/>
      <c r="C4" s="11" t="n"/>
      <c r="D4" s="11" t="n"/>
      <c r="E4" s="11" t="n"/>
      <c r="F4" s="11" t="n"/>
      <c r="G4" s="11" t="n"/>
      <c r="H4" s="11" t="n"/>
      <c r="I4" s="11" t="n"/>
      <c r="J4" s="11" t="n"/>
      <c r="K4" s="11" t="n"/>
      <c r="L4" s="11" t="n"/>
      <c r="M4" s="11" t="n"/>
      <c r="N4" s="11" t="n"/>
      <c r="O4" s="11" t="n"/>
      <c r="P4" s="11" t="n"/>
    </row>
    <row r="5" ht="6" customHeight="1">
      <c r="A5" s="12" t="n"/>
      <c r="B5" s="13" t="n"/>
      <c r="C5" s="13" t="n"/>
      <c r="D5" s="13" t="n"/>
      <c r="E5" s="13" t="n"/>
      <c r="F5" s="13" t="n"/>
      <c r="G5" s="13" t="n"/>
      <c r="H5" s="12" t="n"/>
      <c r="I5" s="13" t="n"/>
      <c r="J5" s="13" t="n"/>
      <c r="K5" s="13" t="n"/>
      <c r="L5" s="13" t="n"/>
      <c r="M5" s="13" t="n"/>
      <c r="N5" s="13" t="n"/>
      <c r="O5" s="12" t="n"/>
      <c r="P5" s="12" t="n"/>
    </row>
    <row r="6" ht="16" customHeight="1">
      <c r="A6" s="12" t="n"/>
      <c r="B6" s="14" t="inlineStr">
        <is>
          <t>TOTAL SCREENED</t>
        </is>
      </c>
      <c r="D6" s="14" t="inlineStr">
        <is>
          <t>PASSED FILTERS</t>
        </is>
      </c>
      <c r="F6" s="14" t="inlineStr">
        <is>
          <t>AVG COMBINED SCORE</t>
        </is>
      </c>
      <c r="H6" s="12" t="n"/>
      <c r="I6" s="14" t="inlineStr">
        <is>
          <t>AVG REV GROWTH</t>
        </is>
      </c>
      <c r="K6" s="14" t="inlineStr">
        <is>
          <t>AVG GROSS MARGIN</t>
        </is>
      </c>
      <c r="M6" s="14" t="inlineStr">
        <is>
          <t>HIGH CONVICTION</t>
        </is>
      </c>
      <c r="O6" s="12" t="n"/>
      <c r="P6" s="12" t="n"/>
    </row>
    <row r="7" ht="28" customHeight="1">
      <c r="A7" s="12" t="n"/>
      <c r="B7" s="15" t="inlineStr">
        <is>
          <t>30</t>
        </is>
      </c>
      <c r="D7" s="15" t="inlineStr">
        <is>
          <t>30</t>
        </is>
      </c>
      <c r="F7" s="15" t="inlineStr">
        <is>
          <t>71.3</t>
        </is>
      </c>
      <c r="H7" s="12" t="n"/>
      <c r="I7" s="15" t="inlineStr">
        <is>
          <t>44.0%</t>
        </is>
      </c>
      <c r="K7" s="15" t="inlineStr">
        <is>
          <t>49.1%</t>
        </is>
      </c>
      <c r="M7" s="15" t="inlineStr">
        <is>
          <t>0</t>
        </is>
      </c>
      <c r="O7" s="12" t="n"/>
      <c r="P7" s="12" t="n"/>
    </row>
    <row r="8" ht="6" customHeight="1">
      <c r="A8" s="12" t="n"/>
      <c r="B8" s="12" t="n"/>
      <c r="C8" s="12" t="n"/>
      <c r="D8" s="12" t="n"/>
      <c r="E8" s="12" t="n"/>
      <c r="F8" s="12" t="n"/>
      <c r="G8" s="12" t="n"/>
      <c r="H8" s="12" t="n"/>
      <c r="I8" s="12" t="n"/>
      <c r="J8" s="12" t="n"/>
      <c r="K8" s="12" t="n"/>
      <c r="L8" s="12" t="n"/>
      <c r="M8" s="12" t="n"/>
      <c r="N8" s="12" t="n"/>
      <c r="O8" s="12" t="n"/>
      <c r="P8" s="12" t="n"/>
    </row>
    <row r="9" ht="8" customHeight="1"/>
    <row r="10" ht="22" customHeight="1">
      <c r="B10" s="16" t="inlineStr">
        <is>
          <t xml:space="preserve">  Nano Cap</t>
        </is>
      </c>
      <c r="C10" s="17" t="n"/>
      <c r="D10" s="17" t="n"/>
      <c r="E10" s="17" t="n"/>
      <c r="F10" s="17" t="n"/>
      <c r="G10" s="16" t="inlineStr">
        <is>
          <t xml:space="preserve">  Small Cap</t>
        </is>
      </c>
      <c r="H10" s="17" t="n"/>
      <c r="I10" s="17" t="n"/>
      <c r="J10" s="17" t="n"/>
      <c r="K10" s="17" t="n"/>
      <c r="L10" s="16" t="inlineStr">
        <is>
          <t xml:space="preserve">  Breakout</t>
        </is>
      </c>
      <c r="M10" s="17" t="n"/>
      <c r="N10" s="17" t="n"/>
      <c r="O10" s="17" t="n"/>
      <c r="P10" s="17" t="n"/>
    </row>
    <row r="11" ht="18" customHeight="1">
      <c r="B11" s="18" t="inlineStr">
        <is>
          <t>Ticker</t>
        </is>
      </c>
      <c r="C11" s="18" t="inlineStr">
        <is>
          <t>Company</t>
        </is>
      </c>
      <c r="D11" s="18" t="inlineStr">
        <is>
          <t>Mkt Cap</t>
        </is>
      </c>
      <c r="E11" s="18" t="inlineStr">
        <is>
          <t>Score</t>
        </is>
      </c>
      <c r="F11" s="18" t="inlineStr">
        <is>
          <t>Conviction</t>
        </is>
      </c>
      <c r="G11" s="18" t="inlineStr">
        <is>
          <t>Ticker</t>
        </is>
      </c>
      <c r="H11" s="18" t="inlineStr">
        <is>
          <t>Company</t>
        </is>
      </c>
      <c r="I11" s="18" t="inlineStr">
        <is>
          <t>Mkt Cap</t>
        </is>
      </c>
      <c r="J11" s="18" t="inlineStr">
        <is>
          <t>Score</t>
        </is>
      </c>
      <c r="K11" s="18" t="inlineStr">
        <is>
          <t>Conviction</t>
        </is>
      </c>
      <c r="L11" s="18" t="inlineStr">
        <is>
          <t>Ticker</t>
        </is>
      </c>
      <c r="M11" s="18" t="inlineStr">
        <is>
          <t>Company</t>
        </is>
      </c>
      <c r="N11" s="18" t="inlineStr">
        <is>
          <t>Mkt Cap</t>
        </is>
      </c>
      <c r="O11" s="18" t="inlineStr">
        <is>
          <t>Score</t>
        </is>
      </c>
      <c r="P11" s="18" t="inlineStr">
        <is>
          <t>Conviction</t>
        </is>
      </c>
    </row>
    <row r="12" ht="16" customHeight="1">
      <c r="B12" s="19" t="inlineStr">
        <is>
          <t>KVHI</t>
        </is>
      </c>
      <c r="C12" s="20" t="inlineStr">
        <is>
          <t>KVH Industries, Inc.</t>
        </is>
      </c>
      <c r="D12" s="21" t="n">
        <v>146.6</v>
      </c>
      <c r="E12" s="22" t="n">
        <v>84.59999999999999</v>
      </c>
      <c r="F12" s="23" t="inlineStr">
        <is>
          <t>Medium-High</t>
        </is>
      </c>
      <c r="G12" s="19" t="inlineStr">
        <is>
          <t>EVLV</t>
        </is>
      </c>
      <c r="H12" s="20" t="inlineStr">
        <is>
          <t>Evolv Technologies Holdings, Inc.</t>
        </is>
      </c>
      <c r="I12" s="21" t="n">
        <v>1063</v>
      </c>
      <c r="J12" s="24" t="n">
        <v>79.2</v>
      </c>
      <c r="K12" s="23" t="inlineStr">
        <is>
          <t>Medium-High</t>
        </is>
      </c>
      <c r="L12" s="19" t="inlineStr">
        <is>
          <t>KRMN</t>
        </is>
      </c>
      <c r="M12" s="20" t="inlineStr">
        <is>
          <t>Karman Holdings Inc.</t>
        </is>
      </c>
      <c r="N12" s="21" t="n">
        <v>6552.1</v>
      </c>
      <c r="O12" s="24" t="n">
        <v>78.8</v>
      </c>
      <c r="P12" s="23" t="inlineStr">
        <is>
          <t>Medium-High</t>
        </is>
      </c>
    </row>
    <row r="13" ht="16" customHeight="1">
      <c r="B13" s="25" t="inlineStr">
        <is>
          <t>SCTQ</t>
        </is>
      </c>
      <c r="C13" s="26" t="inlineStr">
        <is>
          <t>Spectra Systems Corporation</t>
        </is>
      </c>
      <c r="D13" s="27" t="n">
        <v>101.7</v>
      </c>
      <c r="E13" s="24" t="n">
        <v>75.59999999999999</v>
      </c>
      <c r="F13" s="23" t="inlineStr">
        <is>
          <t>Medium-High</t>
        </is>
      </c>
      <c r="G13" s="25" t="inlineStr">
        <is>
          <t>PKE</t>
        </is>
      </c>
      <c r="H13" s="26" t="inlineStr">
        <is>
          <t>Park Aerospace Corp.</t>
        </is>
      </c>
      <c r="I13" s="27" t="n">
        <v>678.5</v>
      </c>
      <c r="J13" s="24" t="n">
        <v>74.59999999999999</v>
      </c>
      <c r="K13" s="28" t="inlineStr">
        <is>
          <t>Medium</t>
        </is>
      </c>
      <c r="L13" s="25" t="inlineStr">
        <is>
          <t>IPGP</t>
        </is>
      </c>
      <c r="M13" s="26" t="inlineStr">
        <is>
          <t>IPG Photonics Corporation</t>
        </is>
      </c>
      <c r="N13" s="27" t="n">
        <v>4557.2</v>
      </c>
      <c r="O13" s="24" t="n">
        <v>73.09999999999999</v>
      </c>
      <c r="P13" s="28" t="inlineStr">
        <is>
          <t>Medium</t>
        </is>
      </c>
    </row>
    <row r="14" ht="16" customHeight="1">
      <c r="B14" s="19" t="inlineStr">
        <is>
          <t>KULR</t>
        </is>
      </c>
      <c r="C14" s="20" t="inlineStr">
        <is>
          <t>KULR Technology Group, Inc.</t>
        </is>
      </c>
      <c r="D14" s="21" t="n">
        <v>176.2</v>
      </c>
      <c r="E14" s="24" t="n">
        <v>74.90000000000001</v>
      </c>
      <c r="F14" s="28" t="inlineStr">
        <is>
          <t>Medium</t>
        </is>
      </c>
      <c r="G14" s="19" t="inlineStr">
        <is>
          <t>DSP</t>
        </is>
      </c>
      <c r="H14" s="20" t="inlineStr">
        <is>
          <t>Viant Technology Inc.</t>
        </is>
      </c>
      <c r="I14" s="21" t="n">
        <v>794.6</v>
      </c>
      <c r="J14" s="24" t="n">
        <v>73.40000000000001</v>
      </c>
      <c r="K14" s="28" t="inlineStr">
        <is>
          <t>Medium</t>
        </is>
      </c>
      <c r="L14" s="19" t="inlineStr">
        <is>
          <t>ESI</t>
        </is>
      </c>
      <c r="M14" s="20" t="inlineStr">
        <is>
          <t>Element Solutions Inc</t>
        </is>
      </c>
      <c r="N14" s="21" t="n">
        <v>9705.299999999999</v>
      </c>
      <c r="O14" s="24" t="n">
        <v>69.8</v>
      </c>
      <c r="P14" s="28" t="inlineStr">
        <is>
          <t>Medium</t>
        </is>
      </c>
    </row>
    <row r="15" ht="16" customHeight="1">
      <c r="B15" s="25" t="inlineStr">
        <is>
          <t>ESP</t>
        </is>
      </c>
      <c r="C15" s="26" t="inlineStr">
        <is>
          <t>Espey Mfg. &amp; Electronics Corp.</t>
        </is>
      </c>
      <c r="D15" s="27" t="n">
        <v>165.6</v>
      </c>
      <c r="E15" s="24" t="n">
        <v>73.3</v>
      </c>
      <c r="F15" s="28" t="inlineStr">
        <is>
          <t>Medium</t>
        </is>
      </c>
      <c r="G15" s="25" t="inlineStr">
        <is>
          <t>CMCO</t>
        </is>
      </c>
      <c r="H15" s="26" t="inlineStr">
        <is>
          <t>Columbus McKinnon Corporation</t>
        </is>
      </c>
      <c r="I15" s="27" t="n">
        <v>370.2</v>
      </c>
      <c r="J15" s="24" t="n">
        <v>73.40000000000001</v>
      </c>
      <c r="K15" s="28" t="inlineStr">
        <is>
          <t>Medium</t>
        </is>
      </c>
      <c r="L15" s="25" t="inlineStr">
        <is>
          <t>AMBA</t>
        </is>
      </c>
      <c r="M15" s="26" t="inlineStr">
        <is>
          <t>Ambarella, Inc.</t>
        </is>
      </c>
      <c r="N15" s="27" t="n">
        <v>2786.5</v>
      </c>
      <c r="O15" s="24" t="n">
        <v>68.90000000000001</v>
      </c>
      <c r="P15" s="28" t="inlineStr">
        <is>
          <t>Medium</t>
        </is>
      </c>
    </row>
    <row r="16" ht="16" customHeight="1">
      <c r="B16" s="19" t="inlineStr">
        <is>
          <t>BYRN</t>
        </is>
      </c>
      <c r="C16" s="20" t="inlineStr">
        <is>
          <t>Byrna Technologies Inc.</t>
        </is>
      </c>
      <c r="D16" s="21" t="n">
        <v>134.3</v>
      </c>
      <c r="E16" s="24" t="n">
        <v>72.8</v>
      </c>
      <c r="F16" s="28" t="inlineStr">
        <is>
          <t>Medium</t>
        </is>
      </c>
      <c r="G16" s="19" t="inlineStr">
        <is>
          <t>ARLO</t>
        </is>
      </c>
      <c r="H16" s="20" t="inlineStr">
        <is>
          <t>Arlo Technologies, Inc.</t>
        </is>
      </c>
      <c r="I16" s="21" t="n">
        <v>1390.2</v>
      </c>
      <c r="J16" s="24" t="n">
        <v>70.2</v>
      </c>
      <c r="K16" s="28" t="inlineStr">
        <is>
          <t>Medium</t>
        </is>
      </c>
      <c r="L16" s="19" t="inlineStr">
        <is>
          <t>RUN</t>
        </is>
      </c>
      <c r="M16" s="20" t="inlineStr">
        <is>
          <t>Sunrun Inc.</t>
        </is>
      </c>
      <c r="N16" s="21" t="n">
        <v>3185.8</v>
      </c>
      <c r="O16" s="24" t="n">
        <v>67.90000000000001</v>
      </c>
      <c r="P16" s="28" t="inlineStr">
        <is>
          <t>Medium</t>
        </is>
      </c>
    </row>
    <row r="19" ht="22" customHeight="1">
      <c r="B19" s="16" t="inlineStr">
        <is>
          <t>TOP PERFORMERS — Combined Score Ranking</t>
        </is>
      </c>
      <c r="C19" s="17" t="n"/>
      <c r="D19" s="17" t="n"/>
      <c r="E19" s="17" t="n"/>
      <c r="F19" s="17" t="n"/>
      <c r="G19" s="17" t="n"/>
      <c r="H19" s="17" t="n"/>
      <c r="I19" s="17" t="n"/>
      <c r="J19" s="17" t="n"/>
      <c r="K19" s="17" t="n"/>
      <c r="L19" s="17" t="n"/>
      <c r="M19" s="17" t="n"/>
      <c r="N19" s="17" t="n"/>
      <c r="O19" s="17" t="n"/>
      <c r="P19" s="17" t="n"/>
    </row>
    <row r="40">
      <c r="A40" s="29" t="inlineStr">
        <is>
          <t>Ticker</t>
        </is>
      </c>
      <c r="B40" s="29" t="inlineStr">
        <is>
          <t>Score</t>
        </is>
      </c>
      <c r="C40" s="29" t="inlineStr">
        <is>
          <t>Tier</t>
        </is>
      </c>
    </row>
    <row r="41">
      <c r="A41" t="inlineStr">
        <is>
          <t>KVHI</t>
        </is>
      </c>
      <c r="B41" t="n">
        <v>84.59999999999999</v>
      </c>
      <c r="C41" t="inlineStr">
        <is>
          <t>Nano Cap</t>
        </is>
      </c>
    </row>
    <row r="42">
      <c r="A42" t="inlineStr">
        <is>
          <t>EVLV</t>
        </is>
      </c>
      <c r="B42" t="n">
        <v>79.2</v>
      </c>
      <c r="C42" t="inlineStr">
        <is>
          <t>Small Cap</t>
        </is>
      </c>
    </row>
    <row r="43">
      <c r="A43" t="inlineStr">
        <is>
          <t>KRMN</t>
        </is>
      </c>
      <c r="B43" t="n">
        <v>78.8</v>
      </c>
      <c r="C43" t="inlineStr">
        <is>
          <t>Breakout</t>
        </is>
      </c>
    </row>
    <row r="44">
      <c r="A44" t="inlineStr">
        <is>
          <t>SCTQ</t>
        </is>
      </c>
      <c r="B44" t="n">
        <v>75.59999999999999</v>
      </c>
      <c r="C44" t="inlineStr">
        <is>
          <t>Nano Cap</t>
        </is>
      </c>
    </row>
    <row r="45">
      <c r="A45" t="inlineStr">
        <is>
          <t>KULR</t>
        </is>
      </c>
      <c r="B45" t="n">
        <v>74.90000000000001</v>
      </c>
      <c r="C45" t="inlineStr">
        <is>
          <t>Nano Cap</t>
        </is>
      </c>
    </row>
    <row r="46">
      <c r="A46" t="inlineStr">
        <is>
          <t>PKE</t>
        </is>
      </c>
      <c r="B46" t="n">
        <v>74.59999999999999</v>
      </c>
      <c r="C46" t="inlineStr">
        <is>
          <t>Small Cap</t>
        </is>
      </c>
    </row>
    <row r="47">
      <c r="A47" t="inlineStr">
        <is>
          <t>DSP</t>
        </is>
      </c>
      <c r="B47" t="n">
        <v>73.40000000000001</v>
      </c>
      <c r="C47" t="inlineStr">
        <is>
          <t>Small Cap</t>
        </is>
      </c>
    </row>
    <row r="48">
      <c r="A48" t="inlineStr">
        <is>
          <t>CMCO</t>
        </is>
      </c>
      <c r="B48" t="n">
        <v>73.40000000000001</v>
      </c>
      <c r="C48" t="inlineStr">
        <is>
          <t>Small Cap</t>
        </is>
      </c>
    </row>
    <row r="49">
      <c r="A49" t="inlineStr">
        <is>
          <t>ESP</t>
        </is>
      </c>
      <c r="B49" t="n">
        <v>73.3</v>
      </c>
      <c r="C49" t="inlineStr">
        <is>
          <t>Nano Cap</t>
        </is>
      </c>
    </row>
    <row r="50">
      <c r="A50" t="inlineStr">
        <is>
          <t>IPGP</t>
        </is>
      </c>
      <c r="B50" t="n">
        <v>73.09999999999999</v>
      </c>
      <c r="C50" t="inlineStr">
        <is>
          <t>Breakout</t>
        </is>
      </c>
    </row>
  </sheetData>
  <mergeCells count="19">
    <mergeCell ref="I6:J6"/>
    <mergeCell ref="B7:C7"/>
    <mergeCell ref="A1:P2"/>
    <mergeCell ref="F6:G6"/>
    <mergeCell ref="F7:G7"/>
    <mergeCell ref="D6:E6"/>
    <mergeCell ref="I7:J7"/>
    <mergeCell ref="B19:P19"/>
    <mergeCell ref="G10:K10"/>
    <mergeCell ref="M7:N7"/>
    <mergeCell ref="D7:E7"/>
    <mergeCell ref="M6:N6"/>
    <mergeCell ref="B10:F10"/>
    <mergeCell ref="L10:P10"/>
    <mergeCell ref="K3:P3"/>
    <mergeCell ref="B6:C6"/>
    <mergeCell ref="K7:L7"/>
    <mergeCell ref="A3:J3"/>
    <mergeCell ref="K6:L6"/>
  </mergeCells>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4FC3F7"/>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Nano Cap ($50M–$300M)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June 06,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KVHI</t>
        </is>
      </c>
      <c r="C5" s="20" t="inlineStr">
        <is>
          <t>KVH Industries, Inc.</t>
        </is>
      </c>
      <c r="D5" s="21" t="n">
        <v>146.6</v>
      </c>
      <c r="E5" s="33" t="n">
        <v>7.52</v>
      </c>
      <c r="F5" s="34" t="n">
        <v>0.272</v>
      </c>
      <c r="G5" s="34" t="n">
        <v>0.386</v>
      </c>
      <c r="H5" s="34" t="n">
        <v>0.289</v>
      </c>
      <c r="I5" s="34" t="n">
        <v>0.009000000000000001</v>
      </c>
      <c r="J5" s="34" t="n">
        <v>0.35</v>
      </c>
      <c r="K5" s="35" t="n">
        <v>80.8</v>
      </c>
      <c r="L5" s="35" t="n">
        <v>95.90000000000001</v>
      </c>
      <c r="M5" s="36" t="n">
        <v>84.59999999999999</v>
      </c>
      <c r="N5" s="22" t="n">
        <v>80.90000000000001</v>
      </c>
      <c r="O5" s="37" t="inlineStr">
        <is>
          <t>—</t>
        </is>
      </c>
      <c r="P5" s="38" t="n">
        <v>22</v>
      </c>
      <c r="Q5" s="23" t="inlineStr">
        <is>
          <t>Medium-High</t>
        </is>
      </c>
      <c r="R5" s="34" t="n">
        <v>-0.2831268</v>
      </c>
      <c r="S5" s="34" t="n">
        <v>0.2724196</v>
      </c>
      <c r="T5" s="34" t="n">
        <v>0.2368421</v>
      </c>
      <c r="U5" s="34" t="n">
        <v>0.0789096</v>
      </c>
      <c r="V5" s="34" t="n">
        <v>0.4461538</v>
      </c>
    </row>
    <row r="6" ht="16" customHeight="1">
      <c r="A6" s="32" t="n">
        <v>2</v>
      </c>
      <c r="B6" s="25" t="inlineStr">
        <is>
          <t>SCTQ</t>
        </is>
      </c>
      <c r="C6" s="26" t="inlineStr">
        <is>
          <t>Spectra Systems Corporation</t>
        </is>
      </c>
      <c r="D6" s="27" t="n">
        <v>101.7</v>
      </c>
      <c r="E6" s="39" t="n">
        <v>2.13</v>
      </c>
      <c r="F6" s="40" t="n">
        <v>5.018</v>
      </c>
      <c r="G6" s="40" t="n">
        <v>0</v>
      </c>
      <c r="H6" s="40" t="n">
        <v>0.57</v>
      </c>
      <c r="I6" s="40" t="n">
        <v>0.052</v>
      </c>
      <c r="J6" s="40" t="n">
        <v>0.179</v>
      </c>
      <c r="K6" s="41" t="n">
        <v>84.8</v>
      </c>
      <c r="L6" s="41" t="n">
        <v>73.3</v>
      </c>
      <c r="M6" s="42" t="n">
        <v>75.59999999999999</v>
      </c>
      <c r="N6" s="24" t="n">
        <v>68.90000000000001</v>
      </c>
      <c r="O6" s="43" t="inlineStr">
        <is>
          <t>—</t>
        </is>
      </c>
      <c r="P6" s="38" t="n">
        <v>20.5</v>
      </c>
      <c r="Q6" s="23" t="inlineStr">
        <is>
          <t>Medium-High</t>
        </is>
      </c>
      <c r="R6" s="40" t="n">
        <v>0</v>
      </c>
      <c r="S6" s="40" t="n">
        <v>0.0492611</v>
      </c>
      <c r="T6" s="40" t="n">
        <v>0.0492611</v>
      </c>
      <c r="U6" s="40" t="n">
        <v>0.0492611</v>
      </c>
      <c r="V6" s="40" t="n">
        <v>0.0492611</v>
      </c>
    </row>
    <row r="7" ht="16" customHeight="1">
      <c r="A7" s="32" t="n">
        <v>3</v>
      </c>
      <c r="B7" s="19" t="inlineStr">
        <is>
          <t>KULR</t>
        </is>
      </c>
      <c r="C7" s="20" t="inlineStr">
        <is>
          <t>KULR Technology Group, Inc.</t>
        </is>
      </c>
      <c r="D7" s="21" t="n">
        <v>176.2</v>
      </c>
      <c r="E7" s="33" t="n">
        <v>3.81</v>
      </c>
      <c r="F7" s="34" t="n">
        <v>0.9790000000000001</v>
      </c>
      <c r="G7" s="34" t="n">
        <v>0.972</v>
      </c>
      <c r="H7" s="34" t="n">
        <v>0.292</v>
      </c>
      <c r="I7" s="34" t="n">
        <v>-0.599</v>
      </c>
      <c r="J7" s="34" t="n">
        <v>0.045</v>
      </c>
      <c r="K7" s="35" t="n">
        <v>86.3</v>
      </c>
      <c r="L7" s="35" t="n">
        <v>98.90000000000001</v>
      </c>
      <c r="M7" s="36" t="n">
        <v>74.90000000000001</v>
      </c>
      <c r="N7" s="44" t="n">
        <v>50</v>
      </c>
      <c r="O7" s="37" t="inlineStr">
        <is>
          <t>—</t>
        </is>
      </c>
      <c r="P7" s="38" t="n">
        <v>15.6</v>
      </c>
      <c r="Q7" s="28" t="inlineStr">
        <is>
          <t>Medium</t>
        </is>
      </c>
      <c r="R7" s="34" t="n">
        <v>0.3368421</v>
      </c>
      <c r="S7" s="34" t="n">
        <v>0.3510638</v>
      </c>
      <c r="T7" s="34" t="n">
        <v>-0.0305344</v>
      </c>
      <c r="U7" s="34" t="n">
        <v>0.2871622</v>
      </c>
      <c r="V7" s="34" t="n">
        <v>-0.5963983</v>
      </c>
    </row>
    <row r="8" ht="16" customHeight="1">
      <c r="A8" s="32" t="n">
        <v>4</v>
      </c>
      <c r="B8" s="25" t="inlineStr">
        <is>
          <t>ESP</t>
        </is>
      </c>
      <c r="C8" s="26" t="inlineStr">
        <is>
          <t>Espey Mfg. &amp; Electronics Corp.</t>
        </is>
      </c>
      <c r="D8" s="27" t="n">
        <v>165.6</v>
      </c>
      <c r="E8" s="39" t="n">
        <v>55.28</v>
      </c>
      <c r="F8" s="40" t="n">
        <v>0.109</v>
      </c>
      <c r="G8" s="40" t="n">
        <v>0.222</v>
      </c>
      <c r="H8" s="40" t="n">
        <v>0.37</v>
      </c>
      <c r="I8" s="40" t="n">
        <v>0.131</v>
      </c>
      <c r="J8" s="40" t="n">
        <v>0.291</v>
      </c>
      <c r="K8" s="41" t="n">
        <v>68.59999999999999</v>
      </c>
      <c r="L8" s="41" t="n">
        <v>93.3</v>
      </c>
      <c r="M8" s="42" t="n">
        <v>73.3</v>
      </c>
      <c r="N8" s="24" t="n">
        <v>64.8</v>
      </c>
      <c r="O8" s="43" t="inlineStr">
        <is>
          <t>—</t>
        </is>
      </c>
      <c r="P8" s="38" t="n">
        <v>34.3</v>
      </c>
      <c r="Q8" s="28" t="inlineStr">
        <is>
          <t>Medium</t>
        </is>
      </c>
      <c r="R8" s="40" t="n">
        <v>-0.2171081</v>
      </c>
      <c r="S8" s="40" t="n">
        <v>-0.0267606</v>
      </c>
      <c r="T8" s="40" t="n">
        <v>0.2997884</v>
      </c>
      <c r="U8" s="40" t="n">
        <v>0.1729259</v>
      </c>
      <c r="V8" s="40" t="n">
        <v>0.4655355</v>
      </c>
    </row>
    <row r="9" ht="16" customHeight="1">
      <c r="A9" s="32" t="n">
        <v>5</v>
      </c>
      <c r="B9" s="19" t="inlineStr">
        <is>
          <t>BYRN</t>
        </is>
      </c>
      <c r="C9" s="20" t="inlineStr">
        <is>
          <t>Byrna Technologies Inc.</t>
        </is>
      </c>
      <c r="D9" s="21" t="n">
        <v>134.3</v>
      </c>
      <c r="E9" s="33" t="n">
        <v>5.92</v>
      </c>
      <c r="F9" s="34" t="n">
        <v>0.109</v>
      </c>
      <c r="G9" s="34" t="n">
        <v>-0.183</v>
      </c>
      <c r="H9" s="34" t="n">
        <v>0.599</v>
      </c>
      <c r="I9" s="34" t="n">
        <v>0.03700000000000001</v>
      </c>
      <c r="J9" s="34" t="n">
        <v>0.217</v>
      </c>
      <c r="K9" s="35" t="n">
        <v>62.2</v>
      </c>
      <c r="L9" s="35" t="n">
        <v>91.5</v>
      </c>
      <c r="M9" s="36" t="n">
        <v>72.8</v>
      </c>
      <c r="N9" s="22" t="n">
        <v>70.40000000000001</v>
      </c>
      <c r="O9" s="37" t="inlineStr">
        <is>
          <t>—</t>
        </is>
      </c>
      <c r="P9" s="38" t="n">
        <v>3.2</v>
      </c>
      <c r="Q9" s="28" t="inlineStr">
        <is>
          <t>Medium</t>
        </is>
      </c>
      <c r="R9" s="34" t="n">
        <v>0.0744102</v>
      </c>
      <c r="S9" s="34" t="n">
        <v>-0.5062552</v>
      </c>
      <c r="T9" s="34" t="n">
        <v>-0.6990341</v>
      </c>
      <c r="U9" s="34" t="n">
        <v>-0.6474092</v>
      </c>
      <c r="V9" s="34" t="n">
        <v>-0.8111642999999999</v>
      </c>
    </row>
    <row r="10" ht="16" customHeight="1">
      <c r="A10" s="32" t="n">
        <v>6</v>
      </c>
      <c r="B10" s="25" t="inlineStr">
        <is>
          <t>CODA</t>
        </is>
      </c>
      <c r="C10" s="26" t="inlineStr">
        <is>
          <t>Coda Octopus Group, Inc.</t>
        </is>
      </c>
      <c r="D10" s="27" t="n">
        <v>133.1</v>
      </c>
      <c r="E10" s="39" t="n">
        <v>11.8</v>
      </c>
      <c r="F10" s="40" t="n">
        <v>0.288</v>
      </c>
      <c r="G10" s="40" t="n">
        <v>0.309</v>
      </c>
      <c r="H10" s="40" t="n">
        <v>0.6509999999999999</v>
      </c>
      <c r="I10" s="40" t="n">
        <v>0.024</v>
      </c>
      <c r="J10" s="40" t="n">
        <v>0.491</v>
      </c>
      <c r="K10" s="41" t="n">
        <v>87.3</v>
      </c>
      <c r="L10" s="41" t="n">
        <v>72.3</v>
      </c>
      <c r="M10" s="42" t="n">
        <v>72.59999999999999</v>
      </c>
      <c r="N10" s="24" t="n">
        <v>59.9</v>
      </c>
      <c r="O10" s="43" t="inlineStr">
        <is>
          <t>—</t>
        </is>
      </c>
      <c r="P10" s="38" t="n">
        <v>39.7</v>
      </c>
      <c r="Q10" s="28" t="inlineStr">
        <is>
          <t>Medium</t>
        </is>
      </c>
      <c r="R10" s="40" t="n">
        <v>-0.0100671</v>
      </c>
      <c r="S10" s="40" t="n">
        <v>-0.1805556</v>
      </c>
      <c r="T10" s="40" t="n">
        <v>0.3736903</v>
      </c>
      <c r="U10" s="40" t="n">
        <v>0.2688172</v>
      </c>
      <c r="V10" s="40" t="n">
        <v>0.8015267</v>
      </c>
    </row>
    <row r="11" ht="16" customHeight="1">
      <c r="A11" s="32" t="n">
        <v>7</v>
      </c>
      <c r="B11" s="19" t="inlineStr">
        <is>
          <t>INTT</t>
        </is>
      </c>
      <c r="C11" s="20" t="inlineStr">
        <is>
          <t>inTEST Corporation</t>
        </is>
      </c>
      <c r="D11" s="21" t="n">
        <v>184.3</v>
      </c>
      <c r="E11" s="33" t="n">
        <v>14.67</v>
      </c>
      <c r="F11" s="34" t="n">
        <v>0.272</v>
      </c>
      <c r="G11" s="34" t="n">
        <v>0.488</v>
      </c>
      <c r="H11" s="34" t="n">
        <v>0.4320000000000001</v>
      </c>
      <c r="I11" s="34" t="n">
        <v>0.09</v>
      </c>
      <c r="J11" s="34" t="n">
        <v>0.135</v>
      </c>
      <c r="K11" s="35" t="n">
        <v>83.09999999999999</v>
      </c>
      <c r="L11" s="35" t="n">
        <v>96.8</v>
      </c>
      <c r="M11" s="36" t="n">
        <v>70.5</v>
      </c>
      <c r="N11" s="24" t="n">
        <v>59.5</v>
      </c>
      <c r="O11" s="37" t="inlineStr">
        <is>
          <t>—</t>
        </is>
      </c>
      <c r="P11" s="45" t="n">
        <v>57.2</v>
      </c>
      <c r="Q11" s="28" t="inlineStr">
        <is>
          <t>Medium</t>
        </is>
      </c>
      <c r="R11" s="34" t="n">
        <v>-0.1573808</v>
      </c>
      <c r="S11" s="34" t="n">
        <v>0.108006</v>
      </c>
      <c r="T11" s="34" t="n">
        <v>0.8640407</v>
      </c>
      <c r="U11" s="34" t="n">
        <v>0.9638554</v>
      </c>
      <c r="V11" s="34" t="n">
        <v>1.3853659</v>
      </c>
    </row>
    <row r="12" ht="16" customHeight="1">
      <c r="A12" s="32" t="n">
        <v>8</v>
      </c>
      <c r="B12" s="25" t="inlineStr">
        <is>
          <t>WSTL</t>
        </is>
      </c>
      <c r="C12" s="26" t="inlineStr">
        <is>
          <t>Westell Technologies, Inc.</t>
        </is>
      </c>
      <c r="D12" s="27" t="n">
        <v>76.09999999999999</v>
      </c>
      <c r="E12" s="39" t="n">
        <v>7.47</v>
      </c>
      <c r="F12" s="40" t="n">
        <v>0.466</v>
      </c>
      <c r="G12" s="40" t="n">
        <v>0.042</v>
      </c>
      <c r="H12" s="40" t="n">
        <v>0.411</v>
      </c>
      <c r="I12" s="40" t="n">
        <v>-0.113</v>
      </c>
      <c r="J12" s="40" t="n">
        <v>0.186</v>
      </c>
      <c r="K12" s="41" t="n">
        <v>92</v>
      </c>
      <c r="L12" s="41" t="n">
        <v>98.59999999999999</v>
      </c>
      <c r="M12" s="42" t="n">
        <v>70.40000000000001</v>
      </c>
      <c r="N12" s="24" t="n">
        <v>62.5</v>
      </c>
      <c r="O12" s="43" t="inlineStr">
        <is>
          <t>—</t>
        </is>
      </c>
      <c r="P12" s="45" t="n">
        <v>67.8</v>
      </c>
      <c r="Q12" s="28" t="inlineStr">
        <is>
          <t>Medium</t>
        </is>
      </c>
      <c r="R12" s="40" t="n">
        <v>0.11994</v>
      </c>
      <c r="S12" s="40" t="n">
        <v>0.5060484000000001</v>
      </c>
      <c r="T12" s="40" t="n">
        <v>0.3174603</v>
      </c>
      <c r="U12" s="40" t="n">
        <v>0.2596965</v>
      </c>
      <c r="V12" s="40" t="n">
        <v>1.4332248</v>
      </c>
    </row>
    <row r="13" ht="16" customHeight="1">
      <c r="A13" s="32" t="n">
        <v>9</v>
      </c>
      <c r="B13" s="19" t="inlineStr">
        <is>
          <t>TAYD</t>
        </is>
      </c>
      <c r="C13" s="20" t="inlineStr">
        <is>
          <t>Taylor Devices, Inc.</t>
        </is>
      </c>
      <c r="D13" s="21" t="n">
        <v>170.7</v>
      </c>
      <c r="E13" s="33" t="n">
        <v>53.03</v>
      </c>
      <c r="F13" s="34" t="n">
        <v>0.058</v>
      </c>
      <c r="G13" s="34" t="n">
        <v>0.182</v>
      </c>
      <c r="H13" s="34" t="n">
        <v>0.402</v>
      </c>
      <c r="I13" s="34" t="n">
        <v>-0.104</v>
      </c>
      <c r="J13" s="34" t="n">
        <v>0.025</v>
      </c>
      <c r="K13" s="35" t="n">
        <v>61.6</v>
      </c>
      <c r="L13" s="35" t="n">
        <v>96.5</v>
      </c>
      <c r="M13" s="36" t="n">
        <v>69.8</v>
      </c>
      <c r="N13" s="24" t="n">
        <v>60.3</v>
      </c>
      <c r="O13" s="37" t="inlineStr">
        <is>
          <t>—</t>
        </is>
      </c>
      <c r="P13" s="38" t="n">
        <v>29.1</v>
      </c>
      <c r="Q13" s="28" t="inlineStr">
        <is>
          <t>Medium</t>
        </is>
      </c>
      <c r="R13" s="34" t="n">
        <v>0.0297087</v>
      </c>
      <c r="S13" s="34" t="n">
        <v>-0.3571342</v>
      </c>
      <c r="T13" s="34" t="n">
        <v>0.1157164</v>
      </c>
      <c r="U13" s="34" t="n">
        <v>-0.09288399999999999</v>
      </c>
      <c r="V13" s="34" t="n">
        <v>0.4485113</v>
      </c>
    </row>
    <row r="14" ht="16" customHeight="1">
      <c r="A14" s="32" t="n">
        <v>10</v>
      </c>
      <c r="B14" s="25" t="inlineStr">
        <is>
          <t>LAW</t>
        </is>
      </c>
      <c r="C14" s="26" t="inlineStr">
        <is>
          <t>CS Disco, Inc.</t>
        </is>
      </c>
      <c r="D14" s="27" t="n">
        <v>241.8</v>
      </c>
      <c r="E14" s="39" t="n">
        <v>3.77</v>
      </c>
      <c r="F14" s="40" t="n">
        <v>0.143</v>
      </c>
      <c r="G14" s="40" t="n">
        <v>0.125</v>
      </c>
      <c r="H14" s="40" t="n">
        <v>0.742</v>
      </c>
      <c r="I14" s="40" t="n">
        <v>0.064</v>
      </c>
      <c r="J14" s="40" t="n">
        <v>0.575</v>
      </c>
      <c r="K14" s="41" t="n">
        <v>74.59999999999999</v>
      </c>
      <c r="L14" s="41" t="n">
        <v>59.5</v>
      </c>
      <c r="M14" s="42" t="n">
        <v>68.2</v>
      </c>
      <c r="N14" s="24" t="n">
        <v>68</v>
      </c>
      <c r="O14" s="43" t="inlineStr">
        <is>
          <t>—</t>
        </is>
      </c>
      <c r="P14" s="38" t="n">
        <v>11.3</v>
      </c>
      <c r="Q14" s="28" t="inlineStr">
        <is>
          <t>Medium</t>
        </is>
      </c>
      <c r="R14" s="40" t="n">
        <v>0.0134409</v>
      </c>
      <c r="S14" s="40" t="n">
        <v>-0.2129436</v>
      </c>
      <c r="T14" s="40" t="n">
        <v>-0.4946381</v>
      </c>
      <c r="U14" s="40" t="n">
        <v>-0.5141753</v>
      </c>
      <c r="V14" s="40" t="n">
        <v>-0.152809</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KVHI</t>
        </is>
      </c>
      <c r="B19" s="35" t="n">
        <v>54.4</v>
      </c>
      <c r="C19" s="35" t="n">
        <v>72.2</v>
      </c>
      <c r="D19" s="35" t="n">
        <v>100</v>
      </c>
      <c r="E19" s="35" t="n">
        <v>100</v>
      </c>
      <c r="F19" s="35" t="n">
        <v>100</v>
      </c>
    </row>
    <row r="20" ht="16" customHeight="1">
      <c r="A20" s="25" t="inlineStr">
        <is>
          <t>SCTQ</t>
        </is>
      </c>
      <c r="B20" s="41" t="n">
        <v>100</v>
      </c>
      <c r="C20" s="41" t="n">
        <v>100</v>
      </c>
      <c r="D20" s="41" t="n">
        <v>99.2</v>
      </c>
      <c r="E20" s="41" t="n">
        <v>100</v>
      </c>
      <c r="F20" s="41" t="n">
        <v>50</v>
      </c>
    </row>
    <row r="21" ht="16" customHeight="1">
      <c r="A21" s="19" t="inlineStr">
        <is>
          <t>KULR</t>
        </is>
      </c>
      <c r="B21" s="35" t="n">
        <v>100</v>
      </c>
      <c r="C21" s="35" t="n">
        <v>73</v>
      </c>
      <c r="D21" s="35" t="n">
        <v>100</v>
      </c>
      <c r="E21" s="35" t="n">
        <v>45</v>
      </c>
      <c r="F21" s="35" t="n">
        <v>100</v>
      </c>
    </row>
    <row r="22" ht="16" customHeight="1">
      <c r="A22" s="25" t="inlineStr">
        <is>
          <t>ESP</t>
        </is>
      </c>
      <c r="B22" s="41" t="n">
        <v>21.8</v>
      </c>
      <c r="C22" s="41" t="n">
        <v>92.5</v>
      </c>
      <c r="D22" s="41" t="n">
        <v>67.59999999999999</v>
      </c>
      <c r="E22" s="41" t="n">
        <v>100</v>
      </c>
      <c r="F22" s="41" t="n">
        <v>100</v>
      </c>
    </row>
    <row r="23" ht="16" customHeight="1">
      <c r="A23" s="19" t="inlineStr">
        <is>
          <t>BYRN</t>
        </is>
      </c>
      <c r="B23" s="35" t="n">
        <v>21.8</v>
      </c>
      <c r="C23" s="35" t="n">
        <v>100</v>
      </c>
      <c r="D23" s="35" t="n">
        <v>100</v>
      </c>
      <c r="E23" s="35" t="n">
        <v>100</v>
      </c>
      <c r="F23" s="35" t="n">
        <v>4.2</v>
      </c>
    </row>
    <row r="24" ht="16" customHeight="1">
      <c r="A24" s="25" t="inlineStr">
        <is>
          <t>CODA</t>
        </is>
      </c>
      <c r="B24" s="41" t="n">
        <v>57.6</v>
      </c>
      <c r="C24" s="41" t="n">
        <v>100</v>
      </c>
      <c r="D24" s="41" t="n">
        <v>100</v>
      </c>
      <c r="E24" s="41" t="n">
        <v>100</v>
      </c>
      <c r="F24" s="41" t="n">
        <v>100</v>
      </c>
    </row>
    <row r="25" ht="16" customHeight="1">
      <c r="A25" s="19" t="inlineStr">
        <is>
          <t>INTT</t>
        </is>
      </c>
      <c r="B25" s="35" t="n">
        <v>54.4</v>
      </c>
      <c r="C25" s="35" t="n">
        <v>100</v>
      </c>
      <c r="D25" s="35" t="n">
        <v>84</v>
      </c>
      <c r="E25" s="35" t="n">
        <v>100</v>
      </c>
      <c r="F25" s="35" t="n">
        <v>100</v>
      </c>
    </row>
    <row r="26" ht="16" customHeight="1">
      <c r="A26" s="25" t="inlineStr">
        <is>
          <t>WSTL</t>
        </is>
      </c>
      <c r="B26" s="41" t="n">
        <v>93.2</v>
      </c>
      <c r="C26" s="41" t="n">
        <v>100</v>
      </c>
      <c r="D26" s="41" t="n">
        <v>100</v>
      </c>
      <c r="E26" s="41" t="n">
        <v>100</v>
      </c>
      <c r="F26" s="41" t="n">
        <v>60.5</v>
      </c>
    </row>
    <row r="27" ht="16" customHeight="1">
      <c r="A27" s="19" t="inlineStr">
        <is>
          <t>TAYD</t>
        </is>
      </c>
      <c r="B27" s="35" t="n">
        <v>11.6</v>
      </c>
      <c r="C27" s="35" t="n">
        <v>100</v>
      </c>
      <c r="D27" s="35" t="n">
        <v>100</v>
      </c>
      <c r="E27" s="35" t="n">
        <v>25</v>
      </c>
      <c r="F27" s="35" t="n">
        <v>95.5</v>
      </c>
    </row>
    <row r="28" ht="16" customHeight="1">
      <c r="A28" s="25" t="inlineStr">
        <is>
          <t>LAW</t>
        </is>
      </c>
      <c r="B28" s="41" t="n">
        <v>28.6</v>
      </c>
      <c r="C28" s="41" t="n">
        <v>100</v>
      </c>
      <c r="D28" s="41" t="n">
        <v>94.40000000000001</v>
      </c>
      <c r="E28" s="41" t="n">
        <v>100</v>
      </c>
      <c r="F28" s="41" t="n">
        <v>81.2</v>
      </c>
    </row>
    <row r="60">
      <c r="A60" t="inlineStr">
        <is>
          <t>Ticker</t>
        </is>
      </c>
      <c r="B60" t="inlineStr">
        <is>
          <t>Gross Margin</t>
        </is>
      </c>
      <c r="C60" t="inlineStr">
        <is>
          <t>Rev Growth</t>
        </is>
      </c>
      <c r="D60" t="inlineStr">
        <is>
          <t>Mkt Cap</t>
        </is>
      </c>
    </row>
    <row r="61">
      <c r="A61" t="inlineStr">
        <is>
          <t>KVHI</t>
        </is>
      </c>
      <c r="B61" t="n">
        <v>28.9</v>
      </c>
      <c r="C61" t="n">
        <v>27.2</v>
      </c>
      <c r="D61" t="n">
        <v>146.6</v>
      </c>
    </row>
    <row r="62">
      <c r="A62" t="inlineStr">
        <is>
          <t>SCTQ</t>
        </is>
      </c>
      <c r="B62" t="n">
        <v>57</v>
      </c>
      <c r="C62" t="n">
        <v>501.8</v>
      </c>
      <c r="D62" t="n">
        <v>101.7</v>
      </c>
    </row>
    <row r="63">
      <c r="A63" t="inlineStr">
        <is>
          <t>KULR</t>
        </is>
      </c>
      <c r="B63" t="n">
        <v>29.2</v>
      </c>
      <c r="C63" t="n">
        <v>97.90000000000001</v>
      </c>
      <c r="D63" t="n">
        <v>176.2</v>
      </c>
    </row>
    <row r="64">
      <c r="A64" t="inlineStr">
        <is>
          <t>ESP</t>
        </is>
      </c>
      <c r="B64" t="n">
        <v>37</v>
      </c>
      <c r="C64" t="n">
        <v>10.9</v>
      </c>
      <c r="D64" t="n">
        <v>165.6</v>
      </c>
    </row>
    <row r="65">
      <c r="A65" t="inlineStr">
        <is>
          <t>BYRN</t>
        </is>
      </c>
      <c r="B65" t="n">
        <v>59.9</v>
      </c>
      <c r="C65" t="n">
        <v>10.9</v>
      </c>
      <c r="D65" t="n">
        <v>134.3</v>
      </c>
    </row>
    <row r="66">
      <c r="A66" t="inlineStr">
        <is>
          <t>CODA</t>
        </is>
      </c>
      <c r="B66" t="n">
        <v>65.09999999999999</v>
      </c>
      <c r="C66" t="n">
        <v>28.8</v>
      </c>
      <c r="D66" t="n">
        <v>133.1</v>
      </c>
    </row>
    <row r="67">
      <c r="A67" t="inlineStr">
        <is>
          <t>INTT</t>
        </is>
      </c>
      <c r="B67" t="n">
        <v>43.2</v>
      </c>
      <c r="C67" t="n">
        <v>27.2</v>
      </c>
      <c r="D67" t="n">
        <v>184.3</v>
      </c>
    </row>
    <row r="68">
      <c r="A68" t="inlineStr">
        <is>
          <t>WSTL</t>
        </is>
      </c>
      <c r="B68" t="n">
        <v>41.1</v>
      </c>
      <c r="C68" t="n">
        <v>46.6</v>
      </c>
      <c r="D68" t="n">
        <v>76.09999999999999</v>
      </c>
    </row>
    <row r="69">
      <c r="A69" t="inlineStr">
        <is>
          <t>TAYD</t>
        </is>
      </c>
      <c r="B69" t="n">
        <v>40.2</v>
      </c>
      <c r="C69" t="n">
        <v>5.8</v>
      </c>
      <c r="D69" t="n">
        <v>170.7</v>
      </c>
    </row>
    <row r="70">
      <c r="A70" t="inlineStr">
        <is>
          <t>LAW</t>
        </is>
      </c>
      <c r="B70" t="n">
        <v>74.2</v>
      </c>
      <c r="C70" t="n">
        <v>14.3</v>
      </c>
      <c r="D70" t="n">
        <v>241.8</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Small Cap ($300M–$2B)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June 06,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EVLV</t>
        </is>
      </c>
      <c r="C5" s="20" t="inlineStr">
        <is>
          <t>Evolv Technologies Holdings, Inc.</t>
        </is>
      </c>
      <c r="D5" s="21" t="n">
        <v>1063</v>
      </c>
      <c r="E5" s="33" t="n">
        <v>5.91</v>
      </c>
      <c r="F5" s="34" t="n">
        <v>0.447</v>
      </c>
      <c r="G5" s="34" t="n">
        <v>0.194</v>
      </c>
      <c r="H5" s="34" t="n">
        <v>0.514</v>
      </c>
      <c r="I5" s="34" t="n">
        <v>0.189</v>
      </c>
      <c r="J5" s="34" t="n">
        <v>0.051</v>
      </c>
      <c r="K5" s="35" t="n">
        <v>78.09999999999999</v>
      </c>
      <c r="L5" s="35" t="n">
        <v>87.8</v>
      </c>
      <c r="M5" s="36" t="n">
        <v>79.2</v>
      </c>
      <c r="N5" s="22" t="n">
        <v>74.7</v>
      </c>
      <c r="O5" s="37" t="inlineStr">
        <is>
          <t>—</t>
        </is>
      </c>
      <c r="P5" s="38" t="n">
        <v>11.7</v>
      </c>
      <c r="Q5" s="23" t="inlineStr">
        <is>
          <t>Medium-High</t>
        </is>
      </c>
      <c r="R5" s="34" t="n">
        <v>-0.1687764</v>
      </c>
      <c r="S5" s="34" t="n">
        <v>0.1633858</v>
      </c>
      <c r="T5" s="34" t="n">
        <v>-0.113943</v>
      </c>
      <c r="U5" s="34" t="n">
        <v>-0.174581</v>
      </c>
      <c r="V5" s="34" t="n">
        <v>0.0706522</v>
      </c>
    </row>
    <row r="6" ht="16" customHeight="1">
      <c r="A6" s="32" t="n">
        <v>2</v>
      </c>
      <c r="B6" s="25" t="inlineStr">
        <is>
          <t>PKE</t>
        </is>
      </c>
      <c r="C6" s="26" t="inlineStr">
        <is>
          <t>Park Aerospace Corp.</t>
        </is>
      </c>
      <c r="D6" s="27" t="n">
        <v>678.5</v>
      </c>
      <c r="E6" s="39" t="n">
        <v>32.5</v>
      </c>
      <c r="F6" s="40" t="n">
        <v>0.428</v>
      </c>
      <c r="G6" s="40" t="n">
        <v>0.215</v>
      </c>
      <c r="H6" s="40" t="n">
        <v>0.287</v>
      </c>
      <c r="I6" s="40" t="n">
        <v>-0.014</v>
      </c>
      <c r="J6" s="40" t="n">
        <v>0.09300000000000001</v>
      </c>
      <c r="K6" s="41" t="n">
        <v>89</v>
      </c>
      <c r="L6" s="41" t="n">
        <v>100</v>
      </c>
      <c r="M6" s="42" t="n">
        <v>74.59999999999999</v>
      </c>
      <c r="N6" s="22" t="n">
        <v>72</v>
      </c>
      <c r="O6" s="43" t="inlineStr">
        <is>
          <t>—</t>
        </is>
      </c>
      <c r="P6" s="45" t="n">
        <v>64.5</v>
      </c>
      <c r="Q6" s="28" t="inlineStr">
        <is>
          <t>Medium</t>
        </is>
      </c>
      <c r="R6" s="40" t="n">
        <v>-0.05137190000000001</v>
      </c>
      <c r="S6" s="40" t="n">
        <v>0.2081784</v>
      </c>
      <c r="T6" s="40" t="n">
        <v>0.6615542000000001</v>
      </c>
      <c r="U6" s="40" t="n">
        <v>0.5229616</v>
      </c>
      <c r="V6" s="40" t="n">
        <v>1.2919605</v>
      </c>
    </row>
    <row r="7" ht="16" customHeight="1">
      <c r="A7" s="32" t="n">
        <v>3</v>
      </c>
      <c r="B7" s="19" t="inlineStr">
        <is>
          <t>DSP</t>
        </is>
      </c>
      <c r="C7" s="20" t="inlineStr">
        <is>
          <t>Viant Technology Inc.</t>
        </is>
      </c>
      <c r="D7" s="21" t="n">
        <v>794.6</v>
      </c>
      <c r="E7" s="33" t="n">
        <v>12.11</v>
      </c>
      <c r="F7" s="34" t="n">
        <v>0.253</v>
      </c>
      <c r="G7" s="34" t="n">
        <v>0.18</v>
      </c>
      <c r="H7" s="34" t="n">
        <v>0.835</v>
      </c>
      <c r="I7" s="34" t="n">
        <v>0.003</v>
      </c>
      <c r="J7" s="34" t="n">
        <v>0.184</v>
      </c>
      <c r="K7" s="35" t="n">
        <v>84.40000000000001</v>
      </c>
      <c r="L7" s="35" t="n">
        <v>80</v>
      </c>
      <c r="M7" s="36" t="n">
        <v>73.40000000000001</v>
      </c>
      <c r="N7" s="24" t="n">
        <v>59.6</v>
      </c>
      <c r="O7" s="37" t="inlineStr">
        <is>
          <t>—</t>
        </is>
      </c>
      <c r="P7" s="38" t="n">
        <v>23.5</v>
      </c>
      <c r="Q7" s="28" t="inlineStr">
        <is>
          <t>Medium</t>
        </is>
      </c>
      <c r="R7" s="34" t="n">
        <v>0.0669604</v>
      </c>
      <c r="S7" s="34" t="n">
        <v>0.1700483</v>
      </c>
      <c r="T7" s="34" t="n">
        <v>0.0802855</v>
      </c>
      <c r="U7" s="34" t="n">
        <v>0.0058139535</v>
      </c>
      <c r="V7" s="34" t="n">
        <v>-0.1676976</v>
      </c>
    </row>
    <row r="8" ht="16" customHeight="1">
      <c r="A8" s="32" t="n">
        <v>4</v>
      </c>
      <c r="B8" s="25" t="inlineStr">
        <is>
          <t>CMCO</t>
        </is>
      </c>
      <c r="C8" s="26" t="inlineStr">
        <is>
          <t>Columbus McKinnon Corporation</t>
        </is>
      </c>
      <c r="D8" s="27" t="n">
        <v>370.2</v>
      </c>
      <c r="E8" s="39" t="n">
        <v>12.88</v>
      </c>
      <c r="F8" s="40" t="n">
        <v>0.773</v>
      </c>
      <c r="G8" s="40" t="n">
        <v>0.743</v>
      </c>
      <c r="H8" s="40" t="n">
        <v>0.25</v>
      </c>
      <c r="I8" s="40" t="n">
        <v>0.002</v>
      </c>
      <c r="J8" s="40" t="n">
        <v>0.028</v>
      </c>
      <c r="K8" s="41" t="n">
        <v>81.7</v>
      </c>
      <c r="L8" s="41" t="n">
        <v>98.2</v>
      </c>
      <c r="M8" s="42" t="n">
        <v>73.40000000000001</v>
      </c>
      <c r="N8" s="24" t="n">
        <v>50.6</v>
      </c>
      <c r="O8" s="43" t="inlineStr">
        <is>
          <t>—</t>
        </is>
      </c>
      <c r="P8" s="38" t="n">
        <v>0.2</v>
      </c>
      <c r="Q8" s="28" t="inlineStr">
        <is>
          <t>Medium</t>
        </is>
      </c>
      <c r="R8" s="40" t="n">
        <v>-0.2044472</v>
      </c>
      <c r="S8" s="40" t="n">
        <v>-0.2319618</v>
      </c>
      <c r="T8" s="40" t="n">
        <v>-0.2489796</v>
      </c>
      <c r="U8" s="40" t="n">
        <v>-0.2533333</v>
      </c>
      <c r="V8" s="40" t="n">
        <v>-0.1609121</v>
      </c>
    </row>
    <row r="9" ht="16" customHeight="1">
      <c r="A9" s="32" t="n">
        <v>5</v>
      </c>
      <c r="B9" s="19" t="inlineStr">
        <is>
          <t>ARLO</t>
        </is>
      </c>
      <c r="C9" s="20" t="inlineStr">
        <is>
          <t>Arlo Technologies, Inc.</t>
        </is>
      </c>
      <c r="D9" s="21" t="n">
        <v>1390.2</v>
      </c>
      <c r="E9" s="33" t="n">
        <v>12.8</v>
      </c>
      <c r="F9" s="34" t="n">
        <v>0.263</v>
      </c>
      <c r="G9" s="34" t="n">
        <v>0.329</v>
      </c>
      <c r="H9" s="34" t="n">
        <v>0.483</v>
      </c>
      <c r="I9" s="34" t="n">
        <v>0.159</v>
      </c>
      <c r="J9" s="34" t="n">
        <v>0.03</v>
      </c>
      <c r="K9" s="35" t="n">
        <v>66.59999999999999</v>
      </c>
      <c r="L9" s="35" t="n">
        <v>86.09999999999999</v>
      </c>
      <c r="M9" s="36" t="n">
        <v>70.2</v>
      </c>
      <c r="N9" s="24" t="n">
        <v>63.5</v>
      </c>
      <c r="O9" s="37" t="inlineStr">
        <is>
          <t>—</t>
        </is>
      </c>
      <c r="P9" s="38" t="n">
        <v>8.1</v>
      </c>
      <c r="Q9" s="28" t="inlineStr">
        <is>
          <t>Medium</t>
        </is>
      </c>
      <c r="R9" s="34" t="n">
        <v>-0.1214825</v>
      </c>
      <c r="S9" s="34" t="n">
        <v>-0.0791367</v>
      </c>
      <c r="T9" s="34" t="n">
        <v>-0.1178498</v>
      </c>
      <c r="U9" s="34" t="n">
        <v>-0.08506080000000001</v>
      </c>
      <c r="V9" s="34" t="n">
        <v>-0.2371871</v>
      </c>
    </row>
    <row r="10" ht="16" customHeight="1">
      <c r="A10" s="32" t="n">
        <v>6</v>
      </c>
      <c r="B10" s="25" t="inlineStr">
        <is>
          <t>NSSC</t>
        </is>
      </c>
      <c r="C10" s="26" t="inlineStr">
        <is>
          <t>Napco Security Technologies, Inc.</t>
        </is>
      </c>
      <c r="D10" s="27" t="n">
        <v>1249</v>
      </c>
      <c r="E10" s="39" t="n">
        <v>34.96</v>
      </c>
      <c r="F10" s="40" t="n">
        <v>0.118</v>
      </c>
      <c r="G10" s="40" t="n">
        <v>0.245</v>
      </c>
      <c r="H10" s="40" t="n">
        <v>0.6</v>
      </c>
      <c r="I10" s="40" t="n">
        <v>-0.031</v>
      </c>
      <c r="J10" s="40" t="n">
        <v>0.03700000000000001</v>
      </c>
      <c r="K10" s="41" t="n">
        <v>67.59999999999999</v>
      </c>
      <c r="L10" s="41" t="n">
        <v>90</v>
      </c>
      <c r="M10" s="42" t="n">
        <v>69.5</v>
      </c>
      <c r="N10" s="24" t="n">
        <v>58.4</v>
      </c>
      <c r="O10" s="43" t="inlineStr">
        <is>
          <t>—</t>
        </is>
      </c>
      <c r="P10" s="38" t="n">
        <v>20.8</v>
      </c>
      <c r="Q10" s="28" t="inlineStr">
        <is>
          <t>Medium</t>
        </is>
      </c>
      <c r="R10" s="40" t="n">
        <v>-0.1522793</v>
      </c>
      <c r="S10" s="40" t="n">
        <v>-0.1506317</v>
      </c>
      <c r="T10" s="40" t="n">
        <v>-0.1537158</v>
      </c>
      <c r="U10" s="40" t="n">
        <v>-0.1616307</v>
      </c>
      <c r="V10" s="40" t="n">
        <v>0.2122053</v>
      </c>
    </row>
    <row r="11" ht="16" customHeight="1">
      <c r="A11" s="32" t="n">
        <v>7</v>
      </c>
      <c r="B11" s="19" t="inlineStr">
        <is>
          <t>SLP</t>
        </is>
      </c>
      <c r="C11" s="20" t="inlineStr">
        <is>
          <t>Simulations Plus, Inc.</t>
        </is>
      </c>
      <c r="D11" s="21" t="n">
        <v>320.9</v>
      </c>
      <c r="E11" s="33" t="n">
        <v>15.88</v>
      </c>
      <c r="F11" s="34" t="n">
        <v>0.083</v>
      </c>
      <c r="G11" s="34" t="n">
        <v>-0.127</v>
      </c>
      <c r="H11" s="34" t="n">
        <v>0.665</v>
      </c>
      <c r="I11" s="34" t="n">
        <v>0.009000000000000001</v>
      </c>
      <c r="J11" s="34" t="n">
        <v>0.174</v>
      </c>
      <c r="K11" s="35" t="n">
        <v>62.7</v>
      </c>
      <c r="L11" s="35" t="n">
        <v>85.90000000000001</v>
      </c>
      <c r="M11" s="36" t="n">
        <v>68.7</v>
      </c>
      <c r="N11" s="24" t="n">
        <v>63.1</v>
      </c>
      <c r="O11" s="37" t="inlineStr">
        <is>
          <t>—</t>
        </is>
      </c>
      <c r="P11" s="38" t="n">
        <v>13.4</v>
      </c>
      <c r="Q11" s="28" t="inlineStr">
        <is>
          <t>Medium</t>
        </is>
      </c>
      <c r="R11" s="34" t="n">
        <v>0</v>
      </c>
      <c r="S11" s="34" t="n">
        <v>0.299509</v>
      </c>
      <c r="T11" s="34" t="n">
        <v>-0.191446</v>
      </c>
      <c r="U11" s="34" t="n">
        <v>-0.1289084</v>
      </c>
      <c r="V11" s="34" t="n">
        <v>-0.4235935</v>
      </c>
    </row>
    <row r="12" ht="16" customHeight="1">
      <c r="A12" s="32" t="n">
        <v>8</v>
      </c>
      <c r="B12" s="25" t="inlineStr">
        <is>
          <t>ADTN</t>
        </is>
      </c>
      <c r="C12" s="26" t="inlineStr">
        <is>
          <t>ADTRAN Holdings, Inc.</t>
        </is>
      </c>
      <c r="D12" s="27" t="n">
        <v>1243.3</v>
      </c>
      <c r="E12" s="39" t="n">
        <v>15.35</v>
      </c>
      <c r="F12" s="40" t="n">
        <v>0.155</v>
      </c>
      <c r="G12" s="40" t="n">
        <v>0.059</v>
      </c>
      <c r="H12" s="40" t="n">
        <v>0.395</v>
      </c>
      <c r="I12" s="40" t="n">
        <v>0.025</v>
      </c>
      <c r="J12" s="40" t="n">
        <v>0.08199999999999999</v>
      </c>
      <c r="K12" s="41" t="n">
        <v>71.09999999999999</v>
      </c>
      <c r="L12" s="41" t="n">
        <v>99.2</v>
      </c>
      <c r="M12" s="42" t="n">
        <v>68.59999999999999</v>
      </c>
      <c r="N12" s="24" t="n">
        <v>54.4</v>
      </c>
      <c r="O12" s="43" t="inlineStr">
        <is>
          <t>—</t>
        </is>
      </c>
      <c r="P12" s="45" t="n">
        <v>47.9</v>
      </c>
      <c r="Q12" s="28" t="inlineStr">
        <is>
          <t>Medium</t>
        </is>
      </c>
      <c r="R12" s="40" t="n">
        <v>-0.0229153</v>
      </c>
      <c r="S12" s="40" t="n">
        <v>0.6006257</v>
      </c>
      <c r="T12" s="40" t="n">
        <v>0.7995310999999999</v>
      </c>
      <c r="U12" s="40" t="n">
        <v>0.7663982</v>
      </c>
      <c r="V12" s="40" t="n">
        <v>0.9115816</v>
      </c>
    </row>
    <row r="13" ht="16" customHeight="1">
      <c r="A13" s="32" t="n">
        <v>9</v>
      </c>
      <c r="B13" s="19" t="inlineStr">
        <is>
          <t>WYFI</t>
        </is>
      </c>
      <c r="C13" s="20" t="inlineStr">
        <is>
          <t>WhiteFiber, Inc. Ordinary Shares</t>
        </is>
      </c>
      <c r="D13" s="21" t="n">
        <v>898.6</v>
      </c>
      <c r="E13" s="33" t="n">
        <v>23.27</v>
      </c>
      <c r="F13" s="34" t="n">
        <v>0.307</v>
      </c>
      <c r="G13" s="34" t="n">
        <v>-0.025</v>
      </c>
      <c r="H13" s="34" t="n">
        <v>0.602</v>
      </c>
      <c r="I13" s="34" t="n">
        <v>0.015</v>
      </c>
      <c r="J13" s="34" t="n">
        <v>0.753</v>
      </c>
      <c r="K13" s="35" t="n">
        <v>80</v>
      </c>
      <c r="L13" s="35" t="n">
        <v>71.8</v>
      </c>
      <c r="M13" s="36" t="n">
        <v>68.5</v>
      </c>
      <c r="N13" s="24" t="n">
        <v>56.4</v>
      </c>
      <c r="O13" s="37" t="inlineStr">
        <is>
          <t>—</t>
        </is>
      </c>
      <c r="P13" s="38" t="n">
        <v>34.5</v>
      </c>
      <c r="Q13" s="28" t="inlineStr">
        <is>
          <t>Medium</t>
        </is>
      </c>
      <c r="R13" s="34" t="n">
        <v>0.0858609</v>
      </c>
      <c r="S13" s="34" t="n">
        <v>0.5012903</v>
      </c>
      <c r="T13" s="34" t="n">
        <v>0.1976325</v>
      </c>
      <c r="U13" s="34" t="n">
        <v>0.4727848</v>
      </c>
      <c r="V13" s="34" t="n">
        <v>0.4346486</v>
      </c>
    </row>
    <row r="14" ht="16" customHeight="1">
      <c r="A14" s="32" t="n">
        <v>10</v>
      </c>
      <c r="B14" s="25" t="inlineStr">
        <is>
          <t>BLFS</t>
        </is>
      </c>
      <c r="C14" s="26" t="inlineStr">
        <is>
          <t>BioLife Solutions, Inc.</t>
        </is>
      </c>
      <c r="D14" s="27" t="n">
        <v>1302.1</v>
      </c>
      <c r="E14" s="39" t="n">
        <v>26.65</v>
      </c>
      <c r="F14" s="40" t="n">
        <v>0.149</v>
      </c>
      <c r="G14" s="40" t="n">
        <v>-0.065</v>
      </c>
      <c r="H14" s="40" t="n">
        <v>0.633</v>
      </c>
      <c r="I14" s="40" t="n">
        <v>0.115</v>
      </c>
      <c r="J14" s="40" t="n">
        <v>0.123</v>
      </c>
      <c r="K14" s="41" t="n">
        <v>63.8</v>
      </c>
      <c r="L14" s="41" t="n">
        <v>82.2</v>
      </c>
      <c r="M14" s="42" t="n">
        <v>68.3</v>
      </c>
      <c r="N14" s="24" t="n">
        <v>63.5</v>
      </c>
      <c r="O14" s="43" t="inlineStr">
        <is>
          <t>—</t>
        </is>
      </c>
      <c r="P14" s="38" t="n">
        <v>32.6</v>
      </c>
      <c r="Q14" s="28" t="inlineStr">
        <is>
          <t>Medium</t>
        </is>
      </c>
      <c r="R14" s="40" t="n">
        <v>0.2252874</v>
      </c>
      <c r="S14" s="40" t="n">
        <v>0.3418933</v>
      </c>
      <c r="T14" s="40" t="n">
        <v>0.04674</v>
      </c>
      <c r="U14" s="40" t="n">
        <v>0.1021505</v>
      </c>
      <c r="V14" s="40" t="n">
        <v>0.1239983</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EVLV</t>
        </is>
      </c>
      <c r="B19" s="35" t="n">
        <v>89.40000000000001</v>
      </c>
      <c r="C19" s="35" t="n">
        <v>100</v>
      </c>
      <c r="D19" s="35" t="n">
        <v>44.4</v>
      </c>
      <c r="E19" s="35" t="n">
        <v>51</v>
      </c>
      <c r="F19" s="35" t="n">
        <v>98.5</v>
      </c>
    </row>
    <row r="20" ht="16" customHeight="1">
      <c r="A20" s="25" t="inlineStr">
        <is>
          <t>PKE</t>
        </is>
      </c>
      <c r="B20" s="41" t="n">
        <v>85.59999999999999</v>
      </c>
      <c r="C20" s="41" t="n">
        <v>71.8</v>
      </c>
      <c r="D20" s="41" t="n">
        <v>100</v>
      </c>
      <c r="E20" s="41" t="n">
        <v>93</v>
      </c>
      <c r="F20" s="41" t="n">
        <v>100</v>
      </c>
    </row>
    <row r="21" ht="16" customHeight="1">
      <c r="A21" s="19" t="inlineStr">
        <is>
          <t>DSP</t>
        </is>
      </c>
      <c r="B21" s="35" t="n">
        <v>50.6</v>
      </c>
      <c r="C21" s="35" t="n">
        <v>100</v>
      </c>
      <c r="D21" s="35" t="n">
        <v>100</v>
      </c>
      <c r="E21" s="35" t="n">
        <v>100</v>
      </c>
      <c r="F21" s="35" t="n">
        <v>95</v>
      </c>
    </row>
    <row r="22" ht="16" customHeight="1">
      <c r="A22" s="25" t="inlineStr">
        <is>
          <t>CMCO</t>
        </is>
      </c>
      <c r="B22" s="41" t="n">
        <v>100</v>
      </c>
      <c r="C22" s="41" t="n">
        <v>62.5</v>
      </c>
      <c r="D22" s="41" t="n">
        <v>100</v>
      </c>
      <c r="E22" s="41" t="n">
        <v>28</v>
      </c>
      <c r="F22" s="41" t="n">
        <v>100</v>
      </c>
    </row>
    <row r="23" ht="16" customHeight="1">
      <c r="A23" s="19" t="inlineStr">
        <is>
          <t>ARLO</t>
        </is>
      </c>
      <c r="B23" s="35" t="n">
        <v>52.6</v>
      </c>
      <c r="C23" s="35" t="n">
        <v>100</v>
      </c>
      <c r="D23" s="35" t="n">
        <v>56.4</v>
      </c>
      <c r="E23" s="35" t="n">
        <v>30</v>
      </c>
      <c r="F23" s="35" t="n">
        <v>100</v>
      </c>
    </row>
    <row r="24" ht="16" customHeight="1">
      <c r="A24" s="25" t="inlineStr">
        <is>
          <t>NSSC</t>
        </is>
      </c>
      <c r="B24" s="41" t="n">
        <v>23.6</v>
      </c>
      <c r="C24" s="41" t="n">
        <v>100</v>
      </c>
      <c r="D24" s="41" t="n">
        <v>100</v>
      </c>
      <c r="E24" s="41" t="n">
        <v>37</v>
      </c>
      <c r="F24" s="41" t="n">
        <v>100</v>
      </c>
    </row>
    <row r="25" ht="16" customHeight="1">
      <c r="A25" s="19" t="inlineStr">
        <is>
          <t>SLP</t>
        </is>
      </c>
      <c r="B25" s="35" t="n">
        <v>16.6</v>
      </c>
      <c r="C25" s="35" t="n">
        <v>100</v>
      </c>
      <c r="D25" s="35" t="n">
        <v>100</v>
      </c>
      <c r="E25" s="35" t="n">
        <v>100</v>
      </c>
      <c r="F25" s="35" t="n">
        <v>18.3</v>
      </c>
    </row>
    <row r="26" ht="16" customHeight="1">
      <c r="A26" s="25" t="inlineStr">
        <is>
          <t>ADTN</t>
        </is>
      </c>
      <c r="B26" s="41" t="n">
        <v>31</v>
      </c>
      <c r="C26" s="41" t="n">
        <v>98.8</v>
      </c>
      <c r="D26" s="41" t="n">
        <v>100</v>
      </c>
      <c r="E26" s="41" t="n">
        <v>82</v>
      </c>
      <c r="F26" s="41" t="n">
        <v>64.8</v>
      </c>
    </row>
    <row r="27" ht="16" customHeight="1">
      <c r="A27" s="19" t="inlineStr">
        <is>
          <t>WYFI</t>
        </is>
      </c>
      <c r="B27" s="35" t="n">
        <v>61.4</v>
      </c>
      <c r="C27" s="35" t="n">
        <v>100</v>
      </c>
      <c r="D27" s="35" t="n">
        <v>100</v>
      </c>
      <c r="E27" s="35" t="n">
        <v>100</v>
      </c>
      <c r="F27" s="35" t="n">
        <v>43.8</v>
      </c>
    </row>
    <row r="28" ht="16" customHeight="1">
      <c r="A28" s="25" t="inlineStr">
        <is>
          <t>BLFS</t>
        </is>
      </c>
      <c r="B28" s="41" t="n">
        <v>29.8</v>
      </c>
      <c r="C28" s="41" t="n">
        <v>100</v>
      </c>
      <c r="D28" s="41" t="n">
        <v>74</v>
      </c>
      <c r="E28" s="41" t="n">
        <v>100</v>
      </c>
      <c r="F28" s="41" t="n">
        <v>33.8</v>
      </c>
    </row>
    <row r="60">
      <c r="A60" t="inlineStr">
        <is>
          <t>Ticker</t>
        </is>
      </c>
      <c r="B60" t="inlineStr">
        <is>
          <t>Gross Margin</t>
        </is>
      </c>
      <c r="C60" t="inlineStr">
        <is>
          <t>Rev Growth</t>
        </is>
      </c>
      <c r="D60" t="inlineStr">
        <is>
          <t>Mkt Cap</t>
        </is>
      </c>
    </row>
    <row r="61">
      <c r="A61" t="inlineStr">
        <is>
          <t>EVLV</t>
        </is>
      </c>
      <c r="B61" t="n">
        <v>51.4</v>
      </c>
      <c r="C61" t="n">
        <v>44.7</v>
      </c>
      <c r="D61" t="n">
        <v>1063</v>
      </c>
    </row>
    <row r="62">
      <c r="A62" t="inlineStr">
        <is>
          <t>PKE</t>
        </is>
      </c>
      <c r="B62" t="n">
        <v>28.7</v>
      </c>
      <c r="C62" t="n">
        <v>42.8</v>
      </c>
      <c r="D62" t="n">
        <v>678.5</v>
      </c>
    </row>
    <row r="63">
      <c r="A63" t="inlineStr">
        <is>
          <t>DSP</t>
        </is>
      </c>
      <c r="B63" t="n">
        <v>83.5</v>
      </c>
      <c r="C63" t="n">
        <v>25.3</v>
      </c>
      <c r="D63" t="n">
        <v>794.6</v>
      </c>
    </row>
    <row r="64">
      <c r="A64" t="inlineStr">
        <is>
          <t>CMCO</t>
        </is>
      </c>
      <c r="B64" t="n">
        <v>25</v>
      </c>
      <c r="C64" t="n">
        <v>77.3</v>
      </c>
      <c r="D64" t="n">
        <v>370.2</v>
      </c>
    </row>
    <row r="65">
      <c r="A65" t="inlineStr">
        <is>
          <t>ARLO</t>
        </is>
      </c>
      <c r="B65" t="n">
        <v>48.3</v>
      </c>
      <c r="C65" t="n">
        <v>26.3</v>
      </c>
      <c r="D65" t="n">
        <v>1390.2</v>
      </c>
    </row>
    <row r="66">
      <c r="A66" t="inlineStr">
        <is>
          <t>NSSC</t>
        </is>
      </c>
      <c r="B66" t="n">
        <v>60</v>
      </c>
      <c r="C66" t="n">
        <v>11.8</v>
      </c>
      <c r="D66" t="n">
        <v>1249</v>
      </c>
    </row>
    <row r="67">
      <c r="A67" t="inlineStr">
        <is>
          <t>SLP</t>
        </is>
      </c>
      <c r="B67" t="n">
        <v>66.5</v>
      </c>
      <c r="C67" t="n">
        <v>8.300000000000001</v>
      </c>
      <c r="D67" t="n">
        <v>320.9</v>
      </c>
    </row>
    <row r="68">
      <c r="A68" t="inlineStr">
        <is>
          <t>ADTN</t>
        </is>
      </c>
      <c r="B68" t="n">
        <v>39.5</v>
      </c>
      <c r="C68" t="n">
        <v>15.5</v>
      </c>
      <c r="D68" t="n">
        <v>1243.3</v>
      </c>
    </row>
    <row r="69">
      <c r="A69" t="inlineStr">
        <is>
          <t>WYFI</t>
        </is>
      </c>
      <c r="B69" t="n">
        <v>60.2</v>
      </c>
      <c r="C69" t="n">
        <v>30.7</v>
      </c>
      <c r="D69" t="n">
        <v>898.6</v>
      </c>
    </row>
    <row r="70">
      <c r="A70" t="inlineStr">
        <is>
          <t>BLFS</t>
        </is>
      </c>
      <c r="B70" t="n">
        <v>63.3</v>
      </c>
      <c r="C70" t="n">
        <v>14.9</v>
      </c>
      <c r="D70" t="n">
        <v>1302.1</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0D1B2A"/>
    <outlinePr summaryBelow="1" summaryRight="1"/>
    <pageSetUpPr fitToPage="1"/>
  </sheetPr>
  <dimension ref="A1:V7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9" customWidth="1" min="2" max="2"/>
    <col width="28" customWidth="1" min="3" max="3"/>
    <col width="14" customWidth="1" min="4" max="4"/>
    <col width="12"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2" customWidth="1" min="13" max="13"/>
    <col width="10" customWidth="1" min="14" max="14"/>
    <col width="14" customWidth="1" min="15" max="15"/>
    <col width="14" customWidth="1" min="16" max="16"/>
    <col width="12" customWidth="1" min="17" max="17"/>
    <col width="10" customWidth="1" min="18" max="18"/>
    <col width="10" customWidth="1" min="19" max="19"/>
    <col width="10" customWidth="1" min="20" max="20"/>
    <col width="10" customWidth="1" min="21" max="21"/>
    <col width="10" customWidth="1" min="22" max="22"/>
  </cols>
  <sheetData>
    <row r="1" ht="28" customHeight="1">
      <c r="A1" s="30" t="inlineStr">
        <is>
          <t>Breakout ($2B–$15B) — Screener Results</t>
        </is>
      </c>
      <c r="B1" s="11" t="n"/>
      <c r="C1" s="11" t="n"/>
      <c r="D1" s="11" t="n"/>
      <c r="E1" s="11" t="n"/>
      <c r="F1" s="11" t="n"/>
      <c r="G1" s="11" t="n"/>
      <c r="H1" s="11" t="n"/>
      <c r="I1" s="11" t="n"/>
      <c r="J1" s="11" t="n"/>
      <c r="K1" s="11" t="n"/>
      <c r="L1" s="11" t="n"/>
      <c r="M1" s="11" t="n"/>
      <c r="N1" s="11" t="n"/>
      <c r="O1" s="11" t="n"/>
      <c r="P1" s="11" t="n"/>
      <c r="Q1" s="11" t="n"/>
      <c r="R1" s="11" t="n"/>
      <c r="S1" s="11" t="n"/>
      <c r="T1" s="11" t="n"/>
      <c r="U1" s="11" t="n"/>
      <c r="V1" s="11" t="n"/>
    </row>
    <row r="2" ht="22" customHeight="1">
      <c r="A2" s="31" t="inlineStr">
        <is>
          <t>Top 10 by combined score  |  June 06, 2026</t>
        </is>
      </c>
      <c r="B2" s="12" t="n"/>
      <c r="C2" s="12" t="n"/>
      <c r="D2" s="12" t="n"/>
      <c r="E2" s="12" t="n"/>
      <c r="F2" s="12" t="n"/>
      <c r="G2" s="12" t="n"/>
      <c r="H2" s="12" t="n"/>
      <c r="I2" s="12" t="n"/>
      <c r="J2" s="12" t="n"/>
      <c r="K2" s="12" t="n"/>
      <c r="L2" s="12" t="n"/>
      <c r="M2" s="12" t="n"/>
      <c r="N2" s="12" t="n"/>
      <c r="O2" s="12" t="n"/>
      <c r="P2" s="12" t="n"/>
      <c r="Q2" s="12" t="n"/>
      <c r="R2" s="12" t="n"/>
      <c r="S2" s="12" t="n"/>
      <c r="T2" s="12" t="n"/>
      <c r="U2" s="12" t="n"/>
      <c r="V2" s="12" t="n"/>
    </row>
    <row r="3" ht="8" customHeight="1"/>
    <row r="4" ht="18" customHeight="1">
      <c r="A4" s="18" t="inlineStr">
        <is>
          <t>Rank</t>
        </is>
      </c>
      <c r="B4" s="18" t="inlineStr">
        <is>
          <t>Ticker</t>
        </is>
      </c>
      <c r="C4" s="18" t="inlineStr">
        <is>
          <t>Company Name</t>
        </is>
      </c>
      <c r="D4" s="18" t="inlineStr">
        <is>
          <t>Mkt Cap ($M)</t>
        </is>
      </c>
      <c r="E4" s="18" t="inlineStr">
        <is>
          <t>Price</t>
        </is>
      </c>
      <c r="F4" s="18" t="inlineStr">
        <is>
          <t>Rev Growth YoY</t>
        </is>
      </c>
      <c r="G4" s="18" t="inlineStr">
        <is>
          <t>Rev Accel</t>
        </is>
      </c>
      <c r="H4" s="18" t="inlineStr">
        <is>
          <t>Gross Margin</t>
        </is>
      </c>
      <c r="I4" s="18" t="inlineStr">
        <is>
          <t>Dilution 3yr</t>
        </is>
      </c>
      <c r="J4" s="18" t="inlineStr">
        <is>
          <t>Insider %</t>
        </is>
      </c>
      <c r="K4" s="18" t="inlineStr">
        <is>
          <t>Composite</t>
        </is>
      </c>
      <c r="L4" s="18" t="inlineStr">
        <is>
          <t>Fingerprint</t>
        </is>
      </c>
      <c r="M4" s="18" t="inlineStr">
        <is>
          <t>Combined</t>
        </is>
      </c>
      <c r="N4" s="18" t="inlineStr">
        <is>
          <t>WPS</t>
        </is>
      </c>
      <c r="O4" s="18" t="inlineStr">
        <is>
          <t>WPS Pattern</t>
        </is>
      </c>
      <c r="P4" s="18" t="inlineStr">
        <is>
          <t>Run Maturity</t>
        </is>
      </c>
      <c r="Q4" s="18" t="inlineStr">
        <is>
          <t>Conviction</t>
        </is>
      </c>
      <c r="R4" s="18" t="inlineStr">
        <is>
          <t>1M</t>
        </is>
      </c>
      <c r="S4" s="18" t="inlineStr">
        <is>
          <t>3M</t>
        </is>
      </c>
      <c r="T4" s="18" t="inlineStr">
        <is>
          <t>6M</t>
        </is>
      </c>
      <c r="U4" s="18" t="inlineStr">
        <is>
          <t>YTD</t>
        </is>
      </c>
      <c r="V4" s="18" t="inlineStr">
        <is>
          <t>1Y</t>
        </is>
      </c>
    </row>
    <row r="5" ht="16" customHeight="1">
      <c r="A5" s="32" t="n">
        <v>1</v>
      </c>
      <c r="B5" s="19" t="inlineStr">
        <is>
          <t>KRMN</t>
        </is>
      </c>
      <c r="C5" s="20" t="inlineStr">
        <is>
          <t>Karman Holdings Inc.</t>
        </is>
      </c>
      <c r="D5" s="21" t="n">
        <v>6552.1</v>
      </c>
      <c r="E5" s="33" t="n">
        <v>49.44</v>
      </c>
      <c r="F5" s="34" t="n">
        <v>0.51</v>
      </c>
      <c r="G5" s="34" t="n">
        <v>0.333</v>
      </c>
      <c r="H5" s="34" t="n">
        <v>0.422</v>
      </c>
      <c r="I5" s="34" t="n">
        <v>0.003</v>
      </c>
      <c r="J5" s="34" t="n">
        <v>0.777</v>
      </c>
      <c r="K5" s="35" t="n">
        <v>100</v>
      </c>
      <c r="L5" s="35" t="n">
        <v>60</v>
      </c>
      <c r="M5" s="36" t="n">
        <v>78.8</v>
      </c>
      <c r="N5" s="22" t="n">
        <v>72</v>
      </c>
      <c r="O5" s="37" t="inlineStr">
        <is>
          <t>—</t>
        </is>
      </c>
      <c r="P5" s="38" t="n">
        <v>6.6</v>
      </c>
      <c r="Q5" s="23" t="inlineStr">
        <is>
          <t>Medium-High</t>
        </is>
      </c>
      <c r="R5" s="34" t="n">
        <v>-0.2175977</v>
      </c>
      <c r="S5" s="34" t="n">
        <v>-0.5082553999999999</v>
      </c>
      <c r="T5" s="34" t="n">
        <v>-0.2446142</v>
      </c>
      <c r="U5" s="34" t="n">
        <v>-0.3243132</v>
      </c>
      <c r="V5" s="34" t="n">
        <v>0.06437030000000001</v>
      </c>
    </row>
    <row r="6" ht="16" customHeight="1">
      <c r="A6" s="32" t="n">
        <v>2</v>
      </c>
      <c r="B6" s="25" t="inlineStr">
        <is>
          <t>IPGP</t>
        </is>
      </c>
      <c r="C6" s="26" t="inlineStr">
        <is>
          <t>IPG Photonics Corporation</t>
        </is>
      </c>
      <c r="D6" s="27" t="n">
        <v>4557.2</v>
      </c>
      <c r="E6" s="39" t="n">
        <v>107.37</v>
      </c>
      <c r="F6" s="40" t="n">
        <v>0.166</v>
      </c>
      <c r="G6" s="40" t="n">
        <v>0.282</v>
      </c>
      <c r="H6" s="40" t="n">
        <v>0.375</v>
      </c>
      <c r="I6" s="40" t="n">
        <v>-0.107</v>
      </c>
      <c r="J6" s="40" t="n">
        <v>0.354</v>
      </c>
      <c r="K6" s="41" t="n">
        <v>78.7</v>
      </c>
      <c r="L6" s="41" t="n">
        <v>75.7</v>
      </c>
      <c r="M6" s="42" t="n">
        <v>73.09999999999999</v>
      </c>
      <c r="N6" s="22" t="n">
        <v>77.8</v>
      </c>
      <c r="O6" s="43" t="inlineStr">
        <is>
          <t>—</t>
        </is>
      </c>
      <c r="P6" s="45" t="n">
        <v>51.7</v>
      </c>
      <c r="Q6" s="28" t="inlineStr">
        <is>
          <t>Medium</t>
        </is>
      </c>
      <c r="R6" s="40" t="n">
        <v>0.0532666</v>
      </c>
      <c r="S6" s="40" t="n">
        <v>-0.1104391</v>
      </c>
      <c r="T6" s="40" t="n">
        <v>0.3106689</v>
      </c>
      <c r="U6" s="40" t="n">
        <v>0.499581</v>
      </c>
      <c r="V6" s="40" t="n">
        <v>0.5574413</v>
      </c>
    </row>
    <row r="7" ht="16" customHeight="1">
      <c r="A7" s="32" t="n">
        <v>3</v>
      </c>
      <c r="B7" s="19" t="inlineStr">
        <is>
          <t>ESI</t>
        </is>
      </c>
      <c r="C7" s="20" t="inlineStr">
        <is>
          <t>Element Solutions Inc</t>
        </is>
      </c>
      <c r="D7" s="21" t="n">
        <v>9705.299999999999</v>
      </c>
      <c r="E7" s="33" t="n">
        <v>39.84</v>
      </c>
      <c r="F7" s="34" t="n">
        <v>0.415</v>
      </c>
      <c r="G7" s="34" t="n">
        <v>0.446</v>
      </c>
      <c r="H7" s="34" t="n">
        <v>0.384</v>
      </c>
      <c r="I7" s="34" t="n">
        <v>0.006999999999999999</v>
      </c>
      <c r="J7" s="34" t="n">
        <v>0.064</v>
      </c>
      <c r="K7" s="35" t="n">
        <v>88.7</v>
      </c>
      <c r="L7" s="35" t="n">
        <v>80</v>
      </c>
      <c r="M7" s="36" t="n">
        <v>69.8</v>
      </c>
      <c r="N7" s="24" t="n">
        <v>58.1</v>
      </c>
      <c r="O7" s="37" t="inlineStr">
        <is>
          <t>—</t>
        </is>
      </c>
      <c r="P7" s="45" t="n">
        <v>52.1</v>
      </c>
      <c r="Q7" s="28" t="inlineStr">
        <is>
          <t>Medium</t>
        </is>
      </c>
      <c r="R7" s="34" t="n">
        <v>-0.0994575</v>
      </c>
      <c r="S7" s="34" t="n">
        <v>0.296453</v>
      </c>
      <c r="T7" s="34" t="n">
        <v>0.5096628</v>
      </c>
      <c r="U7" s="34" t="n">
        <v>0.5942377</v>
      </c>
      <c r="V7" s="34" t="n">
        <v>0.8384864000000001</v>
      </c>
    </row>
    <row r="8" ht="16" customHeight="1">
      <c r="A8" s="32" t="n">
        <v>4</v>
      </c>
      <c r="B8" s="25" t="inlineStr">
        <is>
          <t>AMBA</t>
        </is>
      </c>
      <c r="C8" s="26" t="inlineStr">
        <is>
          <t>Ambarella, Inc.</t>
        </is>
      </c>
      <c r="D8" s="27" t="n">
        <v>2786.5</v>
      </c>
      <c r="E8" s="39" t="n">
        <v>63.52</v>
      </c>
      <c r="F8" s="40" t="n">
        <v>0.169</v>
      </c>
      <c r="G8" s="40" t="n">
        <v>-0.179</v>
      </c>
      <c r="H8" s="40" t="n">
        <v>0.591</v>
      </c>
      <c r="I8" s="40" t="n">
        <v>0.09699999999999999</v>
      </c>
      <c r="J8" s="40" t="n">
        <v>0.057</v>
      </c>
      <c r="K8" s="41" t="n">
        <v>55.7</v>
      </c>
      <c r="L8" s="41" t="n">
        <v>69</v>
      </c>
      <c r="M8" s="42" t="n">
        <v>68.90000000000001</v>
      </c>
      <c r="N8" s="22" t="n">
        <v>80.3</v>
      </c>
      <c r="O8" s="43" t="inlineStr">
        <is>
          <t>—</t>
        </is>
      </c>
      <c r="P8" s="38" t="n">
        <v>20.8</v>
      </c>
      <c r="Q8" s="28" t="inlineStr">
        <is>
          <t>Medium</t>
        </is>
      </c>
      <c r="R8" s="40" t="n">
        <v>-0.1584526</v>
      </c>
      <c r="S8" s="40" t="n">
        <v>0.2126766</v>
      </c>
      <c r="T8" s="40" t="n">
        <v>-0.14278</v>
      </c>
      <c r="U8" s="40" t="n">
        <v>-0.1033315</v>
      </c>
      <c r="V8" s="40" t="n">
        <v>0.1852958</v>
      </c>
    </row>
    <row r="9" ht="16" customHeight="1">
      <c r="A9" s="32" t="n">
        <v>5</v>
      </c>
      <c r="B9" s="19" t="inlineStr">
        <is>
          <t>RUN</t>
        </is>
      </c>
      <c r="C9" s="20" t="inlineStr">
        <is>
          <t>Sunrun Inc.</t>
        </is>
      </c>
      <c r="D9" s="21" t="n">
        <v>3185.8</v>
      </c>
      <c r="E9" s="33" t="n">
        <v>13.355</v>
      </c>
      <c r="F9" s="34" t="n">
        <v>0.4320000000000001</v>
      </c>
      <c r="G9" s="34" t="n">
        <v>0.469</v>
      </c>
      <c r="H9" s="34" t="n">
        <v>0.304</v>
      </c>
      <c r="I9" s="34" t="n">
        <v>0.08599999999999999</v>
      </c>
      <c r="J9" s="34" t="n">
        <v>0.036</v>
      </c>
      <c r="K9" s="35" t="n">
        <v>78.59999999999999</v>
      </c>
      <c r="L9" s="35" t="n">
        <v>76</v>
      </c>
      <c r="M9" s="36" t="n">
        <v>67.90000000000001</v>
      </c>
      <c r="N9" s="24" t="n">
        <v>53.4</v>
      </c>
      <c r="O9" s="37" t="inlineStr">
        <is>
          <t>—</t>
        </is>
      </c>
      <c r="P9" s="38" t="n">
        <v>39.3</v>
      </c>
      <c r="Q9" s="28" t="inlineStr">
        <is>
          <t>Medium</t>
        </is>
      </c>
      <c r="R9" s="34" t="n">
        <v>0.0409197</v>
      </c>
      <c r="S9" s="34" t="n">
        <v>0.1776896</v>
      </c>
      <c r="T9" s="34" t="n">
        <v>-0.2403299</v>
      </c>
      <c r="U9" s="34" t="n">
        <v>-0.2741848</v>
      </c>
      <c r="V9" s="34" t="n">
        <v>0.5693302</v>
      </c>
    </row>
    <row r="10" ht="16" customHeight="1">
      <c r="A10" s="32" t="n">
        <v>6</v>
      </c>
      <c r="B10" s="25" t="inlineStr">
        <is>
          <t>FELE</t>
        </is>
      </c>
      <c r="C10" s="26" t="inlineStr">
        <is>
          <t>Franklin Electric Co., Inc.</t>
        </is>
      </c>
      <c r="D10" s="27" t="n">
        <v>4354.6</v>
      </c>
      <c r="E10" s="39" t="n">
        <v>98.56</v>
      </c>
      <c r="F10" s="40" t="n">
        <v>0.099</v>
      </c>
      <c r="G10" s="40" t="n">
        <v>0.261</v>
      </c>
      <c r="H10" s="40" t="n">
        <v>0.35</v>
      </c>
      <c r="I10" s="40" t="n">
        <v>-0.043</v>
      </c>
      <c r="J10" s="40" t="n">
        <v>0.142</v>
      </c>
      <c r="K10" s="41" t="n">
        <v>73.40000000000001</v>
      </c>
      <c r="L10" s="41" t="n">
        <v>79.5</v>
      </c>
      <c r="M10" s="42" t="n">
        <v>67.7</v>
      </c>
      <c r="N10" s="24" t="n">
        <v>55.3</v>
      </c>
      <c r="O10" s="43" t="inlineStr">
        <is>
          <t>—</t>
        </is>
      </c>
      <c r="P10" s="38" t="n">
        <v>26.8</v>
      </c>
      <c r="Q10" s="28" t="inlineStr">
        <is>
          <t>Medium</t>
        </is>
      </c>
      <c r="R10" s="40" t="n">
        <v>-0.0239651</v>
      </c>
      <c r="S10" s="40" t="n">
        <v>0.0294548</v>
      </c>
      <c r="T10" s="40" t="n">
        <v>0.0471738</v>
      </c>
      <c r="U10" s="40" t="n">
        <v>0.0317178</v>
      </c>
      <c r="V10" s="40" t="n">
        <v>0.1388953</v>
      </c>
    </row>
    <row r="11" ht="16" customHeight="1">
      <c r="A11" s="32" t="n">
        <v>7</v>
      </c>
      <c r="B11" s="19" t="inlineStr">
        <is>
          <t>PATH</t>
        </is>
      </c>
      <c r="C11" s="20" t="inlineStr">
        <is>
          <t>UiPath Inc.</t>
        </is>
      </c>
      <c r="D11" s="21" t="n">
        <v>5978.7</v>
      </c>
      <c r="E11" s="33" t="n">
        <v>11.24</v>
      </c>
      <c r="F11" s="34" t="n">
        <v>0.173</v>
      </c>
      <c r="G11" s="34" t="n">
        <v>0.045</v>
      </c>
      <c r="H11" s="34" t="n">
        <v>0.8109999999999999</v>
      </c>
      <c r="I11" s="34" t="n">
        <v>-0.07000000000000001</v>
      </c>
      <c r="J11" s="34" t="n">
        <v>0.225</v>
      </c>
      <c r="K11" s="35" t="n">
        <v>74.59999999999999</v>
      </c>
      <c r="L11" s="35" t="n">
        <v>60</v>
      </c>
      <c r="M11" s="36" t="n">
        <v>67.40000000000001</v>
      </c>
      <c r="N11" s="24" t="n">
        <v>65.7</v>
      </c>
      <c r="O11" s="37" t="inlineStr">
        <is>
          <t>—</t>
        </is>
      </c>
      <c r="P11" s="38" t="n">
        <v>8.5</v>
      </c>
      <c r="Q11" s="28" t="inlineStr">
        <is>
          <t>Medium</t>
        </is>
      </c>
      <c r="R11" s="34" t="n">
        <v>0.0704762</v>
      </c>
      <c r="S11" s="34" t="n">
        <v>-0.0522766</v>
      </c>
      <c r="T11" s="34" t="n">
        <v>-0.3979646000000001</v>
      </c>
      <c r="U11" s="34" t="n">
        <v>-0.314216</v>
      </c>
      <c r="V11" s="34" t="n">
        <v>-0.1491294</v>
      </c>
    </row>
    <row r="12" ht="16" customHeight="1">
      <c r="A12" s="32" t="n">
        <v>8</v>
      </c>
      <c r="B12" s="25" t="inlineStr">
        <is>
          <t>BRC</t>
        </is>
      </c>
      <c r="C12" s="26" t="inlineStr">
        <is>
          <t>Brady Corporation</t>
        </is>
      </c>
      <c r="D12" s="27" t="n">
        <v>4175.6</v>
      </c>
      <c r="E12" s="39" t="n">
        <v>88.63</v>
      </c>
      <c r="F12" s="40" t="n">
        <v>0.138</v>
      </c>
      <c r="G12" s="40" t="n">
        <v>0.024</v>
      </c>
      <c r="H12" s="40" t="n">
        <v>0.518</v>
      </c>
      <c r="I12" s="40" t="n">
        <v>-0.035</v>
      </c>
      <c r="J12" s="40" t="n">
        <v>0.099</v>
      </c>
      <c r="K12" s="41" t="n">
        <v>71.5</v>
      </c>
      <c r="L12" s="41" t="n">
        <v>78.59999999999999</v>
      </c>
      <c r="M12" s="42" t="n">
        <v>66.7</v>
      </c>
      <c r="N12" s="24" t="n">
        <v>56.5</v>
      </c>
      <c r="O12" s="43" t="inlineStr">
        <is>
          <t>—</t>
        </is>
      </c>
      <c r="P12" s="45" t="n">
        <v>41.7</v>
      </c>
      <c r="Q12" s="28" t="inlineStr">
        <is>
          <t>Medium</t>
        </is>
      </c>
      <c r="R12" s="40" t="n">
        <v>0.09772109999999999</v>
      </c>
      <c r="S12" s="40" t="n">
        <v>-0.009941912400000001</v>
      </c>
      <c r="T12" s="40" t="n">
        <v>0.1386177</v>
      </c>
      <c r="U12" s="40" t="n">
        <v>0.1309174</v>
      </c>
      <c r="V12" s="40" t="n">
        <v>0.2661429</v>
      </c>
    </row>
    <row r="13" ht="16" customHeight="1">
      <c r="A13" s="32" t="n">
        <v>9</v>
      </c>
      <c r="B13" s="19" t="inlineStr">
        <is>
          <t>ALGM</t>
        </is>
      </c>
      <c r="C13" s="20" t="inlineStr">
        <is>
          <t>Allegro MicroSystems, Inc.</t>
        </is>
      </c>
      <c r="D13" s="21" t="n">
        <v>8638.799999999999</v>
      </c>
      <c r="E13" s="33" t="n">
        <v>46.39</v>
      </c>
      <c r="F13" s="34" t="n">
        <v>0.261</v>
      </c>
      <c r="G13" s="34" t="n">
        <v>0.106</v>
      </c>
      <c r="H13" s="34" t="n">
        <v>0.471</v>
      </c>
      <c r="I13" s="34" t="n">
        <v>-0.035</v>
      </c>
      <c r="J13" s="34" t="n">
        <v>0.334</v>
      </c>
      <c r="K13" s="35" t="n">
        <v>82.09999999999999</v>
      </c>
      <c r="L13" s="35" t="n">
        <v>77.3</v>
      </c>
      <c r="M13" s="36" t="n">
        <v>66.2</v>
      </c>
      <c r="N13" s="24" t="n">
        <v>55.9</v>
      </c>
      <c r="O13" s="37" t="inlineStr">
        <is>
          <t>—</t>
        </is>
      </c>
      <c r="P13" s="45" t="n">
        <v>52</v>
      </c>
      <c r="Q13" s="28" t="inlineStr">
        <is>
          <t>Medium</t>
        </is>
      </c>
      <c r="R13" s="34" t="n">
        <v>-0.09694369999999999</v>
      </c>
      <c r="S13" s="34" t="n">
        <v>0.4528656</v>
      </c>
      <c r="T13" s="34" t="n">
        <v>0.5876112</v>
      </c>
      <c r="U13" s="34" t="n">
        <v>0.7585292</v>
      </c>
      <c r="V13" s="34" t="n">
        <v>0.6102048</v>
      </c>
    </row>
    <row r="14" ht="16" customHeight="1">
      <c r="A14" s="32" t="n">
        <v>10</v>
      </c>
      <c r="B14" s="25" t="inlineStr">
        <is>
          <t>LYFT</t>
        </is>
      </c>
      <c r="C14" s="26" t="inlineStr">
        <is>
          <t>Lyft, Inc.</t>
        </is>
      </c>
      <c r="D14" s="27" t="n">
        <v>5182.7</v>
      </c>
      <c r="E14" s="39" t="n">
        <v>13.65</v>
      </c>
      <c r="F14" s="40" t="n">
        <v>0.138</v>
      </c>
      <c r="G14" s="40" t="n">
        <v>0.128</v>
      </c>
      <c r="H14" s="40" t="n">
        <v>0.476</v>
      </c>
      <c r="I14" s="40" t="n">
        <v>0.035</v>
      </c>
      <c r="J14" s="40" t="n">
        <v>0.13</v>
      </c>
      <c r="K14" s="41" t="n">
        <v>75.59999999999999</v>
      </c>
      <c r="L14" s="41" t="n">
        <v>80</v>
      </c>
      <c r="M14" s="42" t="n">
        <v>65.5</v>
      </c>
      <c r="N14" s="41" t="n">
        <v>47.6</v>
      </c>
      <c r="O14" s="43" t="inlineStr">
        <is>
          <t>—</t>
        </is>
      </c>
      <c r="P14" s="38" t="n">
        <v>4</v>
      </c>
      <c r="Q14" s="28" t="inlineStr">
        <is>
          <t>Medium</t>
        </is>
      </c>
      <c r="R14" s="40" t="n">
        <v>-0.040759</v>
      </c>
      <c r="S14" s="40" t="n">
        <v>0.0301887</v>
      </c>
      <c r="T14" s="40" t="n">
        <v>-0.4057466</v>
      </c>
      <c r="U14" s="40" t="n">
        <v>-0.295302</v>
      </c>
      <c r="V14" s="40" t="n">
        <v>-0.121056</v>
      </c>
    </row>
    <row r="17" ht="22" customHeight="1">
      <c r="A17" s="16" t="inlineStr">
        <is>
          <t>SCORE COMPONENT BREAKDOWN</t>
        </is>
      </c>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row>
    <row r="18" ht="18" customHeight="1">
      <c r="A18" s="18" t="inlineStr">
        <is>
          <t>Ticker</t>
        </is>
      </c>
      <c r="B18" s="18" t="inlineStr">
        <is>
          <t>Rev Growth</t>
        </is>
      </c>
      <c r="C18" s="18" t="inlineStr">
        <is>
          <t>Gross Margin</t>
        </is>
      </c>
      <c r="D18" s="18" t="inlineStr">
        <is>
          <t>Dilution</t>
        </is>
      </c>
      <c r="E18" s="18" t="inlineStr">
        <is>
          <t>Insider Own</t>
        </is>
      </c>
      <c r="F18" s="18" t="inlineStr">
        <is>
          <t>Acceleration</t>
        </is>
      </c>
    </row>
    <row r="19" ht="16" customHeight="1">
      <c r="A19" s="19" t="inlineStr">
        <is>
          <t>KRMN</t>
        </is>
      </c>
      <c r="B19" s="35" t="n">
        <v>100</v>
      </c>
      <c r="C19" s="35" t="n">
        <v>100</v>
      </c>
      <c r="D19" s="35" t="n">
        <v>100</v>
      </c>
      <c r="E19" s="35" t="n">
        <v>100</v>
      </c>
      <c r="F19" s="35" t="n">
        <v>100</v>
      </c>
    </row>
    <row r="20" ht="16" customHeight="1">
      <c r="A20" s="25" t="inlineStr">
        <is>
          <t>IPGP</t>
        </is>
      </c>
      <c r="B20" s="41" t="n">
        <v>33.2</v>
      </c>
      <c r="C20" s="41" t="n">
        <v>93.8</v>
      </c>
      <c r="D20" s="41" t="n">
        <v>100</v>
      </c>
      <c r="E20" s="41" t="n">
        <v>100</v>
      </c>
      <c r="F20" s="41" t="n">
        <v>100</v>
      </c>
    </row>
    <row r="21" ht="16" customHeight="1">
      <c r="A21" s="19" t="inlineStr">
        <is>
          <t>ESI</t>
        </is>
      </c>
      <c r="B21" s="35" t="n">
        <v>83</v>
      </c>
      <c r="C21" s="35" t="n">
        <v>96</v>
      </c>
      <c r="D21" s="35" t="n">
        <v>100</v>
      </c>
      <c r="E21" s="35" t="n">
        <v>64</v>
      </c>
      <c r="F21" s="35" t="n">
        <v>100</v>
      </c>
    </row>
    <row r="22" ht="16" customHeight="1">
      <c r="A22" s="25" t="inlineStr">
        <is>
          <t>AMBA</t>
        </is>
      </c>
      <c r="B22" s="41" t="n">
        <v>33.8</v>
      </c>
      <c r="C22" s="41" t="n">
        <v>100</v>
      </c>
      <c r="D22" s="41" t="n">
        <v>81.2</v>
      </c>
      <c r="E22" s="41" t="n">
        <v>57</v>
      </c>
      <c r="F22" s="41" t="n">
        <v>5.3</v>
      </c>
    </row>
    <row r="23" ht="16" customHeight="1">
      <c r="A23" s="19" t="inlineStr">
        <is>
          <t>RUN</t>
        </is>
      </c>
      <c r="B23" s="35" t="n">
        <v>86.40000000000001</v>
      </c>
      <c r="C23" s="35" t="n">
        <v>76</v>
      </c>
      <c r="D23" s="35" t="n">
        <v>85.59999999999999</v>
      </c>
      <c r="E23" s="35" t="n">
        <v>36</v>
      </c>
      <c r="F23" s="35" t="n">
        <v>100</v>
      </c>
    </row>
    <row r="24" ht="16" customHeight="1">
      <c r="A24" s="25" t="inlineStr">
        <is>
          <t>FELE</t>
        </is>
      </c>
      <c r="B24" s="41" t="n">
        <v>19.8</v>
      </c>
      <c r="C24" s="41" t="n">
        <v>87.5</v>
      </c>
      <c r="D24" s="41" t="n">
        <v>100</v>
      </c>
      <c r="E24" s="41" t="n">
        <v>100</v>
      </c>
      <c r="F24" s="41" t="n">
        <v>100</v>
      </c>
    </row>
    <row r="25" ht="16" customHeight="1">
      <c r="A25" s="19" t="inlineStr">
        <is>
          <t>PATH</t>
        </is>
      </c>
      <c r="B25" s="35" t="n">
        <v>34.6</v>
      </c>
      <c r="C25" s="35" t="n">
        <v>100</v>
      </c>
      <c r="D25" s="35" t="n">
        <v>100</v>
      </c>
      <c r="E25" s="35" t="n">
        <v>100</v>
      </c>
      <c r="F25" s="35" t="n">
        <v>61.3</v>
      </c>
    </row>
    <row r="26" ht="16" customHeight="1">
      <c r="A26" s="25" t="inlineStr">
        <is>
          <t>BRC</t>
        </is>
      </c>
      <c r="B26" s="41" t="n">
        <v>27.6</v>
      </c>
      <c r="C26" s="41" t="n">
        <v>100</v>
      </c>
      <c r="D26" s="41" t="n">
        <v>100</v>
      </c>
      <c r="E26" s="41" t="n">
        <v>99</v>
      </c>
      <c r="F26" s="41" t="n">
        <v>56</v>
      </c>
    </row>
    <row r="27" ht="16" customHeight="1">
      <c r="A27" s="19" t="inlineStr">
        <is>
          <t>ALGM</t>
        </is>
      </c>
      <c r="B27" s="35" t="n">
        <v>52.2</v>
      </c>
      <c r="C27" s="35" t="n">
        <v>100</v>
      </c>
      <c r="D27" s="35" t="n">
        <v>100</v>
      </c>
      <c r="E27" s="35" t="n">
        <v>100</v>
      </c>
      <c r="F27" s="35" t="n">
        <v>76.5</v>
      </c>
    </row>
    <row r="28" ht="16" customHeight="1">
      <c r="A28" s="25" t="inlineStr">
        <is>
          <t>LYFT</t>
        </is>
      </c>
      <c r="B28" s="41" t="n">
        <v>27.6</v>
      </c>
      <c r="C28" s="41" t="n">
        <v>100</v>
      </c>
      <c r="D28" s="41" t="n">
        <v>100</v>
      </c>
      <c r="E28" s="41" t="n">
        <v>100</v>
      </c>
      <c r="F28" s="41" t="n">
        <v>82</v>
      </c>
    </row>
    <row r="60">
      <c r="A60" t="inlineStr">
        <is>
          <t>Ticker</t>
        </is>
      </c>
      <c r="B60" t="inlineStr">
        <is>
          <t>Gross Margin</t>
        </is>
      </c>
      <c r="C60" t="inlineStr">
        <is>
          <t>Rev Growth</t>
        </is>
      </c>
      <c r="D60" t="inlineStr">
        <is>
          <t>Mkt Cap</t>
        </is>
      </c>
    </row>
    <row r="61">
      <c r="A61" t="inlineStr">
        <is>
          <t>KRMN</t>
        </is>
      </c>
      <c r="B61" t="n">
        <v>42.2</v>
      </c>
      <c r="C61" t="n">
        <v>51</v>
      </c>
      <c r="D61" t="n">
        <v>6552.1</v>
      </c>
    </row>
    <row r="62">
      <c r="A62" t="inlineStr">
        <is>
          <t>IPGP</t>
        </is>
      </c>
      <c r="B62" t="n">
        <v>37.5</v>
      </c>
      <c r="C62" t="n">
        <v>16.6</v>
      </c>
      <c r="D62" t="n">
        <v>4557.2</v>
      </c>
    </row>
    <row r="63">
      <c r="A63" t="inlineStr">
        <is>
          <t>ESI</t>
        </is>
      </c>
      <c r="B63" t="n">
        <v>38.4</v>
      </c>
      <c r="C63" t="n">
        <v>41.5</v>
      </c>
      <c r="D63" t="n">
        <v>9705.299999999999</v>
      </c>
    </row>
    <row r="64">
      <c r="A64" t="inlineStr">
        <is>
          <t>AMBA</t>
        </is>
      </c>
      <c r="B64" t="n">
        <v>59.1</v>
      </c>
      <c r="C64" t="n">
        <v>16.9</v>
      </c>
      <c r="D64" t="n">
        <v>2786.5</v>
      </c>
    </row>
    <row r="65">
      <c r="A65" t="inlineStr">
        <is>
          <t>RUN</t>
        </is>
      </c>
      <c r="B65" t="n">
        <v>30.4</v>
      </c>
      <c r="C65" t="n">
        <v>43.2</v>
      </c>
      <c r="D65" t="n">
        <v>3185.8</v>
      </c>
    </row>
    <row r="66">
      <c r="A66" t="inlineStr">
        <is>
          <t>FELE</t>
        </is>
      </c>
      <c r="B66" t="n">
        <v>35</v>
      </c>
      <c r="C66" t="n">
        <v>9.9</v>
      </c>
      <c r="D66" t="n">
        <v>4354.6</v>
      </c>
    </row>
    <row r="67">
      <c r="A67" t="inlineStr">
        <is>
          <t>PATH</t>
        </is>
      </c>
      <c r="B67" t="n">
        <v>81.09999999999999</v>
      </c>
      <c r="C67" t="n">
        <v>17.3</v>
      </c>
      <c r="D67" t="n">
        <v>5978.7</v>
      </c>
    </row>
    <row r="68">
      <c r="A68" t="inlineStr">
        <is>
          <t>BRC</t>
        </is>
      </c>
      <c r="B68" t="n">
        <v>51.8</v>
      </c>
      <c r="C68" t="n">
        <v>13.8</v>
      </c>
      <c r="D68" t="n">
        <v>4175.6</v>
      </c>
    </row>
    <row r="69">
      <c r="A69" t="inlineStr">
        <is>
          <t>ALGM</t>
        </is>
      </c>
      <c r="B69" t="n">
        <v>47.1</v>
      </c>
      <c r="C69" t="n">
        <v>26.1</v>
      </c>
      <c r="D69" t="n">
        <v>8638.799999999999</v>
      </c>
    </row>
    <row r="70">
      <c r="A70" t="inlineStr">
        <is>
          <t>LYFT</t>
        </is>
      </c>
      <c r="B70" t="n">
        <v>47.6</v>
      </c>
      <c r="C70" t="n">
        <v>13.8</v>
      </c>
      <c r="D70" t="n">
        <v>5182.7</v>
      </c>
    </row>
  </sheetData>
  <mergeCells count="3">
    <mergeCell ref="A2:V2"/>
    <mergeCell ref="A1:V1"/>
    <mergeCell ref="A17:V17"/>
  </mergeCells>
  <conditionalFormatting sqref="K5:K14">
    <cfRule type="colorScale" priority="1">
      <colorScale>
        <cfvo type="num" val="0"/>
        <cfvo type="num" val="50"/>
        <cfvo type="num" val="100"/>
        <color rgb="00C1121F"/>
        <color rgb="00F9C74F"/>
        <color rgb="001A6B3C"/>
      </colorScale>
    </cfRule>
  </conditionalFormatting>
  <conditionalFormatting sqref="L5:L14">
    <cfRule type="colorScale" priority="2">
      <colorScale>
        <cfvo type="num" val="0"/>
        <cfvo type="num" val="50"/>
        <cfvo type="num" val="100"/>
        <color rgb="00C1121F"/>
        <color rgb="00F9C74F"/>
        <color rgb="001A6B3C"/>
      </colorScale>
    </cfRule>
  </conditionalFormatting>
  <conditionalFormatting sqref="M5:M14">
    <cfRule type="colorScale" priority="3">
      <colorScale>
        <cfvo type="num" val="0"/>
        <cfvo type="num" val="50"/>
        <cfvo type="num" val="100"/>
        <color rgb="00C1121F"/>
        <color rgb="00F9C74F"/>
        <color rgb="001A6B3C"/>
      </colorScale>
    </cfRule>
  </conditionalFormatting>
  <conditionalFormatting sqref="N5:N14">
    <cfRule type="colorScale" priority="4">
      <colorScale>
        <cfvo type="num" val="0"/>
        <cfvo type="num" val="50"/>
        <cfvo type="num" val="100"/>
        <color rgb="00C1121F"/>
        <color rgb="00F9C74F"/>
        <color rgb="001A6B3C"/>
      </colorScale>
    </cfRule>
  </conditionalFormatting>
  <conditionalFormatting sqref="P5:P14">
    <cfRule type="colorScale" priority="5">
      <colorScale>
        <cfvo type="min"/>
        <cfvo type="max"/>
        <color rgb="002A9D8F"/>
        <color rgb="00E76F51"/>
      </colorScale>
    </cfRule>
  </conditionalFormatting>
  <conditionalFormatting sqref="F5:F14">
    <cfRule type="colorScale" priority="6">
      <colorScale>
        <cfvo type="min"/>
        <cfvo type="max"/>
        <color rgb="00FFFFFF"/>
        <color rgb="002A9D8F"/>
      </colorScale>
    </cfRule>
  </conditionalFormatting>
  <conditionalFormatting sqref="H5:H14">
    <cfRule type="colorScale" priority="7">
      <colorScale>
        <cfvo type="min"/>
        <cfvo type="max"/>
        <color rgb="00FFFFFF"/>
        <color rgb="002A9D8F"/>
      </colorScale>
    </cfRule>
  </conditionalFormatting>
  <conditionalFormatting sqref="I5:I14">
    <cfRule type="colorScale" priority="8">
      <colorScale>
        <cfvo type="min"/>
        <cfvo type="max"/>
        <color rgb="002A9D8F"/>
        <color rgb="00E76F51"/>
      </colorScale>
    </cfRule>
  </conditionalFormatting>
  <conditionalFormatting sqref="J5:J14">
    <cfRule type="colorScale" priority="9">
      <colorScale>
        <cfvo type="min"/>
        <cfvo type="max"/>
        <color rgb="00FFFFFF"/>
        <color rgb="002A9D8F"/>
      </colorScale>
    </cfRule>
  </conditionalFormatting>
  <conditionalFormatting sqref="R5:R14">
    <cfRule type="colorScale" priority="10">
      <colorScale>
        <cfvo type="min"/>
        <cfvo type="num" val="0"/>
        <cfvo type="max"/>
        <color rgb="00E76F51"/>
        <color rgb="00FFFFFF"/>
        <color rgb="002A9D8F"/>
      </colorScale>
    </cfRule>
  </conditionalFormatting>
  <conditionalFormatting sqref="S5:S14">
    <cfRule type="colorScale" priority="11">
      <colorScale>
        <cfvo type="min"/>
        <cfvo type="num" val="0"/>
        <cfvo type="max"/>
        <color rgb="00E76F51"/>
        <color rgb="00FFFFFF"/>
        <color rgb="002A9D8F"/>
      </colorScale>
    </cfRule>
  </conditionalFormatting>
  <conditionalFormatting sqref="T5:T14">
    <cfRule type="colorScale" priority="12">
      <colorScale>
        <cfvo type="min"/>
        <cfvo type="num" val="0"/>
        <cfvo type="max"/>
        <color rgb="00E76F51"/>
        <color rgb="00FFFFFF"/>
        <color rgb="002A9D8F"/>
      </colorScale>
    </cfRule>
  </conditionalFormatting>
  <conditionalFormatting sqref="U5:U14">
    <cfRule type="colorScale" priority="13">
      <colorScale>
        <cfvo type="min"/>
        <cfvo type="num" val="0"/>
        <cfvo type="max"/>
        <color rgb="00E76F51"/>
        <color rgb="00FFFFFF"/>
        <color rgb="002A9D8F"/>
      </colorScale>
    </cfRule>
  </conditionalFormatting>
  <conditionalFormatting sqref="V5:V14">
    <cfRule type="colorScale" priority="14">
      <colorScale>
        <cfvo type="min"/>
        <cfvo type="num" val="0"/>
        <cfvo type="max"/>
        <color rgb="00E76F51"/>
        <color rgb="00FFFFFF"/>
        <color rgb="002A9D8F"/>
      </colorScale>
    </cfRule>
  </conditionalFormatting>
  <conditionalFormatting sqref="B19:B28">
    <cfRule type="colorScale" priority="15">
      <colorScale>
        <cfvo type="num" val="0"/>
        <cfvo type="num" val="50"/>
        <cfvo type="num" val="100"/>
        <color rgb="00C1121F"/>
        <color rgb="00F9C74F"/>
        <color rgb="001A6B3C"/>
      </colorScale>
    </cfRule>
  </conditionalFormatting>
  <conditionalFormatting sqref="C19:C28">
    <cfRule type="colorScale" priority="16">
      <colorScale>
        <cfvo type="num" val="0"/>
        <cfvo type="num" val="50"/>
        <cfvo type="num" val="100"/>
        <color rgb="00C1121F"/>
        <color rgb="00F9C74F"/>
        <color rgb="001A6B3C"/>
      </colorScale>
    </cfRule>
  </conditionalFormatting>
  <conditionalFormatting sqref="D19:D28">
    <cfRule type="colorScale" priority="17">
      <colorScale>
        <cfvo type="num" val="0"/>
        <cfvo type="num" val="50"/>
        <cfvo type="num" val="100"/>
        <color rgb="00C1121F"/>
        <color rgb="00F9C74F"/>
        <color rgb="001A6B3C"/>
      </colorScale>
    </cfRule>
  </conditionalFormatting>
  <conditionalFormatting sqref="E19:E28">
    <cfRule type="colorScale" priority="18">
      <colorScale>
        <cfvo type="num" val="0"/>
        <cfvo type="num" val="50"/>
        <cfvo type="num" val="100"/>
        <color rgb="00C1121F"/>
        <color rgb="00F9C74F"/>
        <color rgb="001A6B3C"/>
      </colorScale>
    </cfRule>
  </conditionalFormatting>
  <conditionalFormatting sqref="F19:F28">
    <cfRule type="colorScale" priority="19">
      <colorScale>
        <cfvo type="num" val="0"/>
        <cfvo type="num" val="50"/>
        <cfvo type="num" val="100"/>
        <color rgb="00C1121F"/>
        <color rgb="00F9C74F"/>
        <color rgb="001A6B3C"/>
      </colorScale>
    </cfRule>
  </conditionalFormatting>
  <pageMargins left="0.75" right="0.75" top="1" bottom="1" header="0.5" footer="0.5"/>
  <pageSetup orientation="landscape" fitToWidth="1"/>
  <drawing xmlns:r="http://schemas.openxmlformats.org/officeDocument/2006/relationships" r:id="rId1"/>
</worksheet>
</file>

<file path=xl/worksheets/sheet5.xml><?xml version="1.0" encoding="utf-8"?>
<worksheet xmlns="http://schemas.openxmlformats.org/spreadsheetml/2006/main">
  <sheetPr>
    <tabColor rgb="002E3B4E"/>
    <outlinePr summaryBelow="1" summaryRight="1"/>
    <pageSetUpPr fitToPage="1"/>
  </sheetPr>
  <dimension ref="A1:F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8" customWidth="1" min="3" max="3"/>
    <col width="22" customWidth="1" min="4" max="4"/>
    <col width="12" customWidth="1" min="5" max="5"/>
    <col width="55" customWidth="1" min="6" max="6"/>
  </cols>
  <sheetData>
    <row r="1" ht="28" customHeight="1">
      <c r="A1" s="30" t="inlineStr">
        <is>
          <t>Company Descriptions &amp; Profiles</t>
        </is>
      </c>
      <c r="B1" s="11" t="n"/>
      <c r="C1" s="11" t="n"/>
      <c r="D1" s="11" t="n"/>
      <c r="E1" s="11" t="n"/>
      <c r="F1" s="11" t="n"/>
    </row>
    <row r="2" ht="22" customHeight="1">
      <c r="A2" s="31" t="inlineStr">
        <is>
          <t>All screened companies  |  June 06, 2026</t>
        </is>
      </c>
      <c r="B2" s="12" t="n"/>
      <c r="C2" s="12" t="n"/>
      <c r="D2" s="12" t="n"/>
      <c r="E2" s="12" t="n"/>
      <c r="F2" s="12" t="n"/>
    </row>
    <row r="3" ht="8" customHeight="1"/>
    <row r="4" ht="18" customHeight="1">
      <c r="A4" s="18" t="inlineStr">
        <is>
          <t>Ticker</t>
        </is>
      </c>
      <c r="B4" s="18" t="inlineStr">
        <is>
          <t>Company</t>
        </is>
      </c>
      <c r="C4" s="18" t="inlineStr">
        <is>
          <t>Sector</t>
        </is>
      </c>
      <c r="D4" s="18" t="inlineStr">
        <is>
          <t>Industry</t>
        </is>
      </c>
      <c r="E4" s="18" t="inlineStr">
        <is>
          <t>Tier</t>
        </is>
      </c>
      <c r="F4" s="18" t="inlineStr">
        <is>
          <t>Description</t>
        </is>
      </c>
    </row>
    <row r="5" ht="60" customHeight="1">
      <c r="A5" s="19" t="inlineStr">
        <is>
          <t>KVHI</t>
        </is>
      </c>
      <c r="B5" s="20" t="inlineStr">
        <is>
          <t>KVH Industries, Inc.</t>
        </is>
      </c>
      <c r="C5" s="20" t="inlineStr">
        <is>
          <t>Technology</t>
        </is>
      </c>
      <c r="D5" s="46" t="inlineStr">
        <is>
          <t>Communication Equipment</t>
        </is>
      </c>
      <c r="E5" s="47" t="inlineStr">
        <is>
          <t>Nano Cap</t>
        </is>
      </c>
      <c r="F5" s="48" t="inlineStr">
        <is>
          <t>KVH Industries, Inc. designs, develops, manufactures, and markets mobile connectivity products and services for the marine and land mobile markets in the United States and internationally. The company operates through Mobile Connectivity and Inertial Navigation segments. The company offers mobile satellite TV and communications products; two-way satellite communications systems; onboard TracPhone terminals and hub equipment; data management software; and Iridium OpenPort hardware products and services. It also offers airtime plans that enable customers to obtain Internet and voice services; and value-added, and news and radio content services to retail customers. In addition, the company provides navigation, guidance, and stabilization products for the commercial and defense markets comprising precision fiber optic gyro-based systems; tactical navigation systems for tactical trucks and light armored vehicles; and commercial products, such as navigation and positioning systems for vario</t>
        </is>
      </c>
    </row>
    <row r="6" ht="60" customHeight="1">
      <c r="A6" s="25" t="inlineStr">
        <is>
          <t>SCTQ</t>
        </is>
      </c>
      <c r="B6" s="26" t="inlineStr">
        <is>
          <t>Spectra Systems Corporation</t>
        </is>
      </c>
      <c r="C6" s="26" t="inlineStr">
        <is>
          <t>Technology</t>
        </is>
      </c>
      <c r="D6" s="26" t="inlineStr">
        <is>
          <t>Software - Application</t>
        </is>
      </c>
      <c r="E6" s="49" t="inlineStr">
        <is>
          <t>Nano Cap</t>
        </is>
      </c>
      <c r="F6" s="50" t="inlineStr">
        <is>
          <t>Spectra Systems Corporation invents, develops, and sells integrated optical systems in Rhode Island and internationally. It operates through three segments: Authentication Systems, Secure Transactions, and Banknote Cleaning. The company offers integrated solutions, including a system of taggant materials and sensor technology to authenticate banknotes that are used by central banks, as well as G7 country for passport security; banknote cleaning and disinfection systems that lifts sebum and other substances from the banknote through a dry process based on supercritical CO2 cleaning; and solutions to authenticate brand name products. It also provides optical materials for security and quality control, such as fluorescent and phosphorescent pigments and dyes, invisible pigments and dyes, and gasochromic response materials; customized materials and hardware solutions; and internal control systems used to verify the accuracy of transactions logged by providers of lottery and gaming operator</t>
        </is>
      </c>
    </row>
    <row r="7" ht="60" customHeight="1">
      <c r="A7" s="19" t="inlineStr">
        <is>
          <t>KULR</t>
        </is>
      </c>
      <c r="B7" s="20" t="inlineStr">
        <is>
          <t>KULR Technology Group, Inc.</t>
        </is>
      </c>
      <c r="C7" s="20" t="inlineStr">
        <is>
          <t>Technology</t>
        </is>
      </c>
      <c r="D7" s="20" t="inlineStr">
        <is>
          <t>Hardware, Equipment &amp; Parts</t>
        </is>
      </c>
      <c r="E7" s="47" t="inlineStr">
        <is>
          <t>Nano Cap</t>
        </is>
      </c>
      <c r="F7" s="48" t="inlineStr">
        <is>
          <t>KULR Technology Group, Inc., through its subsidiary, KULR Technology Corporation, develops and commercializes thermal management technologies for batteries, electronics, and other components applications in the United States. It offers lithium-ion battery thermal runaway shields; fiber thermal interface materials; phase change material heatsinks; internal short circuit device; KULR battery cell screening and testing automation system and tech safe case; cellcheck; and CRUX cathodes. The company's technologies are used in electric vehicles, energy storage, battery recycling transportation, cloud computing, and 5G communication devices. It sells its products for applications, such as lithium-ion battery energy storage, electric vehicles, 5G communication, cloud computer infrastructure, consumer, and industrial devices. The company was formerly known as KT High-Tech Marketing Inc. and changed its name to KULR Technology Group, Inc. in August 2018. KULR Technology Group, Inc. was founded i</t>
        </is>
      </c>
    </row>
    <row r="8" ht="60" customHeight="1">
      <c r="A8" s="25" t="inlineStr">
        <is>
          <t>ESP</t>
        </is>
      </c>
      <c r="B8" s="26" t="inlineStr">
        <is>
          <t>Espey Mfg. &amp; Electronics Corp.</t>
        </is>
      </c>
      <c r="C8" s="26" t="inlineStr">
        <is>
          <t>Industrials</t>
        </is>
      </c>
      <c r="D8" s="26" t="inlineStr">
        <is>
          <t>Electrical Equipment &amp; Parts</t>
        </is>
      </c>
      <c r="E8" s="49" t="inlineStr">
        <is>
          <t>Nano Cap</t>
        </is>
      </c>
      <c r="F8" s="50" t="inlineStr">
        <is>
          <t>Espey Mfg. &amp; Electronics Corp., a power electronics design and original equipment manufacturing company, designs, manufactures, and tests electronic equipment primarily for use in military and industrial applications in the United States and internationally. The company's principal products include power supplies, power converters, filters, power transformers, magnetic components, power distribution equipment, UPS systems, antennas, and high-power radar systems for use in AC and DC locomotives, shipboard power, shipboard radar, airborne power, ground-based radar, and ground mobile power applications. It also provides various services comprising design and development to specification, build to print, design services, design studies, environmental testing services, metal fabrication, painting services, and development of automatic testing equipment. In addition, the company produces individual components, such as inductors, printed circuit boards, wires, and tests items. It serves indus</t>
        </is>
      </c>
    </row>
    <row r="9" ht="60" customHeight="1">
      <c r="A9" s="19" t="inlineStr">
        <is>
          <t>BYRN</t>
        </is>
      </c>
      <c r="B9" s="20" t="inlineStr">
        <is>
          <t>Byrna Technologies Inc.</t>
        </is>
      </c>
      <c r="C9" s="20" t="inlineStr">
        <is>
          <t>Industrials</t>
        </is>
      </c>
      <c r="D9" s="51" t="inlineStr">
        <is>
          <t>Aerospace &amp; Defense</t>
        </is>
      </c>
      <c r="E9" s="47" t="inlineStr">
        <is>
          <t>Nano Cap</t>
        </is>
      </c>
      <c r="F9" s="48" t="inlineStr">
        <is>
          <t>Byrna Technologies Inc., a less-lethal defense technology company, develops and manufactures less-lethal munitions. It offers a Byrna line of handheld personal security devices, including the Byrna SD and Byrna SD .68 caliber handheld personal security devices that are designed to be used by civilians and private security professionals, as well as Byrna HD magazines, shoulder-fired launchers, and projectiles. The company also offers accessories and related safety products, including the Byrna Banshee, Byrna Shield, compressed carbon dioxide canisters, sighting systems, holsters, and Byrna-branded apparels. It operates in the United States and South Africa. The company was formerly known as Security Devices International, Inc. and changed its name to Byrna Technologies Inc. in March 2020. Byrna Technologies Inc. was incorporated in 2005 and is headquartered in Andover, Massachusetts.</t>
        </is>
      </c>
    </row>
    <row r="10" ht="60" customHeight="1">
      <c r="A10" s="25" t="inlineStr">
        <is>
          <t>CODA</t>
        </is>
      </c>
      <c r="B10" s="26" t="inlineStr">
        <is>
          <t>Coda Octopus Group, Inc.</t>
        </is>
      </c>
      <c r="C10" s="26" t="inlineStr">
        <is>
          <t>Industrials</t>
        </is>
      </c>
      <c r="D10" s="51" t="inlineStr">
        <is>
          <t>Aerospace &amp; Defense</t>
        </is>
      </c>
      <c r="E10" s="49" t="inlineStr">
        <is>
          <t>Nano Cap</t>
        </is>
      </c>
      <c r="F10" s="50" t="inlineStr">
        <is>
          <t>Coda Octopus Group, Inc., together with its subsidiaries, develops and sells underwater technologies and equipment for 3D imaging, mapping, defense, and survey applications in the Americas, Europe, Australia, Asia, the Middle East, and Africa. The company operates through two segments, Marine Engineering Business and Marine Technology Business. It sells technology solutions to the subsea and underwater markets. The company's solutions include geophysical systems, a geophysical data acquisition systems, processing, and analysis software that are used primarily by survey companies, offshore renewable companies, research institutions, and salvage companies; GNSS-aided navigation systems; Echoscope and Echoscope PIPE used for real time monitoring of cable installations for offshore wind projects; and diver augmented vision display system. It offers CodaOctopus GeoSurvey products, such as hardware and software solutions for field acquisition of sidescan sonar and sub-bottom profiler; and Co</t>
        </is>
      </c>
    </row>
    <row r="11" ht="60" customHeight="1">
      <c r="A11" s="19" t="inlineStr">
        <is>
          <t>INTT</t>
        </is>
      </c>
      <c r="B11" s="20" t="inlineStr">
        <is>
          <t>inTEST Corporation</t>
        </is>
      </c>
      <c r="C11" s="20" t="inlineStr">
        <is>
          <t>Technology</t>
        </is>
      </c>
      <c r="D11" s="52" t="inlineStr">
        <is>
          <t>Semiconductors</t>
        </is>
      </c>
      <c r="E11" s="47" t="inlineStr">
        <is>
          <t>Nano Cap</t>
        </is>
      </c>
      <c r="F11" s="48" t="inlineStr">
        <is>
          <t xml:space="preserve">inTEST Corporation supplies test and process solutions for use in manufacturing and testing in automotive, defense/aerospace, industrial, life sciences, security, and semiconductor markets worldwide. The company operates through two segments, Thermal Products (Thermal) and Electromechanical Semiconductor Products (EMS). The Thermal segment offers ThermoStream products that are used in the semi market as a stand-alone temperature management tool, or in various electronic test applications; Thermal Chambers; Thermal Platforms; Thermonics temperature conditioning products that provide tempered gas or fluid; ultra-cold storage solutions, including biomedical freezers, refrigerators, and mobile storage solutions; EKOHEAT and EASYHEAT induction heating systems; and digital streaming and image capturing solutions. The EMS segment provides in2, Cobal, and LS series manipulators that hold various test heads and enable an operator to reposition a test head for alternate use with various probers </t>
        </is>
      </c>
    </row>
    <row r="12" ht="60" customHeight="1">
      <c r="A12" s="25" t="inlineStr">
        <is>
          <t>WSTL</t>
        </is>
      </c>
      <c r="B12" s="26" t="inlineStr">
        <is>
          <t>Westell Technologies, Inc.</t>
        </is>
      </c>
      <c r="C12" s="26" t="inlineStr">
        <is>
          <t>Technology</t>
        </is>
      </c>
      <c r="D12" s="46" t="inlineStr">
        <is>
          <t>Communication Equipment</t>
        </is>
      </c>
      <c r="E12" s="49" t="inlineStr">
        <is>
          <t>Nano Cap</t>
        </is>
      </c>
      <c r="F12" s="50" t="inlineStr">
        <is>
          <t>Westell Technologies, Inc., through its subsidiary, Westell, Inc., designs, manufactures, and distributes telecommunications products to telephone companies in the United States. It operates through three segments: In-Building Wireless (IBW), Intelligent Site Management (ISM), and Communications Network Solutions (CNS). The IBW segment provides indoor distributed antenna systems (DAS); DAS conditioners and digital repeaters; class A and B repeaters, class A/B fiber DAS systems, and battery backup units; and system components and antennas for cellular services and public safety markets. The ISM segment offers a suite of remote units, which provide machine-to-machine communications that enable operators to remotely monitor, manage, and control site infrastructure and support systems, as well as support and deployment services. The CNS segment provides a range of indoor and outdoor network infrastructure, such as integrated cabinets, power distribution products, copper and fiber network c</t>
        </is>
      </c>
    </row>
    <row r="13" ht="60" customHeight="1">
      <c r="A13" s="19" t="inlineStr">
        <is>
          <t>TAYD</t>
        </is>
      </c>
      <c r="B13" s="20" t="inlineStr">
        <is>
          <t>Taylor Devices, Inc.</t>
        </is>
      </c>
      <c r="C13" s="20" t="inlineStr">
        <is>
          <t>Industrials</t>
        </is>
      </c>
      <c r="D13" s="20" t="inlineStr">
        <is>
          <t>Industrial - Machinery</t>
        </is>
      </c>
      <c r="E13" s="47" t="inlineStr">
        <is>
          <t>Nano Cap</t>
        </is>
      </c>
      <c r="F13" s="48" t="inlineStr">
        <is>
          <t>Taylor Devices, Inc. engages in design, development, manufacture, and marketing of shock absorption, rate control, and energy storage devices for use in machinery, equipment, and structures in North America, Asia, and internationally. Its products include seismic dampers that are designed to mitigate the effects of earthquakes on structures; Fluidicshoks, which are compact shock absorbers primarily used in defense, aerospace, and commercial industries; and crane and industrial buffers, which are larger versions of the Fluidicshoks for industrial application on cranes and crane trolleys, truck docks, ladle and ingot cars, ore trolleys, and car stops. The company's products also comprise self-adjusting shock absorbers that include versions of Fluidicshoks, and crane and industrial buffers, which automatically adjust to various impact conditions and are designed for high cycle application primarily in the heavy industry; liquid die springs that are used as component parts of machinery and</t>
        </is>
      </c>
    </row>
    <row r="14" ht="60" customHeight="1">
      <c r="A14" s="25" t="inlineStr">
        <is>
          <t>LAW</t>
        </is>
      </c>
      <c r="B14" s="26" t="inlineStr">
        <is>
          <t>CS Disco, Inc.</t>
        </is>
      </c>
      <c r="C14" s="26" t="inlineStr">
        <is>
          <t>Technology</t>
        </is>
      </c>
      <c r="D14" s="26" t="inlineStr">
        <is>
          <t>Software - Application</t>
        </is>
      </c>
      <c r="E14" s="49" t="inlineStr">
        <is>
          <t>Nano Cap</t>
        </is>
      </c>
      <c r="F14" s="50" t="inlineStr">
        <is>
          <t>CS Disco, Inc., a legal technology company, provides cloud-native and artificial intelligence-powered legal solutions for ediscovery, legal document review, and case management for enterprises, law firms, legal services providers, and governments. The company offers DISCO Ediscovery, a solution that automates ediscovery process and saves legal departments from manual tasks associated with collecting, processing, enriching, searching, reviewing, analyzing, producing, and using enterprise data that is at issue in legal matters. It also provides DISCO Review, an AI-powered document review solution, which consistently delivers legal document reviews; and DISCO Case Builder, a solution that allows legal professionals to collaborate with teams to build a compelling case by offering a single place to search, organize, and review witness testimony and other legal data. The company's tools are used in various legal matters comprising litigation, investigation, compliance, and diligence. CS Disc</t>
        </is>
      </c>
    </row>
    <row r="15" ht="60" customHeight="1">
      <c r="A15" s="19" t="inlineStr">
        <is>
          <t>EVLV</t>
        </is>
      </c>
      <c r="B15" s="20" t="inlineStr">
        <is>
          <t>Evolv Technologies Holdings, Inc.</t>
        </is>
      </c>
      <c r="C15" s="20" t="inlineStr">
        <is>
          <t>Industrials</t>
        </is>
      </c>
      <c r="D15" s="20" t="inlineStr">
        <is>
          <t>Security &amp; Protection Services</t>
        </is>
      </c>
      <c r="E15" s="47" t="inlineStr">
        <is>
          <t>Small Cap</t>
        </is>
      </c>
      <c r="F15" s="48" t="inlineStr">
        <is>
          <t>Evolv Technologies Holdings, Inc. provides artificial intelligence (AI)-based touchless security screening systems. Its products include Evolv Express, a touchless security screening system designed to detect firearms, improvised explosive devices, and tactical knives as visitors walk through at a normal pace; Evolv Insights that provides self-serve access, insights regarding visitor flow and arrival curves, location specific performance, system detection performance, and alarm statistics; and Evolv Edge to detect non-metallic explosive devices, explosive devices, firearms, and tactical knives without requiring visitors to divest or empty their pockets. The company is headquartered in Waltham, Massachusetts.</t>
        </is>
      </c>
    </row>
    <row r="16" ht="60" customHeight="1">
      <c r="A16" s="25" t="inlineStr">
        <is>
          <t>PKE</t>
        </is>
      </c>
      <c r="B16" s="26" t="inlineStr">
        <is>
          <t>Park Aerospace Corp.</t>
        </is>
      </c>
      <c r="C16" s="26" t="inlineStr">
        <is>
          <t>Industrials</t>
        </is>
      </c>
      <c r="D16" s="51" t="inlineStr">
        <is>
          <t>Aerospace &amp; Defense</t>
        </is>
      </c>
      <c r="E16" s="49" t="inlineStr">
        <is>
          <t>Small Cap</t>
        </is>
      </c>
      <c r="F16" s="50" t="inlineStr">
        <is>
          <t>Park Aerospace Corp. develops and manufactures solution and hot-melt advanced composite materials used to produce composite structures for the aerospace market in North America, Asia, and Europe. It offers advanced composite materials, including film adhesives and lightning strike materials that are used to produce primary and secondary structures for jet engines, large and regional transport aircrafts, military aircrafts, unmanned aerial vehicles, business jets, general aviation aircrafts, and rotary wing aircrafts. The company also provides specialty ablative materials for rocket motors and nozzles; and specially designed materials for radome applications. In addition, it designs and fabricates composite parts, structures and assemblies, and low volume tooling for the aerospace industry. The company was formerly known as Park Electrochemical Corp. and changed its name to Park Aerospace Corp. in July 2019. Park Aerospace Corp. was incorporated in 1954 and is based in Westbury, New Yor</t>
        </is>
      </c>
    </row>
    <row r="17" ht="60" customHeight="1">
      <c r="A17" s="19" t="inlineStr">
        <is>
          <t>DSP</t>
        </is>
      </c>
      <c r="B17" s="20" t="inlineStr">
        <is>
          <t>Viant Technology Inc.</t>
        </is>
      </c>
      <c r="C17" s="20" t="inlineStr">
        <is>
          <t>Technology</t>
        </is>
      </c>
      <c r="D17" s="20" t="inlineStr">
        <is>
          <t>Software - Application</t>
        </is>
      </c>
      <c r="E17" s="47" t="inlineStr">
        <is>
          <t>Small Cap</t>
        </is>
      </c>
      <c r="F17" s="48" t="inlineStr">
        <is>
          <t>Viant Technology Inc. operates as an advertising technology company. It provides ViantAI, an artificial intelligence product suite; Holistic, Omnichannel DSP, an integrated platform that manages omnichannel campaigns and access metrics; Household ID, which combines digital and personal identifiers into a normalized household profile; IRIS_ID, a content identifier that allows partners to share video-level data to power planning, targeting, and measurement solutions in ad-supported streaming media; and Viant Data Platform, which offers the ability to integrate first-party data with data from top third-party data providers in order to obtain key insights, reporting, and attribution opportunities. The company also offers Direct Access, a supply path optimization program that creates a direct path to premium inventory; Advanced Reporting and Measurement that offers conversion lift, multi-touch attribution, foot-traffic data reports, digital-out-of-home lift, sales reporting, and ROAS analyt</t>
        </is>
      </c>
    </row>
    <row r="18" ht="60" customHeight="1">
      <c r="A18" s="25" t="inlineStr">
        <is>
          <t>CMCO</t>
        </is>
      </c>
      <c r="B18" s="26" t="inlineStr">
        <is>
          <t>Columbus McKinnon Corporation</t>
        </is>
      </c>
      <c r="C18" s="26" t="inlineStr">
        <is>
          <t>Industrials</t>
        </is>
      </c>
      <c r="D18" s="26" t="inlineStr">
        <is>
          <t>Agricultural - Machinery</t>
        </is>
      </c>
      <c r="E18" s="49" t="inlineStr">
        <is>
          <t>Small Cap</t>
        </is>
      </c>
      <c r="F18" s="50" t="inlineStr">
        <is>
          <t>Columbus McKinnon Corporation designs, manufactures, and markets intelligent motion solutions to ergonomically move, lift, position, and secure materials worldwide. The company offers electric, air-powered, lever, and hand hoists; hoist trolleys, explosion-protected and custom engineered hoists, and winches; crane systems, such as crane components and kits, enclosed track rail systems, mobile and jib cranes, and fall protection systems, as well as material handling solutions; rigging equipment comprising below-the-hook lifting devices, shackles, chains and chains accessories, forestry and hand tools, lifting slings, lashing systems, and tie-downs and load binders; rotary unions and swivel joints; and mechanical and electromechanical actuators. It also provides power and motion technology products, including AC motor controls and line regenerative systems, automation and diagnostics, brakes, cable and festoon systems, collision avoidance systems, conductor bar systems, DC motor and magn</t>
        </is>
      </c>
    </row>
    <row r="19" ht="60" customHeight="1">
      <c r="A19" s="19" t="inlineStr">
        <is>
          <t>ARLO</t>
        </is>
      </c>
      <c r="B19" s="20" t="inlineStr">
        <is>
          <t>Arlo Technologies, Inc.</t>
        </is>
      </c>
      <c r="C19" s="20" t="inlineStr">
        <is>
          <t>Industrials</t>
        </is>
      </c>
      <c r="D19" s="20" t="inlineStr">
        <is>
          <t>Security &amp; Protection Services</t>
        </is>
      </c>
      <c r="E19" s="47" t="inlineStr">
        <is>
          <t>Small Cap</t>
        </is>
      </c>
      <c r="F19" s="48" t="inlineStr">
        <is>
          <t>Arlo Technologies, Inc., together with its subsidiaries, provides a cloud-based platform in the Americas, Europe, the Middle East, Africa, and the Asia Pacific regions. It combines an intelligent cloud infrastructure and mobile app with various smart connected devices. The company offers Arlo essential indoor camera; Arlo Go 2 LTE/Wi-Fi security camera; Arlo Q and Arlo Q Plus, an indoor wired solution that allows users to monitor their surroundings; and Arlo Go, an LTE-enabled wire-free camera that provides untethered mobile security. It also provides Arlo Baby, a baby monitor with air quality and temperature sensors, motion and audio detection, and advanced night vision; Arlo Chime that pairs with the Arlo Video Doorbell to play a variety of ringtones or act as a siren; Arlo Ultra, an integrated spotlight and crystal-clear two-way audio with advanced noise cancellations camera; Arlo Pro 3, an integrated spotlight with color night vision camera; Arlo Video Doorbell delivers direct-to-m</t>
        </is>
      </c>
    </row>
    <row r="20" ht="60" customHeight="1">
      <c r="A20" s="25" t="inlineStr">
        <is>
          <t>NSSC</t>
        </is>
      </c>
      <c r="B20" s="26" t="inlineStr">
        <is>
          <t>Napco Security Technologies, Inc.</t>
        </is>
      </c>
      <c r="C20" s="26" t="inlineStr">
        <is>
          <t>Industrials</t>
        </is>
      </c>
      <c r="D20" s="26" t="inlineStr">
        <is>
          <t>Security &amp; Protection Services</t>
        </is>
      </c>
      <c r="E20" s="49" t="inlineStr">
        <is>
          <t>Small Cap</t>
        </is>
      </c>
      <c r="F20" s="50" t="inlineStr">
        <is>
          <t>Napco Security Technologies, Inc. develops, manufactures, and sells electronic security products in the United States and internationally. The company offers access control systems, door-locking products, intrusion and fire alarm systems, and video surveillance systems for commercial, residential, institutional, industrial, and governmental applications. Its access control systems include various types of identification readers, control panels, PC-based computers, and electronically activated door-locking devices; and door locking devices comprise microprocessor-based electronic door locks with push button, card readers and bio-metric operation, door alarms, mechanical door locks, and simple dead bolt locks. The company's alarm systems include automatic communicators, cellular communication devices, control panels, combination control panels/digital communicators and digital keypad systems, fire alarm control panels, and area detectors; and video surveillance systems comprise video cam</t>
        </is>
      </c>
    </row>
    <row r="21" ht="60" customHeight="1">
      <c r="A21" s="19" t="inlineStr">
        <is>
          <t>SLP</t>
        </is>
      </c>
      <c r="B21" s="20" t="inlineStr">
        <is>
          <t>Simulations Plus, Inc.</t>
        </is>
      </c>
      <c r="C21" s="20" t="inlineStr">
        <is>
          <t>Healthcare</t>
        </is>
      </c>
      <c r="D21" s="20" t="inlineStr">
        <is>
          <t>Medical - Healthcare Information Services</t>
        </is>
      </c>
      <c r="E21" s="47" t="inlineStr">
        <is>
          <t>Small Cap</t>
        </is>
      </c>
      <c r="F21" s="48" t="inlineStr">
        <is>
          <t>Simulations Plus, Inc. develops drug discovery and development software for modeling and simulation, and prediction of molecular properties utilizing artificial intelligence and machine learning based technology worldwide. It operates through four segments: Simulations Plus, Cognigen, DILIsym, and Lixoft. The company offers GastroPlus, which simulates the absorption and drug interaction of compounds administered to humans and animals; and DDDPlus and MembranePlus simulation products. It also provides products based on mechanistic and mathematical models, such as DILIsym, a quantitative systems pharmacology software; NAFLDsym; IPFsym; RENAsym; and MITOsym. In addition, the company provides Absorption, Distribution, Metabolism, Excretion, and Toxicity Predictor for chemistry-based computer program that takes molecular structures as inputs and predicts their properties; and MedChem Designer, as well as modeling and simulation products comprising MonolixSuite and PKPlus. Further, it provid</t>
        </is>
      </c>
    </row>
    <row r="22" ht="60" customHeight="1">
      <c r="A22" s="25" t="inlineStr">
        <is>
          <t>ADTN</t>
        </is>
      </c>
      <c r="B22" s="26" t="inlineStr">
        <is>
          <t>ADTRAN Holdings, Inc.</t>
        </is>
      </c>
      <c r="C22" s="26" t="inlineStr">
        <is>
          <t>Technology</t>
        </is>
      </c>
      <c r="D22" s="46" t="inlineStr">
        <is>
          <t>Communication Equipment</t>
        </is>
      </c>
      <c r="E22" s="49" t="inlineStr">
        <is>
          <t>Small Cap</t>
        </is>
      </c>
      <c r="F22" s="50" t="inlineStr">
        <is>
          <t>ADTRAN Holdings, Inc., through its subsidiaries, provides end-to-end fiber networking solutions for communications service provider, enterprises, and government customers in the United States, Germany, the United Kingdom, Mexico, and internationally. It operates through two segments, Network Solutions, and Services &amp; Support. The company offers fiber access and fiber to the node platforms; transceivers, cables, and other miscellaneous materials; passive optical network optical line terminals; fiber to the distribution point Gfast distribution point units; cabinet and outside plant enclosures and services; packet optical transports; fixed wireless access platforms; and network management and subscriber services, and control and orchestration software. It also provides broadband customer premises solutions, ethernet switches and routers, residential gateways, cloud-based software-as-a-service management platforms, virtual wireless local area networks, Internet of Things gateways, pre-sal</t>
        </is>
      </c>
    </row>
    <row r="23" ht="60" customHeight="1">
      <c r="A23" s="19" t="inlineStr">
        <is>
          <t>WYFI</t>
        </is>
      </c>
      <c r="B23" s="20" t="inlineStr">
        <is>
          <t>WhiteFiber, Inc. Ordinary Shares</t>
        </is>
      </c>
      <c r="C23" s="20" t="inlineStr">
        <is>
          <t>Technology</t>
        </is>
      </c>
      <c r="D23" s="20" t="inlineStr">
        <is>
          <t>Information Technology Services</t>
        </is>
      </c>
      <c r="E23" s="47" t="inlineStr">
        <is>
          <t>Small Cap</t>
        </is>
      </c>
      <c r="F23" s="48" t="inlineStr">
        <is>
          <t>WhiteFiber, Inc. provides AI-focused infrastructure solutions through the development and operation of GPU-optimized data centers and cloud platforms. The company offers colocation, hosting, and GPU-as-a-service, supporting compute, storage, and networking needs for AI and machine learning workloads. WhiteFiber operates on a vertically integrated model and was spun off from Bit Digital, Inc. before going public in August 2025. It is headquartered in the United States.</t>
        </is>
      </c>
    </row>
    <row r="24" ht="60" customHeight="1">
      <c r="A24" s="25" t="inlineStr">
        <is>
          <t>BLFS</t>
        </is>
      </c>
      <c r="B24" s="26" t="inlineStr">
        <is>
          <t>BioLife Solutions, Inc.</t>
        </is>
      </c>
      <c r="C24" s="26" t="inlineStr">
        <is>
          <t>Healthcare</t>
        </is>
      </c>
      <c r="D24" s="26" t="inlineStr">
        <is>
          <t>Medical - Instruments &amp; Supplies</t>
        </is>
      </c>
      <c r="E24" s="49" t="inlineStr">
        <is>
          <t>Small Cap</t>
        </is>
      </c>
      <c r="F24" s="50" t="inlineStr">
        <is>
          <t>BioLife Solutions, Inc. develops, manufactures, and supplies bioproduction tools and services for the cell and gene therapy industry in the United States, Canada, Europe, the Middle East, Africa, and internationally. The company's products are used in the basic and applied research, and commercial manufacturing of biologic-based therapies. It offers proprietary biopreservation media products, including HypoThermosol FRS and CryoStor that are formulated to mitigate preservation-induced, delayed-onset cell damage and death; and the ThawSTAR line that includes automated vial and cryobag thawing products that control the heat and timing of the thawing process of biologic materials. The company also provides evo shipping containers that are cloud-connected passive storage and transport containers for temperature-sensitive biologics and pharmaceuticals; liquid nitrogen laboratory freezers, cryogenic equipment, and accessories; and biological and pharmaceutical storage services. It markets an</t>
        </is>
      </c>
    </row>
    <row r="25" ht="60" customHeight="1">
      <c r="A25" s="19" t="inlineStr">
        <is>
          <t>KRMN</t>
        </is>
      </c>
      <c r="B25" s="20" t="inlineStr">
        <is>
          <t>Karman Holdings Inc.</t>
        </is>
      </c>
      <c r="C25" s="20" t="inlineStr">
        <is>
          <t>Industrials</t>
        </is>
      </c>
      <c r="D25" s="51" t="inlineStr">
        <is>
          <t>Aerospace &amp; Defense</t>
        </is>
      </c>
      <c r="E25" s="47" t="inlineStr">
        <is>
          <t>Breakout</t>
        </is>
      </c>
      <c r="F25" s="48" t="inlineStr">
        <is>
          <t>Karman Holdings Inc., through its subsidiary, Karman Space and Defense, engages in designing, testing, manufacturing, and sale of mission-critical systems for missile and defense, space programs, hypersonic, and launch vehicle markets. It also supplies metallic and composite flight hardware and sub-assemblies. In addition, the company provides solutions for payload protection and deployment systems, aerodynamic interstage systems, and propulsion systems. The company was incorporated in 2020 and is based in Huntington Beach, California. Karman Holdings Inc. is a subsidiary of TCFIII Spaceco SPV LP.</t>
        </is>
      </c>
    </row>
    <row r="26" ht="60" customHeight="1">
      <c r="A26" s="25" t="inlineStr">
        <is>
          <t>IPGP</t>
        </is>
      </c>
      <c r="B26" s="26" t="inlineStr">
        <is>
          <t>IPG Photonics Corporation</t>
        </is>
      </c>
      <c r="C26" s="26" t="inlineStr">
        <is>
          <t>Technology</t>
        </is>
      </c>
      <c r="D26" s="52" t="inlineStr">
        <is>
          <t>Semiconductors</t>
        </is>
      </c>
      <c r="E26" s="49" t="inlineStr">
        <is>
          <t>Breakout</t>
        </is>
      </c>
      <c r="F26" s="50" t="inlineStr">
        <is>
          <t>IPG Photonics Corporation develops, manufactures, and sells various high-performance fiber lasers, fiber amplifiers, and diode lasers used in various applications primarily in materials processing worldwide. The company's laser products include hybrid fiber-solid state lasers with green and ultraviolet wavelengths; fiber pigtailed packaged diodes and fiber coupled direct diode laser systems; high-energy pulsed lasers, multi-wavelength and tunable lasers, and single-polarization and single-frequency lasers; and high-power optical fiber delivery cables, fiber couplers, beam switches, chillers, scanners, and other accessories. It also provides erbium-doped fiber and Raman amplifiers, and integrated communications systems, which are deployed in broadband networks; and ytterbium and thulium specialty fiber amplifiers and broadband light sources. In addition, the company offers integrated laser systems; 2D compact flat sheet cutter systems and multi-axis systems; welding seam stepper and pic</t>
        </is>
      </c>
    </row>
    <row r="27" ht="60" customHeight="1">
      <c r="A27" s="19" t="inlineStr">
        <is>
          <t>ESI</t>
        </is>
      </c>
      <c r="B27" s="20" t="inlineStr">
        <is>
          <t>Element Solutions Inc</t>
        </is>
      </c>
      <c r="C27" s="20" t="inlineStr">
        <is>
          <t>Basic Materials</t>
        </is>
      </c>
      <c r="D27" s="20" t="inlineStr">
        <is>
          <t>Chemicals - Specialty</t>
        </is>
      </c>
      <c r="E27" s="47" t="inlineStr">
        <is>
          <t>Breakout</t>
        </is>
      </c>
      <c r="F27" s="48" t="inlineStr">
        <is>
          <t>Element Solutions Inc operates as a specialty chemicals company in the United States, China, and internationally. The company operates in two segments, Electronics, and Industrial &amp; Specialty. The Electronics segment researches, formulates, and sells specialty chemicals and materials for various types of electronics hardware products. This segment also supplies solder technologies, fluxes, cleaners, and other attachment materials for the electronics assembly industry; proprietary liquid chemical processes to manufacture printed circuit boards; and advanced copper interconnects, die attachment, wafer bump processes, and photomask technologies for integrated circuit fabrication and semiconductor packaging. It primarily serves mobile communications, computers, automobiles, and aerospace equipment industries. The Industrial &amp; Specialty segment provides industrial solutions, which include chemical systems that protect and decorate metal and plastic surfaces; consumable chemicals that enable</t>
        </is>
      </c>
    </row>
    <row r="28" ht="60" customHeight="1">
      <c r="A28" s="25" t="inlineStr">
        <is>
          <t>AMBA</t>
        </is>
      </c>
      <c r="B28" s="26" t="inlineStr">
        <is>
          <t>Ambarella, Inc.</t>
        </is>
      </c>
      <c r="C28" s="26" t="inlineStr">
        <is>
          <t>Technology</t>
        </is>
      </c>
      <c r="D28" s="52" t="inlineStr">
        <is>
          <t>Semiconductors</t>
        </is>
      </c>
      <c r="E28" s="49" t="inlineStr">
        <is>
          <t>Breakout</t>
        </is>
      </c>
      <c r="F28" s="50" t="inlineStr">
        <is>
          <t>Ambarella, Inc. develops semiconductor solutions for video that enable high-definition (HD) and ultra HD compression, image processing, and deep neural network processing worldwide. The company's system-on-a-chip designs integrated HD video processing, image processing, artificial intelligence computer vision algorithms, audio processing, and system functions onto a single chip for delivering video and image quality, differentiated functionality, and low power consumption. Its solutions are used in automotive cameras, such as automotive video recorders, electronic mirrors, front advanced driver assistance system camera, cabin monitoring system and driver monitoring system camera, and central domain controllers for autonomous vehicle; and professional and home internet protocol security camera; robotics and industrial application, including identification/authentication cameras, robotic products, and sensing cameras, as well as cameras for the home, public spaces, and consumer leisure c</t>
        </is>
      </c>
    </row>
    <row r="29" ht="60" customHeight="1">
      <c r="A29" s="19" t="inlineStr">
        <is>
          <t>RUN</t>
        </is>
      </c>
      <c r="B29" s="20" t="inlineStr">
        <is>
          <t>Sunrun Inc.</t>
        </is>
      </c>
      <c r="C29" s="20" t="inlineStr">
        <is>
          <t>Energy</t>
        </is>
      </c>
      <c r="D29" s="53" t="inlineStr">
        <is>
          <t>Solar</t>
        </is>
      </c>
      <c r="E29" s="47" t="inlineStr">
        <is>
          <t>Breakout</t>
        </is>
      </c>
      <c r="F29" s="48" t="inlineStr">
        <is>
          <t>Sunrun Inc. engages in the design, development, installation, sale, ownership, and maintenance of residential solar energy systems in the United States. It also sells solar energy systems and products, such as panels and racking; and solar leads generated to customers. In addition, the company offers battery storage along with solar energy systems. Its primary customers are residential homeowners. The company markets and sells its products through direct-to-consumer approach across online, retail, mass media, digital media, canvassing, field marketing, and referral channels, as well as its partner network. Sunrun Inc. was founded in 2007 and is headquartered in San Francisco, California.</t>
        </is>
      </c>
    </row>
    <row r="30" ht="60" customHeight="1">
      <c r="A30" s="25" t="inlineStr">
        <is>
          <t>FELE</t>
        </is>
      </c>
      <c r="B30" s="26" t="inlineStr">
        <is>
          <t>Franklin Electric Co., Inc.</t>
        </is>
      </c>
      <c r="C30" s="26" t="inlineStr">
        <is>
          <t>Industrials</t>
        </is>
      </c>
      <c r="D30" s="26" t="inlineStr">
        <is>
          <t>Industrial - Machinery</t>
        </is>
      </c>
      <c r="E30" s="49" t="inlineStr">
        <is>
          <t>Breakout</t>
        </is>
      </c>
      <c r="F30" s="50" t="inlineStr">
        <is>
          <t>Franklin Electric Co., Inc., together with its subsidiaries, designs, manufactures, and distributes water and fuel pumping systems worldwide. It operates through three segments: Water Systems, Fueling Systems, and Distribution. The Water Systems segment offers submersible motors, pumps, drives, electronic controls, water treatment systems, monitoring devices, and related parts and equipment. Its motors and pumps are used principally for pumping clean water and wastewater in various residential, agricultural, municipal, and industrial applications; and manufactures electronic drives and controls that are used in motors for controlling functionality, as well as provides protection from various hazards, such as electrical surges, over-heating, and dry wells or tanks. The Fueling Systems segment provides pumps, pipes, sumps, fittings, vapor recovery components, electronic controls, monitoring devices, and related parts and equipment primarily for use in fueling system applications. This se</t>
        </is>
      </c>
    </row>
    <row r="31" ht="60" customHeight="1">
      <c r="A31" s="19" t="inlineStr">
        <is>
          <t>PATH</t>
        </is>
      </c>
      <c r="B31" s="20" t="inlineStr">
        <is>
          <t>UiPath Inc.</t>
        </is>
      </c>
      <c r="C31" s="20" t="inlineStr">
        <is>
          <t>Technology</t>
        </is>
      </c>
      <c r="D31" s="20" t="inlineStr">
        <is>
          <t>Software - Infrastructure</t>
        </is>
      </c>
      <c r="E31" s="47" t="inlineStr">
        <is>
          <t>Breakout</t>
        </is>
      </c>
      <c r="F31" s="48" t="inlineStr">
        <is>
          <t xml:space="preserve">UiPath Inc. provides an end-to-end automation platform that offers a range of robotic process automation (RPA) solutions primarily in the United States, Romania, and Japan. The company offers a suite of interrelated software to build, manage, run, engage, measure, and govern automation within the organization. Its platform combines artificial intelligence with desktop recording, back-end mining of both human activity and system logs, and intuitive visualization tools, which enables users to discover, analyze, and identify processes to automate in a centralized portal; offers low-code development environments that allows users in an organization to create attended and unattended automations without any prior knowledge of coding; deploys robots in highly immersive attended experiences or in standalone, unattended modes behind the scenes, and can leverage native connectors built for commonly used line-of-business applications; offers centralized tools designed to manage, test, and deploy </t>
        </is>
      </c>
    </row>
    <row r="32" ht="60" customHeight="1">
      <c r="A32" s="25" t="inlineStr">
        <is>
          <t>BRC</t>
        </is>
      </c>
      <c r="B32" s="26" t="inlineStr">
        <is>
          <t>Brady Corporation</t>
        </is>
      </c>
      <c r="C32" s="26" t="inlineStr">
        <is>
          <t>Industrials</t>
        </is>
      </c>
      <c r="D32" s="26" t="inlineStr">
        <is>
          <t>Security &amp; Protection Services</t>
        </is>
      </c>
      <c r="E32" s="49" t="inlineStr">
        <is>
          <t>Breakout</t>
        </is>
      </c>
      <c r="F32" s="50" t="inlineStr">
        <is>
          <t>Brady Corporation manufactures and supplies identification solutions (IDS) and workplace safety (WPS) products to identify and protect premises, products, and people in the United States and internationally. The IDS segment offers safety signs, floor-marking tapes, pipe markers, labeling systems, spill control products, and lockout/tagout devices for facility identification and protection; materials, printing systems, RFID and bar code scanners for product identification, brand protection labeling, work in process labeling, and finished product identification; and hand-held printers, wire markers, sleeves, and tags for wire identification, as well as software and services for safety compliance auditing, procedure writing, and training. Its products also comprise name tags, badges, lanyards, rigid card printing systems, and access control software for people identification; wristbands and labels for tracking and enhancing the safety of patients; and custom wristbands. This segment serve</t>
        </is>
      </c>
    </row>
    <row r="33" ht="60" customHeight="1">
      <c r="A33" s="19" t="inlineStr">
        <is>
          <t>ALGM</t>
        </is>
      </c>
      <c r="B33" s="20" t="inlineStr">
        <is>
          <t>Allegro MicroSystems, Inc.</t>
        </is>
      </c>
      <c r="C33" s="20" t="inlineStr">
        <is>
          <t>Technology</t>
        </is>
      </c>
      <c r="D33" s="52" t="inlineStr">
        <is>
          <t>Semiconductors</t>
        </is>
      </c>
      <c r="E33" s="47" t="inlineStr">
        <is>
          <t>Breakout</t>
        </is>
      </c>
      <c r="F33" s="48" t="inlineStr">
        <is>
          <t>Allegro MicroSystems, Inc. designs, develops, manufactures, and markets sensor integrated circuits (ICs) and application-specific analog power ICs for motion control and energy-efficient systems. Its products include magnetic sensor ICs, such as position, speed, and current sensor ICs; power ICs comprising motor driver ICs, and regulator and LED driver ICs; and photonic and 3D sensing components, including photodiodes, eye-safe lasers, and readout ICs for LiDAR applications. The company sells its products to original equipment manufacturers and suppliers primarily in the automotive and industrial markets through its direct sales force, third party distributors, independent sales representatives, and consignment. It operates in the United States, rest of the Americas, Europe, Japan, Greater China, South Korea, and other Asian markets. The company was founded in 1990 and is headquartered in Manchester, New Hampshire. Allegro MicroSystems, Inc. is a subsidiary of Sanken Electric Co., Ltd.</t>
        </is>
      </c>
    </row>
    <row r="34" ht="60" customHeight="1">
      <c r="A34" s="25" t="inlineStr">
        <is>
          <t>LYFT</t>
        </is>
      </c>
      <c r="B34" s="26" t="inlineStr">
        <is>
          <t>Lyft, Inc.</t>
        </is>
      </c>
      <c r="C34" s="26" t="inlineStr">
        <is>
          <t>Technology</t>
        </is>
      </c>
      <c r="D34" s="26" t="inlineStr">
        <is>
          <t>Software - Application</t>
        </is>
      </c>
      <c r="E34" s="49" t="inlineStr">
        <is>
          <t>Breakout</t>
        </is>
      </c>
      <c r="F34" s="50" t="inlineStr">
        <is>
          <t>Lyft, Inc. operates a peer-to-peer marketplace for on-demand ridesharing in the United States and Canada. The company operates multimodal transportation networks that offer riders personalized and on-demand access to various mobility options. It provides Ridesharing Marketplace, which connects drivers with riders; Express Drive, a flexible car rentals program for drivers; Lyft Rentals that provides vehicles for long-distance trips; and a network of shared bikes and scooters in various cities to address the needs of riders for short trips. The company also integrates third-party public transit data into the Lyft app to offer riders various transportation options. In addition, it offers access to autonomous vehicles; centralized tools and enterprise transportation solutions, such as concierge transportation solutions for organizations; Lyft Pink subscription plans; Lyft Pass commuter programs; first-mile and last-mile services; and university safe rides programs. The company was formerly</t>
        </is>
      </c>
    </row>
  </sheetData>
  <autoFilter ref="A4:F34"/>
  <mergeCells count="2">
    <mergeCell ref="A2:F2"/>
    <mergeCell ref="A1:F1"/>
  </mergeCells>
  <pageMargins left="0.75" right="0.75" top="1" bottom="1" header="0.5" footer="0.5"/>
  <pageSetup orientation="landscape" fitToWidth="1"/>
</worksheet>
</file>

<file path=xl/worksheets/sheet6.xml><?xml version="1.0" encoding="utf-8"?>
<worksheet xmlns="http://schemas.openxmlformats.org/spreadsheetml/2006/main">
  <sheetPr>
    <tabColor rgb="002A9D8F"/>
    <outlinePr summaryBelow="1" summaryRight="1"/>
    <pageSetUpPr fitToPage="1"/>
  </sheetPr>
  <dimension ref="A1:G3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22" customWidth="1" min="3" max="3"/>
    <col width="12" customWidth="1" min="4" max="4"/>
    <col width="10" customWidth="1" min="5" max="5"/>
    <col width="10" customWidth="1" min="6" max="6"/>
    <col width="65" customWidth="1" min="7" max="7"/>
  </cols>
  <sheetData>
    <row r="1" ht="28" customHeight="1">
      <c r="A1" s="30" t="inlineStr">
        <is>
          <t>Competitive Moats &amp; Structural Advantages</t>
        </is>
      </c>
      <c r="B1" s="11" t="n"/>
      <c r="C1" s="11" t="n"/>
      <c r="D1" s="11" t="n"/>
      <c r="E1" s="11" t="n"/>
      <c r="F1" s="11" t="n"/>
      <c r="G1" s="11" t="n"/>
    </row>
    <row r="2" ht="22" customHeight="1">
      <c r="A2" s="31" t="inlineStr">
        <is>
          <t>Derived from financial metrics  |  June 06, 2026</t>
        </is>
      </c>
      <c r="B2" s="12" t="n"/>
      <c r="C2" s="12" t="n"/>
      <c r="D2" s="12" t="n"/>
      <c r="E2" s="12" t="n"/>
      <c r="F2" s="12" t="n"/>
      <c r="G2" s="12" t="n"/>
    </row>
    <row r="3" ht="8" customHeight="1"/>
    <row r="4" ht="18" customHeight="1">
      <c r="A4" s="18" t="inlineStr">
        <is>
          <t>Ticker</t>
        </is>
      </c>
      <c r="B4" s="18" t="inlineStr">
        <is>
          <t>Company</t>
        </is>
      </c>
      <c r="C4" s="18" t="inlineStr">
        <is>
          <t>Industry</t>
        </is>
      </c>
      <c r="D4" s="18" t="inlineStr">
        <is>
          <t>Tier</t>
        </is>
      </c>
      <c r="E4" s="18" t="inlineStr">
        <is>
          <t>GM%</t>
        </is>
      </c>
      <c r="F4" s="18" t="inlineStr">
        <is>
          <t>FP Score</t>
        </is>
      </c>
      <c r="G4" s="18" t="inlineStr">
        <is>
          <t>Moat Analysis</t>
        </is>
      </c>
    </row>
    <row r="5" ht="80" customHeight="1">
      <c r="A5" s="19" t="inlineStr">
        <is>
          <t>KVHI</t>
        </is>
      </c>
      <c r="B5" s="20" t="inlineStr">
        <is>
          <t>KVH Industries, Inc.</t>
        </is>
      </c>
      <c r="C5" s="20" t="inlineStr">
        <is>
          <t>Communication Equipment</t>
        </is>
      </c>
      <c r="D5" s="47" t="inlineStr">
        <is>
          <t>Nano Cap</t>
        </is>
      </c>
      <c r="E5" s="47" t="inlineStr">
        <is>
          <t>29%</t>
        </is>
      </c>
      <c r="F5" s="47" t="inlineStr">
        <is>
          <t>96</t>
        </is>
      </c>
      <c r="G5" s="48" t="inlineStr">
        <is>
          <t>Moderate margins (GM 29%) — competitive market, but cost structure supports reinvestment. Solid revenue growth (27% YoY) suggests growing demand and competitive positioning in target markets. Revenue acceleration (39% QoQ) — growth is compounding, indicating an inflection point or expanding customer adoption. Exceptional capital discipline (1% share growth over 3yr) — management avoids dilution, signaling confidence in organic cash generation. High insider ownership (35%) — founder/management skin in the game strongly aligns incentives with shareholders. Networking/communications infrastructure — installed base and switching costs create customer lock-in. Fingerprint score of 96 — structural profile closely matches historical multi-bagger winners at their inflection points.</t>
        </is>
      </c>
    </row>
    <row r="6" ht="80" customHeight="1">
      <c r="A6" s="25" t="inlineStr">
        <is>
          <t>SCTQ</t>
        </is>
      </c>
      <c r="B6" s="26" t="inlineStr">
        <is>
          <t>Spectra Systems Corporation</t>
        </is>
      </c>
      <c r="C6" s="26" t="inlineStr">
        <is>
          <t>Software - Application</t>
        </is>
      </c>
      <c r="D6" s="49" t="inlineStr">
        <is>
          <t>Nano Cap</t>
        </is>
      </c>
      <c r="E6" s="49" t="inlineStr">
        <is>
          <t>57%</t>
        </is>
      </c>
      <c r="F6" s="49" t="inlineStr">
        <is>
          <t>73</t>
        </is>
      </c>
      <c r="G6" s="50" t="inlineStr">
        <is>
          <t>Healthy margins (GM 57%) indicate differentiated products with some pricing power above commodity levels. Rapid revenue growth (502% YoY) signals strong product-market fit and expanding TAM capture. Reasonable capital discipline (5% 3yr dilution) — moderate equity issuance suggests funded growth without excessive shareholder dilution. Meaningful insider ownership (18%) — management has material personal stake in company performance. Fingerprint score of 73 — structural profile closely matches historical multi-bagger winners at their inflection points.</t>
        </is>
      </c>
    </row>
    <row r="7" ht="80" customHeight="1">
      <c r="A7" s="19" t="inlineStr">
        <is>
          <t>KULR</t>
        </is>
      </c>
      <c r="B7" s="20" t="inlineStr">
        <is>
          <t>KULR Technology Group, Inc.</t>
        </is>
      </c>
      <c r="C7" s="20" t="inlineStr">
        <is>
          <t>Hardware, Equipment &amp; Parts</t>
        </is>
      </c>
      <c r="D7" s="47" t="inlineStr">
        <is>
          <t>Nano Cap</t>
        </is>
      </c>
      <c r="E7" s="47" t="inlineStr">
        <is>
          <t>29%</t>
        </is>
      </c>
      <c r="F7" s="47" t="inlineStr">
        <is>
          <t>99</t>
        </is>
      </c>
      <c r="G7" s="48" t="inlineStr">
        <is>
          <t>Moderate margins (GM 29%) — competitive market, but cost structure supports reinvestment. Rapid revenue growth (98% YoY) signals strong product-market fit and expanding TAM capture. Revenue acceleration (97% QoQ) — growth is compounding, indicating an inflection point or expanding customer adoption. Exceptional capital discipline (-60% share growth over 3yr) — management avoids dilution, signaling confidence in organic cash generation. Fingerprint score of 99 — structural profile closely matches historical multi-bagger winners at their inflection points.</t>
        </is>
      </c>
    </row>
    <row r="8" ht="80" customHeight="1">
      <c r="A8" s="25" t="inlineStr">
        <is>
          <t>ESP</t>
        </is>
      </c>
      <c r="B8" s="26" t="inlineStr">
        <is>
          <t>Espey Mfg. &amp; Electronics Corp.</t>
        </is>
      </c>
      <c r="C8" s="26" t="inlineStr">
        <is>
          <t>Electrical Equipment &amp; Parts</t>
        </is>
      </c>
      <c r="D8" s="49" t="inlineStr">
        <is>
          <t>Nano Cap</t>
        </is>
      </c>
      <c r="E8" s="49" t="inlineStr">
        <is>
          <t>37%</t>
        </is>
      </c>
      <c r="F8" s="49" t="inlineStr">
        <is>
          <t>93</t>
        </is>
      </c>
      <c r="G8" s="50" t="inlineStr">
        <is>
          <t>Moderate margins (GM 37%) — competitive market, but cost structure supports reinvestment. Revenue acceleration (22% QoQ) — growth is compounding, indicating an inflection point or expanding customer adoption. High insider ownership (29%) — founder/management skin in the game strongly aligns incentives with shareholders. Fingerprint score of 93 — structural profile closely matches historical multi-bagger winners at their inflection points.</t>
        </is>
      </c>
    </row>
    <row r="9" ht="80" customHeight="1">
      <c r="A9" s="19" t="inlineStr">
        <is>
          <t>BYRN</t>
        </is>
      </c>
      <c r="B9" s="20" t="inlineStr">
        <is>
          <t>Byrna Technologies Inc.</t>
        </is>
      </c>
      <c r="C9" s="20" t="inlineStr">
        <is>
          <t>Aerospace &amp; Defense</t>
        </is>
      </c>
      <c r="D9" s="47" t="inlineStr">
        <is>
          <t>Nano Cap</t>
        </is>
      </c>
      <c r="E9" s="47" t="inlineStr">
        <is>
          <t>60%</t>
        </is>
      </c>
      <c r="F9" s="47" t="inlineStr">
        <is>
          <t>92</t>
        </is>
      </c>
      <c r="G9" s="48" t="inlineStr">
        <is>
          <t>Healthy margins (GM 60%) indicate differentiated products with some pricing power above commodity levels. Reasonable capital discipline (4% 3yr dilution) — moderate equity issuance suggests funded growth without excessive shareholder dilution. High insider ownership (22%) — founder/management skin in the game strongly aligns incentives with shareholders. Defense/aerospace positioning creates high barriers to entry via security clearances, government contracts, and long procurement cycles. Fingerprint score of 92 — structural profile closely matches historical multi-bagger winners at their inflection points.</t>
        </is>
      </c>
    </row>
    <row r="10" ht="80" customHeight="1">
      <c r="A10" s="25" t="inlineStr">
        <is>
          <t>CODA</t>
        </is>
      </c>
      <c r="B10" s="26" t="inlineStr">
        <is>
          <t>Coda Octopus Group, Inc.</t>
        </is>
      </c>
      <c r="C10" s="26" t="inlineStr">
        <is>
          <t>Aerospace &amp; Defense</t>
        </is>
      </c>
      <c r="D10" s="49" t="inlineStr">
        <is>
          <t>Nano Cap</t>
        </is>
      </c>
      <c r="E10" s="49" t="inlineStr">
        <is>
          <t>65%</t>
        </is>
      </c>
      <c r="F10" s="49" t="inlineStr">
        <is>
          <t>72</t>
        </is>
      </c>
      <c r="G10" s="50" t="inlineStr">
        <is>
          <t>Strong pricing power (GM 65%) suggests proprietary technology or IP-protected products with limited direct competition. Solid revenue growth (29% YoY) suggests growing demand and competitive positioning in target markets. Revenue acceleration (31% QoQ) — growth is compounding, indicating an inflection point or expanding customer adoption. Exceptional capital discipline (2% share growth over 3yr) — management avoids dilution, signaling confidence in organic cash generation. High insider ownership (49%) — founder/management skin in the game strongly aligns incentives with shareholders. Defense/aerospace positioning creates high barriers to entry via security clearances, government contracts, and long procurement cycles. Fingerprint score of 72 — structural profile closely matches historical multi-bagger winners at their inflection points.</t>
        </is>
      </c>
    </row>
    <row r="11" ht="80" customHeight="1">
      <c r="A11" s="19" t="inlineStr">
        <is>
          <t>INTT</t>
        </is>
      </c>
      <c r="B11" s="20" t="inlineStr">
        <is>
          <t>inTEST Corporation</t>
        </is>
      </c>
      <c r="C11" s="20" t="inlineStr">
        <is>
          <t>Semiconductors</t>
        </is>
      </c>
      <c r="D11" s="47" t="inlineStr">
        <is>
          <t>Nano Cap</t>
        </is>
      </c>
      <c r="E11" s="47" t="inlineStr">
        <is>
          <t>43%</t>
        </is>
      </c>
      <c r="F11" s="47" t="inlineStr">
        <is>
          <t>97</t>
        </is>
      </c>
      <c r="G11" s="48" t="inlineStr">
        <is>
          <t>Healthy margins (GM 43%) indicate differentiated products with some pricing power above commodity levels. Solid revenue growth (27% YoY) suggests growing demand and competitive positioning in target markets. Revenue acceleration (49% QoQ) — growth is compounding, indicating an inflection point or expanding customer adoption. Reasonable capital discipline (9% 3yr dilution) — moderate equity issuance suggests funded growth without excessive shareholder dilution. Meaningful insider ownership (14%) — management has material personal stake in company performance. Semiconductor design/fab expertise represents years of R&amp;D investment — a significant moat against new entrants. Fingerprint score of 97 — structural profile closely matches historical multi-bagger winners at their inflection points.</t>
        </is>
      </c>
    </row>
    <row r="12" ht="80" customHeight="1">
      <c r="A12" s="25" t="inlineStr">
        <is>
          <t>WSTL</t>
        </is>
      </c>
      <c r="B12" s="26" t="inlineStr">
        <is>
          <t>Westell Technologies, Inc.</t>
        </is>
      </c>
      <c r="C12" s="26" t="inlineStr">
        <is>
          <t>Communication Equipment</t>
        </is>
      </c>
      <c r="D12" s="49" t="inlineStr">
        <is>
          <t>Nano Cap</t>
        </is>
      </c>
      <c r="E12" s="49" t="inlineStr">
        <is>
          <t>41%</t>
        </is>
      </c>
      <c r="F12" s="49" t="inlineStr">
        <is>
          <t>99</t>
        </is>
      </c>
      <c r="G12" s="50" t="inlineStr">
        <is>
          <t>Healthy margins (GM 41%) indicate differentiated products with some pricing power above commodity levels. Solid revenue growth (47% YoY) suggests growing demand and competitive positioning in target markets. Exceptional capital discipline (-11% share growth over 3yr) — management avoids dilution, signaling confidence in organic cash generation. Meaningful insider ownership (19%) — management has material personal stake in company performance. Networking/communications infrastructure — installed base and switching costs create customer lock-in. Fingerprint score of 99 — structural profile closely matches historical multi-bagger winners at their inflection points.</t>
        </is>
      </c>
    </row>
    <row r="13" ht="80" customHeight="1">
      <c r="A13" s="19" t="inlineStr">
        <is>
          <t>TAYD</t>
        </is>
      </c>
      <c r="B13" s="20" t="inlineStr">
        <is>
          <t>Taylor Devices, Inc.</t>
        </is>
      </c>
      <c r="C13" s="20" t="inlineStr">
        <is>
          <t>Industrial - Machinery</t>
        </is>
      </c>
      <c r="D13" s="47" t="inlineStr">
        <is>
          <t>Nano Cap</t>
        </is>
      </c>
      <c r="E13" s="47" t="inlineStr">
        <is>
          <t>40%</t>
        </is>
      </c>
      <c r="F13" s="47" t="inlineStr">
        <is>
          <t>96</t>
        </is>
      </c>
      <c r="G13" s="48" t="inlineStr">
        <is>
          <t>Healthy margins (GM 40%) indicate differentiated products with some pricing power above commodity levels. Revenue acceleration (18% QoQ) — growth is compounding, indicating an inflection point or expanding customer adoption. Exceptional capital discipline (-10% share growth over 3yr) — management avoids dilution, signaling confidence in organic cash generation. Fingerprint score of 96 — structural profile closely matches historical multi-bagger winners at their inflection points.</t>
        </is>
      </c>
    </row>
    <row r="14" ht="80" customHeight="1">
      <c r="A14" s="25" t="inlineStr">
        <is>
          <t>LAW</t>
        </is>
      </c>
      <c r="B14" s="26" t="inlineStr">
        <is>
          <t>CS Disco, Inc.</t>
        </is>
      </c>
      <c r="C14" s="26" t="inlineStr">
        <is>
          <t>Software - Application</t>
        </is>
      </c>
      <c r="D14" s="49" t="inlineStr">
        <is>
          <t>Nano Cap</t>
        </is>
      </c>
      <c r="E14" s="49" t="inlineStr">
        <is>
          <t>74%</t>
        </is>
      </c>
      <c r="F14" s="49" t="inlineStr">
        <is>
          <t>60</t>
        </is>
      </c>
      <c r="G14" s="50" t="inlineStr">
        <is>
          <t>Strong pricing power (GM 74%) suggests proprietary technology or IP-protected products with limited direct competition. Revenue acceleration (12% QoQ) — growth is compounding, indicating an inflection point or expanding customer adoption. Reasonable capital discipline (6% 3yr dilution) — moderate equity issuance suggests funded growth without excessive shareholder dilution. High insider ownership (58%) — founder/management skin in the game strongly aligns incentives with shareholders.</t>
        </is>
      </c>
    </row>
    <row r="15" ht="80" customHeight="1">
      <c r="A15" s="19" t="inlineStr">
        <is>
          <t>EVLV</t>
        </is>
      </c>
      <c r="B15" s="20" t="inlineStr">
        <is>
          <t>Evolv Technologies Holdings, Inc.</t>
        </is>
      </c>
      <c r="C15" s="20" t="inlineStr">
        <is>
          <t>Security &amp; Protection Services</t>
        </is>
      </c>
      <c r="D15" s="47" t="inlineStr">
        <is>
          <t>Small Cap</t>
        </is>
      </c>
      <c r="E15" s="47" t="inlineStr">
        <is>
          <t>51%</t>
        </is>
      </c>
      <c r="F15" s="47" t="inlineStr">
        <is>
          <t>88</t>
        </is>
      </c>
      <c r="G15" s="48" t="inlineStr">
        <is>
          <t>Healthy margins (GM 51%) indicate differentiated products with some pricing power above commodity levels. Solid revenue growth (45% YoY) suggests growing demand and competitive positioning in target markets. Revenue acceleration (19% QoQ) — growth is compounding, indicating an inflection point or expanding customer adoption. Fingerprint score of 88 — structural profile closely matches historical multi-bagger winners at their inflection points.</t>
        </is>
      </c>
    </row>
    <row r="16" ht="80" customHeight="1">
      <c r="A16" s="25" t="inlineStr">
        <is>
          <t>PKE</t>
        </is>
      </c>
      <c r="B16" s="26" t="inlineStr">
        <is>
          <t>Park Aerospace Corp.</t>
        </is>
      </c>
      <c r="C16" s="26" t="inlineStr">
        <is>
          <t>Aerospace &amp; Defense</t>
        </is>
      </c>
      <c r="D16" s="49" t="inlineStr">
        <is>
          <t>Small Cap</t>
        </is>
      </c>
      <c r="E16" s="49" t="inlineStr">
        <is>
          <t>29%</t>
        </is>
      </c>
      <c r="F16" s="49" t="inlineStr">
        <is>
          <t>100</t>
        </is>
      </c>
      <c r="G16" s="50" t="inlineStr">
        <is>
          <t>Moderate margins (GM 29%) — competitive market, but cost structure supports reinvestment. Solid revenue growth (43% YoY) suggests growing demand and competitive positioning in target markets. Revenue acceleration (22% QoQ) — growth is compounding, indicating an inflection point or expanding customer adoption. Exceptional capital discipline (-1% share growth over 3yr) — management avoids dilution, signaling confidence in organic cash generation. Defense/aerospace positioning creates high barriers to entry via security clearances, government contracts, and long procurement cycles. Fingerprint score of 100 — structural profile closely matches historical multi-bagger winners at their inflection points.</t>
        </is>
      </c>
    </row>
    <row r="17" ht="80" customHeight="1">
      <c r="A17" s="19" t="inlineStr">
        <is>
          <t>DSP</t>
        </is>
      </c>
      <c r="B17" s="20" t="inlineStr">
        <is>
          <t>Viant Technology Inc.</t>
        </is>
      </c>
      <c r="C17" s="20" t="inlineStr">
        <is>
          <t>Software - Application</t>
        </is>
      </c>
      <c r="D17" s="47" t="inlineStr">
        <is>
          <t>Small Cap</t>
        </is>
      </c>
      <c r="E17" s="47" t="inlineStr">
        <is>
          <t>84%</t>
        </is>
      </c>
      <c r="F17" s="47" t="inlineStr">
        <is>
          <t>80</t>
        </is>
      </c>
      <c r="G17" s="48" t="inlineStr">
        <is>
          <t>Strong pricing power (GM 84%) suggests proprietary technology or IP-protected products with limited direct competition. Solid revenue growth (25% YoY) suggests growing demand and competitive positioning in target markets. Revenue acceleration (18% QoQ) — growth is compounding, indicating an inflection point or expanding customer adoption. Exceptional capital discipline (0% share growth over 3yr) — management avoids dilution, signaling confidence in organic cash generation. Meaningful insider ownership (18%) — management has material personal stake in company performance. Fingerprint score of 80 — structural profile closely matches historical multi-bagger winners at their inflection points.</t>
        </is>
      </c>
    </row>
    <row r="18" ht="80" customHeight="1">
      <c r="A18" s="25" t="inlineStr">
        <is>
          <t>CMCO</t>
        </is>
      </c>
      <c r="B18" s="26" t="inlineStr">
        <is>
          <t>Columbus McKinnon Corporation</t>
        </is>
      </c>
      <c r="C18" s="26" t="inlineStr">
        <is>
          <t>Agricultural - Machinery</t>
        </is>
      </c>
      <c r="D18" s="49" t="inlineStr">
        <is>
          <t>Small Cap</t>
        </is>
      </c>
      <c r="E18" s="49" t="inlineStr">
        <is>
          <t>25%</t>
        </is>
      </c>
      <c r="F18" s="49" t="inlineStr">
        <is>
          <t>98</t>
        </is>
      </c>
      <c r="G18" s="50" t="inlineStr">
        <is>
          <t>Moderate margins (GM 25%) — competitive market, but cost structure supports reinvestment. Rapid revenue growth (77% YoY) signals strong product-market fit and expanding TAM capture. Revenue acceleration (74% QoQ) — growth is compounding, indicating an inflection point or expanding customer adoption. Exceptional capital discipline (0% share growth over 3yr) — management avoids dilution, signaling confidence in organic cash generation. Fingerprint score of 98 — structural profile closely matches historical multi-bagger winners at their inflection points.</t>
        </is>
      </c>
    </row>
    <row r="19" ht="80" customHeight="1">
      <c r="A19" s="19" t="inlineStr">
        <is>
          <t>ARLO</t>
        </is>
      </c>
      <c r="B19" s="20" t="inlineStr">
        <is>
          <t>Arlo Technologies, Inc.</t>
        </is>
      </c>
      <c r="C19" s="20" t="inlineStr">
        <is>
          <t>Security &amp; Protection Services</t>
        </is>
      </c>
      <c r="D19" s="47" t="inlineStr">
        <is>
          <t>Small Cap</t>
        </is>
      </c>
      <c r="E19" s="47" t="inlineStr">
        <is>
          <t>48%</t>
        </is>
      </c>
      <c r="F19" s="47" t="inlineStr">
        <is>
          <t>86</t>
        </is>
      </c>
      <c r="G19" s="48" t="inlineStr">
        <is>
          <t>Healthy margins (GM 48%) indicate differentiated products with some pricing power above commodity levels. Solid revenue growth (26% YoY) suggests growing demand and competitive positioning in target markets. Revenue acceleration (33% QoQ) — growth is compounding, indicating an inflection point or expanding customer adoption. Fingerprint score of 86 — structural profile closely matches historical multi-bagger winners at their inflection points.</t>
        </is>
      </c>
    </row>
    <row r="20" ht="80" customHeight="1">
      <c r="A20" s="25" t="inlineStr">
        <is>
          <t>NSSC</t>
        </is>
      </c>
      <c r="B20" s="26" t="inlineStr">
        <is>
          <t>Napco Security Technologies, Inc.</t>
        </is>
      </c>
      <c r="C20" s="26" t="inlineStr">
        <is>
          <t>Security &amp; Protection Services</t>
        </is>
      </c>
      <c r="D20" s="49" t="inlineStr">
        <is>
          <t>Small Cap</t>
        </is>
      </c>
      <c r="E20" s="49" t="inlineStr">
        <is>
          <t>60%</t>
        </is>
      </c>
      <c r="F20" s="49" t="inlineStr">
        <is>
          <t>90</t>
        </is>
      </c>
      <c r="G20" s="50" t="inlineStr">
        <is>
          <t>Strong pricing power (GM 60%) suggests proprietary technology or IP-protected products with limited direct competition. Revenue acceleration (24% QoQ) — growth is compounding, indicating an inflection point or expanding customer adoption. Exceptional capital discipline (-3% share growth over 3yr) — management avoids dilution, signaling confidence in organic cash generation. Fingerprint score of 90 — structural profile closely matches historical multi-bagger winners at their inflection points.</t>
        </is>
      </c>
    </row>
    <row r="21" ht="80" customHeight="1">
      <c r="A21" s="19" t="inlineStr">
        <is>
          <t>SLP</t>
        </is>
      </c>
      <c r="B21" s="20" t="inlineStr">
        <is>
          <t>Simulations Plus, Inc.</t>
        </is>
      </c>
      <c r="C21" s="20" t="inlineStr">
        <is>
          <t>Medical - Healthcare Information Services</t>
        </is>
      </c>
      <c r="D21" s="47" t="inlineStr">
        <is>
          <t>Small Cap</t>
        </is>
      </c>
      <c r="E21" s="47" t="inlineStr">
        <is>
          <t>66%</t>
        </is>
      </c>
      <c r="F21" s="47" t="inlineStr">
        <is>
          <t>86</t>
        </is>
      </c>
      <c r="G21" s="48" t="inlineStr">
        <is>
          <t>Strong pricing power (GM 66%) suggests proprietary technology or IP-protected products with limited direct competition. Exceptional capital discipline (1% share growth over 3yr) — management avoids dilution, signaling confidence in organic cash generation. Meaningful insider ownership (17%) — management has material personal stake in company performance. Fingerprint score of 86 — structural profile closely matches historical multi-bagger winners at their inflection points.</t>
        </is>
      </c>
    </row>
    <row r="22" ht="80" customHeight="1">
      <c r="A22" s="25" t="inlineStr">
        <is>
          <t>ADTN</t>
        </is>
      </c>
      <c r="B22" s="26" t="inlineStr">
        <is>
          <t>ADTRAN Holdings, Inc.</t>
        </is>
      </c>
      <c r="C22" s="26" t="inlineStr">
        <is>
          <t>Communication Equipment</t>
        </is>
      </c>
      <c r="D22" s="49" t="inlineStr">
        <is>
          <t>Small Cap</t>
        </is>
      </c>
      <c r="E22" s="49" t="inlineStr">
        <is>
          <t>40%</t>
        </is>
      </c>
      <c r="F22" s="49" t="inlineStr">
        <is>
          <t>99</t>
        </is>
      </c>
      <c r="G22" s="50" t="inlineStr">
        <is>
          <t>Moderate margins (GM 40%) — competitive market, but cost structure supports reinvestment. Revenue acceleration (6% QoQ) — growth is compounding, indicating an inflection point or expanding customer adoption. Exceptional capital discipline (2% share growth over 3yr) — management avoids dilution, signaling confidence in organic cash generation. Networking/communications infrastructure — installed base and switching costs create customer lock-in. Fingerprint score of 99 — structural profile closely matches historical multi-bagger winners at their inflection points.</t>
        </is>
      </c>
    </row>
    <row r="23" ht="80" customHeight="1">
      <c r="A23" s="19" t="inlineStr">
        <is>
          <t>WYFI</t>
        </is>
      </c>
      <c r="B23" s="20" t="inlineStr">
        <is>
          <t>WhiteFiber, Inc. Ordinary Shares</t>
        </is>
      </c>
      <c r="C23" s="20" t="inlineStr">
        <is>
          <t>Information Technology Services</t>
        </is>
      </c>
      <c r="D23" s="47" t="inlineStr">
        <is>
          <t>Small Cap</t>
        </is>
      </c>
      <c r="E23" s="47" t="inlineStr">
        <is>
          <t>60%</t>
        </is>
      </c>
      <c r="F23" s="47" t="inlineStr">
        <is>
          <t>72</t>
        </is>
      </c>
      <c r="G23" s="48" t="inlineStr">
        <is>
          <t>Strong pricing power (GM 60%) suggests proprietary technology or IP-protected products with limited direct competition. Solid revenue growth (31% YoY) suggests growing demand and competitive positioning in target markets. Exceptional capital discipline (2% share growth over 3yr) — management avoids dilution, signaling confidence in organic cash generation. High insider ownership (75%) — founder/management skin in the game strongly aligns incentives with shareholders. Fingerprint score of 72 — structural profile closely matches historical multi-bagger winners at their inflection points.</t>
        </is>
      </c>
    </row>
    <row r="24" ht="80" customHeight="1">
      <c r="A24" s="25" t="inlineStr">
        <is>
          <t>BLFS</t>
        </is>
      </c>
      <c r="B24" s="26" t="inlineStr">
        <is>
          <t>BioLife Solutions, Inc.</t>
        </is>
      </c>
      <c r="C24" s="26" t="inlineStr">
        <is>
          <t>Medical - Instruments &amp; Supplies</t>
        </is>
      </c>
      <c r="D24" s="49" t="inlineStr">
        <is>
          <t>Small Cap</t>
        </is>
      </c>
      <c r="E24" s="49" t="inlineStr">
        <is>
          <t>63%</t>
        </is>
      </c>
      <c r="F24" s="49" t="inlineStr">
        <is>
          <t>82</t>
        </is>
      </c>
      <c r="G24" s="50" t="inlineStr">
        <is>
          <t>Strong pricing power (GM 63%) suggests proprietary technology or IP-protected products with limited direct competition. Meaningful insider ownership (12%) — management has material personal stake in company performance. Fingerprint score of 82 — structural profile closely matches historical multi-bagger winners at their inflection points.</t>
        </is>
      </c>
    </row>
    <row r="25" ht="80" customHeight="1">
      <c r="A25" s="19" t="inlineStr">
        <is>
          <t>KRMN</t>
        </is>
      </c>
      <c r="B25" s="20" t="inlineStr">
        <is>
          <t>Karman Holdings Inc.</t>
        </is>
      </c>
      <c r="C25" s="20" t="inlineStr">
        <is>
          <t>Aerospace &amp; Defense</t>
        </is>
      </c>
      <c r="D25" s="47" t="inlineStr">
        <is>
          <t>Breakout</t>
        </is>
      </c>
      <c r="E25" s="47" t="inlineStr">
        <is>
          <t>42%</t>
        </is>
      </c>
      <c r="F25" s="47" t="inlineStr">
        <is>
          <t>60</t>
        </is>
      </c>
      <c r="G25" s="48" t="inlineStr">
        <is>
          <t>Healthy margins (GM 42%) indicate differentiated products with some pricing power above commodity levels. Rapid revenue growth (51% YoY) signals strong product-market fit and expanding TAM capture. Revenue acceleration (33% QoQ) — growth is compounding, indicating an inflection point or expanding customer adoption. Exceptional capital discipline (0% share growth over 3yr) — management avoids dilution, signaling confidence in organic cash generation. High insider ownership (78%) — founder/management skin in the game strongly aligns incentives with shareholders. Defense/aerospace positioning creates high barriers to entry via security clearances, government contracts, and long procurement cycles.</t>
        </is>
      </c>
    </row>
    <row r="26" ht="80" customHeight="1">
      <c r="A26" s="25" t="inlineStr">
        <is>
          <t>IPGP</t>
        </is>
      </c>
      <c r="B26" s="26" t="inlineStr">
        <is>
          <t>IPG Photonics Corporation</t>
        </is>
      </c>
      <c r="C26" s="26" t="inlineStr">
        <is>
          <t>Semiconductors</t>
        </is>
      </c>
      <c r="D26" s="49" t="inlineStr">
        <is>
          <t>Breakout</t>
        </is>
      </c>
      <c r="E26" s="49" t="inlineStr">
        <is>
          <t>38%</t>
        </is>
      </c>
      <c r="F26" s="49" t="inlineStr">
        <is>
          <t>76</t>
        </is>
      </c>
      <c r="G26" s="50" t="inlineStr">
        <is>
          <t>Moderate margins (GM 38%) — competitive market, but cost structure supports reinvestment. Revenue acceleration (28% QoQ) — growth is compounding, indicating an inflection point or expanding customer adoption. Exceptional capital discipline (-11% share growth over 3yr) — management avoids dilution, signaling confidence in organic cash generation. High insider ownership (35%) — founder/management skin in the game strongly aligns incentives with shareholders. Semiconductor design/fab expertise represents years of R&amp;D investment — a significant moat against new entrants. Fingerprint score of 76 — structural profile closely matches historical multi-bagger winners at their inflection points.</t>
        </is>
      </c>
    </row>
    <row r="27" ht="80" customHeight="1">
      <c r="A27" s="19" t="inlineStr">
        <is>
          <t>ESI</t>
        </is>
      </c>
      <c r="B27" s="20" t="inlineStr">
        <is>
          <t>Element Solutions Inc</t>
        </is>
      </c>
      <c r="C27" s="20" t="inlineStr">
        <is>
          <t>Chemicals - Specialty</t>
        </is>
      </c>
      <c r="D27" s="47" t="inlineStr">
        <is>
          <t>Breakout</t>
        </is>
      </c>
      <c r="E27" s="47" t="inlineStr">
        <is>
          <t>38%</t>
        </is>
      </c>
      <c r="F27" s="47" t="inlineStr">
        <is>
          <t>80</t>
        </is>
      </c>
      <c r="G27" s="48" t="inlineStr">
        <is>
          <t>Moderate margins (GM 38%) — competitive market, but cost structure supports reinvestment. Solid revenue growth (42% YoY) suggests growing demand and competitive positioning in target markets. Revenue acceleration (45% QoQ) — growth is compounding, indicating an inflection point or expanding customer adoption. Exceptional capital discipline (1% share growth over 3yr) — management avoids dilution, signaling confidence in organic cash generation. Fingerprint score of 80 — structural profile closely matches historical multi-bagger winners at their inflection points.</t>
        </is>
      </c>
    </row>
    <row r="28" ht="80" customHeight="1">
      <c r="A28" s="25" t="inlineStr">
        <is>
          <t>AMBA</t>
        </is>
      </c>
      <c r="B28" s="26" t="inlineStr">
        <is>
          <t>Ambarella, Inc.</t>
        </is>
      </c>
      <c r="C28" s="26" t="inlineStr">
        <is>
          <t>Semiconductors</t>
        </is>
      </c>
      <c r="D28" s="49" t="inlineStr">
        <is>
          <t>Breakout</t>
        </is>
      </c>
      <c r="E28" s="49" t="inlineStr">
        <is>
          <t>59%</t>
        </is>
      </c>
      <c r="F28" s="49" t="inlineStr">
        <is>
          <t>69</t>
        </is>
      </c>
      <c r="G28" s="50" t="inlineStr">
        <is>
          <t>Healthy margins (GM 59%) indicate differentiated products with some pricing power above commodity levels. Reasonable capital discipline (10% 3yr dilution) — moderate equity issuance suggests funded growth without excessive shareholder dilution. Semiconductor design/fab expertise represents years of R&amp;D investment — a significant moat against new entrants. Fingerprint score of 69 — structural profile closely matches historical multi-bagger winners at their inflection points.</t>
        </is>
      </c>
    </row>
    <row r="29" ht="80" customHeight="1">
      <c r="A29" s="19" t="inlineStr">
        <is>
          <t>RUN</t>
        </is>
      </c>
      <c r="B29" s="20" t="inlineStr">
        <is>
          <t>Sunrun Inc.</t>
        </is>
      </c>
      <c r="C29" s="20" t="inlineStr">
        <is>
          <t>Solar</t>
        </is>
      </c>
      <c r="D29" s="47" t="inlineStr">
        <is>
          <t>Breakout</t>
        </is>
      </c>
      <c r="E29" s="47" t="inlineStr">
        <is>
          <t>30%</t>
        </is>
      </c>
      <c r="F29" s="47" t="inlineStr">
        <is>
          <t>76</t>
        </is>
      </c>
      <c r="G29" s="48" t="inlineStr">
        <is>
          <t>Moderate margins (GM 30%) — competitive market, but cost structure supports reinvestment. Solid revenue growth (43% YoY) suggests growing demand and competitive positioning in target markets. Revenue acceleration (47% QoQ) — growth is compounding, indicating an inflection point or expanding customer adoption. Reasonable capital discipline (9% 3yr dilution) — moderate equity issuance suggests funded growth without excessive shareholder dilution. Fingerprint score of 76 — structural profile closely matches historical multi-bagger winners at their inflection points.</t>
        </is>
      </c>
    </row>
    <row r="30" ht="80" customHeight="1">
      <c r="A30" s="25" t="inlineStr">
        <is>
          <t>FELE</t>
        </is>
      </c>
      <c r="B30" s="26" t="inlineStr">
        <is>
          <t>Franklin Electric Co., Inc.</t>
        </is>
      </c>
      <c r="C30" s="26" t="inlineStr">
        <is>
          <t>Industrial - Machinery</t>
        </is>
      </c>
      <c r="D30" s="49" t="inlineStr">
        <is>
          <t>Breakout</t>
        </is>
      </c>
      <c r="E30" s="49" t="inlineStr">
        <is>
          <t>35%</t>
        </is>
      </c>
      <c r="F30" s="49" t="inlineStr">
        <is>
          <t>80</t>
        </is>
      </c>
      <c r="G30" s="50" t="inlineStr">
        <is>
          <t>Moderate margins (GM 35%) — competitive market, but cost structure supports reinvestment. Revenue acceleration (26% QoQ) — growth is compounding, indicating an inflection point or expanding customer adoption. Exceptional capital discipline (-4% share growth over 3yr) — management avoids dilution, signaling confidence in organic cash generation. Meaningful insider ownership (14%) — management has material personal stake in company performance. Fingerprint score of 80 — structural profile closely matches historical multi-bagger winners at their inflection points.</t>
        </is>
      </c>
    </row>
    <row r="31" ht="80" customHeight="1">
      <c r="A31" s="19" t="inlineStr">
        <is>
          <t>PATH</t>
        </is>
      </c>
      <c r="B31" s="20" t="inlineStr">
        <is>
          <t>UiPath Inc.</t>
        </is>
      </c>
      <c r="C31" s="20" t="inlineStr">
        <is>
          <t>Software - Infrastructure</t>
        </is>
      </c>
      <c r="D31" s="47" t="inlineStr">
        <is>
          <t>Breakout</t>
        </is>
      </c>
      <c r="E31" s="47" t="inlineStr">
        <is>
          <t>81%</t>
        </is>
      </c>
      <c r="F31" s="47" t="inlineStr">
        <is>
          <t>60</t>
        </is>
      </c>
      <c r="G31" s="48" t="inlineStr">
        <is>
          <t>Strong pricing power (GM 81%) suggests proprietary technology or IP-protected products with limited direct competition. Exceptional capital discipline (-7% share growth over 3yr) — management avoids dilution, signaling confidence in organic cash generation. High insider ownership (22%) — founder/management skin in the game strongly aligns incentives with shareholders.</t>
        </is>
      </c>
    </row>
    <row r="32" ht="80" customHeight="1">
      <c r="A32" s="25" t="inlineStr">
        <is>
          <t>BRC</t>
        </is>
      </c>
      <c r="B32" s="26" t="inlineStr">
        <is>
          <t>Brady Corporation</t>
        </is>
      </c>
      <c r="C32" s="26" t="inlineStr">
        <is>
          <t>Security &amp; Protection Services</t>
        </is>
      </c>
      <c r="D32" s="49" t="inlineStr">
        <is>
          <t>Breakout</t>
        </is>
      </c>
      <c r="E32" s="49" t="inlineStr">
        <is>
          <t>52%</t>
        </is>
      </c>
      <c r="F32" s="49" t="inlineStr">
        <is>
          <t>79</t>
        </is>
      </c>
      <c r="G32" s="50" t="inlineStr">
        <is>
          <t>Healthy margins (GM 52%) indicate differentiated products with some pricing power above commodity levels. Exceptional capital discipline (-4% share growth over 3yr) — management avoids dilution, signaling confidence in organic cash generation. Fingerprint score of 79 — structural profile closely matches historical multi-bagger winners at their inflection points.</t>
        </is>
      </c>
    </row>
    <row r="33" ht="80" customHeight="1">
      <c r="A33" s="19" t="inlineStr">
        <is>
          <t>ALGM</t>
        </is>
      </c>
      <c r="B33" s="20" t="inlineStr">
        <is>
          <t>Allegro MicroSystems, Inc.</t>
        </is>
      </c>
      <c r="C33" s="20" t="inlineStr">
        <is>
          <t>Semiconductors</t>
        </is>
      </c>
      <c r="D33" s="47" t="inlineStr">
        <is>
          <t>Breakout</t>
        </is>
      </c>
      <c r="E33" s="47" t="inlineStr">
        <is>
          <t>47%</t>
        </is>
      </c>
      <c r="F33" s="47" t="inlineStr">
        <is>
          <t>77</t>
        </is>
      </c>
      <c r="G33" s="48" t="inlineStr">
        <is>
          <t>Healthy margins (GM 47%) indicate differentiated products with some pricing power above commodity levels. Solid revenue growth (26% YoY) suggests growing demand and competitive positioning in target markets. Revenue acceleration (11% QoQ) — growth is compounding, indicating an inflection point or expanding customer adoption. Exceptional capital discipline (-4% share growth over 3yr) — management avoids dilution, signaling confidence in organic cash generation. High insider ownership (33%) — founder/management skin in the game strongly aligns incentives with shareholders. Semiconductor design/fab expertise represents years of R&amp;D investment — a significant moat against new entrants. Fingerprint score of 77 — structural profile closely matches historical multi-bagger winners at their inflection points.</t>
        </is>
      </c>
    </row>
    <row r="34" ht="80" customHeight="1">
      <c r="A34" s="25" t="inlineStr">
        <is>
          <t>LYFT</t>
        </is>
      </c>
      <c r="B34" s="26" t="inlineStr">
        <is>
          <t>Lyft, Inc.</t>
        </is>
      </c>
      <c r="C34" s="26" t="inlineStr">
        <is>
          <t>Software - Application</t>
        </is>
      </c>
      <c r="D34" s="49" t="inlineStr">
        <is>
          <t>Breakout</t>
        </is>
      </c>
      <c r="E34" s="49" t="inlineStr">
        <is>
          <t>48%</t>
        </is>
      </c>
      <c r="F34" s="49" t="inlineStr">
        <is>
          <t>80</t>
        </is>
      </c>
      <c r="G34" s="50" t="inlineStr">
        <is>
          <t>Healthy margins (GM 48%) indicate differentiated products with some pricing power above commodity levels. Revenue acceleration (13% QoQ) — growth is compounding, indicating an inflection point or expanding customer adoption. Reasonable capital discipline (4% 3yr dilution) — moderate equity issuance suggests funded growth without excessive shareholder dilution. Meaningful insider ownership (13%) — management has material personal stake in company performance. Fingerprint score of 80 — structural profile closely matches historical multi-bagger winners at their inflection points.</t>
        </is>
      </c>
    </row>
  </sheetData>
  <autoFilter ref="A4:G34"/>
  <mergeCells count="2">
    <mergeCell ref="A2:G2"/>
    <mergeCell ref="A1:G1"/>
  </mergeCells>
  <pageMargins left="0.75" right="0.75" top="1" bottom="1" header="0.5" footer="0.5"/>
  <pageSetup orientation="landscape" fitToWidth="1"/>
</worksheet>
</file>

<file path=xl/worksheets/sheet7.xml><?xml version="1.0" encoding="utf-8"?>
<worksheet xmlns="http://schemas.openxmlformats.org/spreadsheetml/2006/main">
  <sheetPr>
    <tabColor rgb="00C9A84C"/>
    <outlinePr summaryBelow="1" summaryRight="1"/>
    <pageSetUpPr fitToPage="1"/>
  </sheetPr>
  <dimension ref="A1:N34"/>
  <sheetViews>
    <sheetView showGridLines="0" workbookViewId="0">
      <pane ySplit="3" topLeftCell="A4" activePane="bottomLeft" state="frozen"/>
      <selection pane="bottomLeft" activeCell="A1" sqref="A1"/>
    </sheetView>
  </sheetViews>
  <sheetFormatPr baseColWidth="8" defaultRowHeight="15"/>
  <cols>
    <col width="3" customWidth="1" min="1" max="1"/>
    <col width="6" customWidth="1" min="2" max="2"/>
    <col width="9" customWidth="1" min="3" max="3"/>
    <col width="24" customWidth="1" min="4" max="4"/>
    <col width="14" customWidth="1" min="5" max="5"/>
    <col width="10" customWidth="1" min="6" max="6"/>
    <col width="12" customWidth="1" min="7" max="7"/>
    <col width="3" customWidth="1" min="8" max="8"/>
    <col width="6" customWidth="1" min="9" max="9"/>
    <col width="9" customWidth="1" min="10" max="10"/>
    <col width="24" customWidth="1" min="11" max="11"/>
    <col width="14" customWidth="1" min="12" max="12"/>
    <col width="10" customWidth="1" min="13" max="13"/>
    <col width="12" customWidth="1" min="14" max="14"/>
  </cols>
  <sheetData>
    <row r="1" ht="28" customHeight="1">
      <c r="A1" s="30" t="inlineStr">
        <is>
          <t>CROSS-TIER STANDOUTS</t>
        </is>
      </c>
      <c r="B1" s="11" t="n"/>
      <c r="C1" s="11" t="n"/>
      <c r="D1" s="11" t="n"/>
      <c r="E1" s="11" t="n"/>
      <c r="F1" s="11" t="n"/>
      <c r="G1" s="11" t="n"/>
      <c r="H1" s="11" t="n"/>
      <c r="I1" s="11" t="n"/>
      <c r="J1" s="11" t="n"/>
      <c r="K1" s="11" t="n"/>
      <c r="L1" s="11" t="n"/>
      <c r="M1" s="11" t="n"/>
      <c r="N1" s="11" t="n"/>
    </row>
    <row r="2" ht="22" customHeight="1">
      <c r="A2" s="31" t="inlineStr">
        <is>
          <t>Top performers across all metrics  |  June 06, 2026</t>
        </is>
      </c>
      <c r="B2" s="12" t="n"/>
      <c r="C2" s="12" t="n"/>
      <c r="D2" s="12" t="n"/>
      <c r="E2" s="12" t="n"/>
      <c r="F2" s="12" t="n"/>
      <c r="G2" s="12" t="n"/>
      <c r="H2" s="12" t="n"/>
      <c r="I2" s="12" t="n"/>
      <c r="J2" s="12" t="n"/>
      <c r="K2" s="12" t="n"/>
      <c r="L2" s="12" t="n"/>
      <c r="M2" s="12" t="n"/>
      <c r="N2" s="12" t="n"/>
    </row>
    <row r="3" ht="8" customHeight="1"/>
    <row r="4" ht="22" customHeight="1">
      <c r="B4" s="54" t="inlineStr">
        <is>
          <t>🏆 Highest Score</t>
        </is>
      </c>
      <c r="C4" s="17" t="n"/>
      <c r="D4" s="17" t="n"/>
      <c r="E4" s="17" t="n"/>
      <c r="F4" s="17" t="n"/>
      <c r="G4" s="55" t="n"/>
      <c r="I4" s="54" t="inlineStr">
        <is>
          <t>🔒 Lowest Dilution</t>
        </is>
      </c>
      <c r="J4" s="17" t="n"/>
      <c r="K4" s="17" t="n"/>
      <c r="L4" s="17" t="n"/>
      <c r="M4" s="17" t="n"/>
      <c r="N4" s="55" t="n"/>
    </row>
    <row r="5" ht="18" customHeight="1">
      <c r="B5" s="56" t="inlineStr">
        <is>
          <t>Rank</t>
        </is>
      </c>
      <c r="C5" s="18" t="inlineStr">
        <is>
          <t>Ticker</t>
        </is>
      </c>
      <c r="D5" s="18" t="inlineStr">
        <is>
          <t>Company</t>
        </is>
      </c>
      <c r="E5" s="18" t="inlineStr">
        <is>
          <t>Score</t>
        </is>
      </c>
      <c r="F5" s="18" t="inlineStr">
        <is>
          <t>Tier</t>
        </is>
      </c>
      <c r="G5" s="57" t="inlineStr">
        <is>
          <t>Score</t>
        </is>
      </c>
      <c r="I5" s="56" t="inlineStr">
        <is>
          <t>Rank</t>
        </is>
      </c>
      <c r="J5" s="18" t="inlineStr">
        <is>
          <t>Ticker</t>
        </is>
      </c>
      <c r="K5" s="18" t="inlineStr">
        <is>
          <t>Company</t>
        </is>
      </c>
      <c r="L5" s="18" t="inlineStr">
        <is>
          <t>Dil %</t>
        </is>
      </c>
      <c r="M5" s="18" t="inlineStr">
        <is>
          <t>Tier</t>
        </is>
      </c>
      <c r="N5" s="57" t="inlineStr">
        <is>
          <t>Score</t>
        </is>
      </c>
    </row>
    <row r="6" ht="16" customHeight="1">
      <c r="B6" s="58" t="inlineStr">
        <is>
          <t>🥇</t>
        </is>
      </c>
      <c r="C6" s="19" t="inlineStr">
        <is>
          <t>KVHI</t>
        </is>
      </c>
      <c r="D6" s="20" t="inlineStr">
        <is>
          <t>KVH Industries, Inc.</t>
        </is>
      </c>
      <c r="E6" s="35" t="n">
        <v>84.59999999999999</v>
      </c>
      <c r="F6" s="47" t="inlineStr">
        <is>
          <t>Nano Cap</t>
        </is>
      </c>
      <c r="G6" s="59" t="n">
        <v>84.59999999999999</v>
      </c>
      <c r="I6" s="58" t="inlineStr">
        <is>
          <t>🥇</t>
        </is>
      </c>
      <c r="J6" s="19" t="inlineStr">
        <is>
          <t>KULR</t>
        </is>
      </c>
      <c r="K6" s="20" t="inlineStr">
        <is>
          <t>KULR Technology Group, Inc.</t>
        </is>
      </c>
      <c r="L6" s="35" t="n">
        <v>-59.9</v>
      </c>
      <c r="M6" s="47" t="inlineStr">
        <is>
          <t>Nano Cap</t>
        </is>
      </c>
      <c r="N6" s="59" t="n">
        <v>74.90000000000001</v>
      </c>
    </row>
    <row r="7" ht="16" customHeight="1">
      <c r="B7" s="60" t="inlineStr">
        <is>
          <t>🥈</t>
        </is>
      </c>
      <c r="C7" s="25" t="inlineStr">
        <is>
          <t>EVLV</t>
        </is>
      </c>
      <c r="D7" s="26" t="inlineStr">
        <is>
          <t>Evolv Technologies Holdings, Inc.</t>
        </is>
      </c>
      <c r="E7" s="41" t="n">
        <v>79.2</v>
      </c>
      <c r="F7" s="49" t="inlineStr">
        <is>
          <t>Small Cap</t>
        </is>
      </c>
      <c r="G7" s="61" t="n">
        <v>79.2</v>
      </c>
      <c r="I7" s="60" t="inlineStr">
        <is>
          <t>🥈</t>
        </is>
      </c>
      <c r="J7" s="25" t="inlineStr">
        <is>
          <t>WSTL</t>
        </is>
      </c>
      <c r="K7" s="26" t="inlineStr">
        <is>
          <t>Westell Technologies, Inc.</t>
        </is>
      </c>
      <c r="L7" s="41" t="n">
        <v>-11.3</v>
      </c>
      <c r="M7" s="49" t="inlineStr">
        <is>
          <t>Nano Cap</t>
        </is>
      </c>
      <c r="N7" s="61" t="n">
        <v>70.40000000000001</v>
      </c>
    </row>
    <row r="8" ht="16" customHeight="1">
      <c r="B8" s="58" t="inlineStr">
        <is>
          <t>🥉</t>
        </is>
      </c>
      <c r="C8" s="19" t="inlineStr">
        <is>
          <t>KRMN</t>
        </is>
      </c>
      <c r="D8" s="20" t="inlineStr">
        <is>
          <t>Karman Holdings Inc.</t>
        </is>
      </c>
      <c r="E8" s="35" t="n">
        <v>78.8</v>
      </c>
      <c r="F8" s="47" t="inlineStr">
        <is>
          <t>Breakout</t>
        </is>
      </c>
      <c r="G8" s="59" t="n">
        <v>78.8</v>
      </c>
      <c r="I8" s="58" t="inlineStr">
        <is>
          <t>🥉</t>
        </is>
      </c>
      <c r="J8" s="19" t="inlineStr">
        <is>
          <t>IPGP</t>
        </is>
      </c>
      <c r="K8" s="20" t="inlineStr">
        <is>
          <t>IPG Photonics Corporation</t>
        </is>
      </c>
      <c r="L8" s="35" t="n">
        <v>-10.7</v>
      </c>
      <c r="M8" s="47" t="inlineStr">
        <is>
          <t>Breakout</t>
        </is>
      </c>
      <c r="N8" s="59" t="n">
        <v>73.09999999999999</v>
      </c>
    </row>
    <row r="9" ht="16" customHeight="1">
      <c r="B9" s="60" t="inlineStr">
        <is>
          <t>4th</t>
        </is>
      </c>
      <c r="C9" s="25" t="inlineStr">
        <is>
          <t>SCTQ</t>
        </is>
      </c>
      <c r="D9" s="26" t="inlineStr">
        <is>
          <t>Spectra Systems Corporation</t>
        </is>
      </c>
      <c r="E9" s="41" t="n">
        <v>75.59999999999999</v>
      </c>
      <c r="F9" s="49" t="inlineStr">
        <is>
          <t>Nano Cap</t>
        </is>
      </c>
      <c r="G9" s="61" t="n">
        <v>75.59999999999999</v>
      </c>
      <c r="I9" s="60" t="inlineStr">
        <is>
          <t>4th</t>
        </is>
      </c>
      <c r="J9" s="25" t="inlineStr">
        <is>
          <t>TAYD</t>
        </is>
      </c>
      <c r="K9" s="26" t="inlineStr">
        <is>
          <t>Taylor Devices, Inc.</t>
        </is>
      </c>
      <c r="L9" s="41" t="n">
        <v>-10.4</v>
      </c>
      <c r="M9" s="49" t="inlineStr">
        <is>
          <t>Nano Cap</t>
        </is>
      </c>
      <c r="N9" s="61" t="n">
        <v>69.8</v>
      </c>
    </row>
    <row r="10" ht="16" customHeight="1">
      <c r="B10" s="58" t="inlineStr">
        <is>
          <t>5th</t>
        </is>
      </c>
      <c r="C10" s="19" t="inlineStr">
        <is>
          <t>KULR</t>
        </is>
      </c>
      <c r="D10" s="20" t="inlineStr">
        <is>
          <t>KULR Technology Group, Inc.</t>
        </is>
      </c>
      <c r="E10" s="35" t="n">
        <v>74.90000000000001</v>
      </c>
      <c r="F10" s="47" t="inlineStr">
        <is>
          <t>Nano Cap</t>
        </is>
      </c>
      <c r="G10" s="59" t="n">
        <v>74.90000000000001</v>
      </c>
      <c r="I10" s="58" t="inlineStr">
        <is>
          <t>5th</t>
        </is>
      </c>
      <c r="J10" s="19" t="inlineStr">
        <is>
          <t>PATH</t>
        </is>
      </c>
      <c r="K10" s="20" t="inlineStr">
        <is>
          <t>UiPath Inc.</t>
        </is>
      </c>
      <c r="L10" s="35" t="n">
        <v>-7</v>
      </c>
      <c r="M10" s="47" t="inlineStr">
        <is>
          <t>Breakout</t>
        </is>
      </c>
      <c r="N10" s="59" t="n">
        <v>67.40000000000001</v>
      </c>
    </row>
    <row r="12" ht="22" customHeight="1">
      <c r="B12" s="54" t="inlineStr">
        <is>
          <t>🧬 Best Fingerprint</t>
        </is>
      </c>
      <c r="C12" s="17" t="n"/>
      <c r="D12" s="17" t="n"/>
      <c r="E12" s="17" t="n"/>
      <c r="F12" s="17" t="n"/>
      <c r="G12" s="55" t="n"/>
      <c r="I12" s="54" t="inlineStr">
        <is>
          <t>👤 Highest Insider</t>
        </is>
      </c>
      <c r="J12" s="17" t="n"/>
      <c r="K12" s="17" t="n"/>
      <c r="L12" s="17" t="n"/>
      <c r="M12" s="17" t="n"/>
      <c r="N12" s="55" t="n"/>
    </row>
    <row r="13" ht="18" customHeight="1">
      <c r="B13" s="56" t="inlineStr">
        <is>
          <t>Rank</t>
        </is>
      </c>
      <c r="C13" s="18" t="inlineStr">
        <is>
          <t>Ticker</t>
        </is>
      </c>
      <c r="D13" s="18" t="inlineStr">
        <is>
          <t>Company</t>
        </is>
      </c>
      <c r="E13" s="18" t="inlineStr">
        <is>
          <t>FP Score</t>
        </is>
      </c>
      <c r="F13" s="18" t="inlineStr">
        <is>
          <t>Tier</t>
        </is>
      </c>
      <c r="G13" s="57" t="inlineStr">
        <is>
          <t>Score</t>
        </is>
      </c>
      <c r="I13" s="56" t="inlineStr">
        <is>
          <t>Rank</t>
        </is>
      </c>
      <c r="J13" s="18" t="inlineStr">
        <is>
          <t>Ticker</t>
        </is>
      </c>
      <c r="K13" s="18" t="inlineStr">
        <is>
          <t>Company</t>
        </is>
      </c>
      <c r="L13" s="18" t="inlineStr">
        <is>
          <t>Insider %</t>
        </is>
      </c>
      <c r="M13" s="18" t="inlineStr">
        <is>
          <t>Tier</t>
        </is>
      </c>
      <c r="N13" s="57" t="inlineStr">
        <is>
          <t>Score</t>
        </is>
      </c>
    </row>
    <row r="14" ht="16" customHeight="1">
      <c r="B14" s="58" t="inlineStr">
        <is>
          <t>🥇</t>
        </is>
      </c>
      <c r="C14" s="19" t="inlineStr">
        <is>
          <t>PKE</t>
        </is>
      </c>
      <c r="D14" s="20" t="inlineStr">
        <is>
          <t>Park Aerospace Corp.</t>
        </is>
      </c>
      <c r="E14" s="35" t="n">
        <v>100</v>
      </c>
      <c r="F14" s="47" t="inlineStr">
        <is>
          <t>Small Cap</t>
        </is>
      </c>
      <c r="G14" s="59" t="n">
        <v>74.59999999999999</v>
      </c>
      <c r="I14" s="58" t="inlineStr">
        <is>
          <t>🥇</t>
        </is>
      </c>
      <c r="J14" s="19" t="inlineStr">
        <is>
          <t>KRMN</t>
        </is>
      </c>
      <c r="K14" s="20" t="inlineStr">
        <is>
          <t>Karman Holdings Inc.</t>
        </is>
      </c>
      <c r="L14" s="35" t="n">
        <v>77.7</v>
      </c>
      <c r="M14" s="47" t="inlineStr">
        <is>
          <t>Breakout</t>
        </is>
      </c>
      <c r="N14" s="59" t="n">
        <v>78.8</v>
      </c>
    </row>
    <row r="15" ht="16" customHeight="1">
      <c r="B15" s="60" t="inlineStr">
        <is>
          <t>🥈</t>
        </is>
      </c>
      <c r="C15" s="25" t="inlineStr">
        <is>
          <t>ADTN</t>
        </is>
      </c>
      <c r="D15" s="26" t="inlineStr">
        <is>
          <t>ADTRAN Holdings, Inc.</t>
        </is>
      </c>
      <c r="E15" s="41" t="n">
        <v>99.2</v>
      </c>
      <c r="F15" s="49" t="inlineStr">
        <is>
          <t>Small Cap</t>
        </is>
      </c>
      <c r="G15" s="61" t="n">
        <v>68.59999999999999</v>
      </c>
      <c r="I15" s="60" t="inlineStr">
        <is>
          <t>🥈</t>
        </is>
      </c>
      <c r="J15" s="25" t="inlineStr">
        <is>
          <t>WYFI</t>
        </is>
      </c>
      <c r="K15" s="26" t="inlineStr">
        <is>
          <t>WhiteFiber, Inc. Ordinary Shares</t>
        </is>
      </c>
      <c r="L15" s="41" t="n">
        <v>75.3</v>
      </c>
      <c r="M15" s="49" t="inlineStr">
        <is>
          <t>Small Cap</t>
        </is>
      </c>
      <c r="N15" s="61" t="n">
        <v>68.5</v>
      </c>
    </row>
    <row r="16" ht="16" customHeight="1">
      <c r="B16" s="58" t="inlineStr">
        <is>
          <t>🥉</t>
        </is>
      </c>
      <c r="C16" s="19" t="inlineStr">
        <is>
          <t>KULR</t>
        </is>
      </c>
      <c r="D16" s="20" t="inlineStr">
        <is>
          <t>KULR Technology Group, Inc.</t>
        </is>
      </c>
      <c r="E16" s="35" t="n">
        <v>98.90000000000001</v>
      </c>
      <c r="F16" s="47" t="inlineStr">
        <is>
          <t>Nano Cap</t>
        </is>
      </c>
      <c r="G16" s="59" t="n">
        <v>74.90000000000001</v>
      </c>
      <c r="I16" s="58" t="inlineStr">
        <is>
          <t>🥉</t>
        </is>
      </c>
      <c r="J16" s="19" t="inlineStr">
        <is>
          <t>LAW</t>
        </is>
      </c>
      <c r="K16" s="20" t="inlineStr">
        <is>
          <t>CS Disco, Inc.</t>
        </is>
      </c>
      <c r="L16" s="35" t="n">
        <v>57.5</v>
      </c>
      <c r="M16" s="47" t="inlineStr">
        <is>
          <t>Nano Cap</t>
        </is>
      </c>
      <c r="N16" s="59" t="n">
        <v>68.2</v>
      </c>
    </row>
    <row r="17" ht="16" customHeight="1">
      <c r="B17" s="60" t="inlineStr">
        <is>
          <t>4th</t>
        </is>
      </c>
      <c r="C17" s="25" t="inlineStr">
        <is>
          <t>WSTL</t>
        </is>
      </c>
      <c r="D17" s="26" t="inlineStr">
        <is>
          <t>Westell Technologies, Inc.</t>
        </is>
      </c>
      <c r="E17" s="41" t="n">
        <v>98.59999999999999</v>
      </c>
      <c r="F17" s="49" t="inlineStr">
        <is>
          <t>Nano Cap</t>
        </is>
      </c>
      <c r="G17" s="61" t="n">
        <v>70.40000000000001</v>
      </c>
      <c r="I17" s="60" t="inlineStr">
        <is>
          <t>4th</t>
        </is>
      </c>
      <c r="J17" s="25" t="inlineStr">
        <is>
          <t>CODA</t>
        </is>
      </c>
      <c r="K17" s="26" t="inlineStr">
        <is>
          <t>Coda Octopus Group, Inc.</t>
        </is>
      </c>
      <c r="L17" s="41" t="n">
        <v>49.1</v>
      </c>
      <c r="M17" s="49" t="inlineStr">
        <is>
          <t>Nano Cap</t>
        </is>
      </c>
      <c r="N17" s="61" t="n">
        <v>72.59999999999999</v>
      </c>
    </row>
    <row r="18" ht="16" customHeight="1">
      <c r="B18" s="58" t="inlineStr">
        <is>
          <t>5th</t>
        </is>
      </c>
      <c r="C18" s="19" t="inlineStr">
        <is>
          <t>CMCO</t>
        </is>
      </c>
      <c r="D18" s="20" t="inlineStr">
        <is>
          <t>Columbus McKinnon Corporation</t>
        </is>
      </c>
      <c r="E18" s="35" t="n">
        <v>98.2</v>
      </c>
      <c r="F18" s="47" t="inlineStr">
        <is>
          <t>Small Cap</t>
        </is>
      </c>
      <c r="G18" s="59" t="n">
        <v>73.40000000000001</v>
      </c>
      <c r="I18" s="58" t="inlineStr">
        <is>
          <t>5th</t>
        </is>
      </c>
      <c r="J18" s="19" t="inlineStr">
        <is>
          <t>IPGP</t>
        </is>
      </c>
      <c r="K18" s="20" t="inlineStr">
        <is>
          <t>IPG Photonics Corporation</t>
        </is>
      </c>
      <c r="L18" s="35" t="n">
        <v>35.4</v>
      </c>
      <c r="M18" s="47" t="inlineStr">
        <is>
          <t>Breakout</t>
        </is>
      </c>
      <c r="N18" s="59" t="n">
        <v>73.09999999999999</v>
      </c>
    </row>
    <row r="20" ht="22" customHeight="1">
      <c r="B20" s="54" t="inlineStr">
        <is>
          <t>🚀 Fastest Growth</t>
        </is>
      </c>
      <c r="C20" s="17" t="n"/>
      <c r="D20" s="17" t="n"/>
      <c r="E20" s="17" t="n"/>
      <c r="F20" s="17" t="n"/>
      <c r="G20" s="55" t="n"/>
      <c r="I20" s="54" t="inlineStr">
        <is>
          <t>🔬 Smallest Cap</t>
        </is>
      </c>
      <c r="J20" s="17" t="n"/>
      <c r="K20" s="17" t="n"/>
      <c r="L20" s="17" t="n"/>
      <c r="M20" s="17" t="n"/>
      <c r="N20" s="55" t="n"/>
    </row>
    <row r="21" ht="18" customHeight="1">
      <c r="B21" s="56" t="inlineStr">
        <is>
          <t>Rank</t>
        </is>
      </c>
      <c r="C21" s="18" t="inlineStr">
        <is>
          <t>Ticker</t>
        </is>
      </c>
      <c r="D21" s="18" t="inlineStr">
        <is>
          <t>Company</t>
        </is>
      </c>
      <c r="E21" s="18" t="inlineStr">
        <is>
          <t>Rev Gr %</t>
        </is>
      </c>
      <c r="F21" s="18" t="inlineStr">
        <is>
          <t>Tier</t>
        </is>
      </c>
      <c r="G21" s="57" t="inlineStr">
        <is>
          <t>Score</t>
        </is>
      </c>
      <c r="I21" s="56" t="inlineStr">
        <is>
          <t>Rank</t>
        </is>
      </c>
      <c r="J21" s="18" t="inlineStr">
        <is>
          <t>Ticker</t>
        </is>
      </c>
      <c r="K21" s="18" t="inlineStr">
        <is>
          <t>Company</t>
        </is>
      </c>
      <c r="L21" s="18" t="inlineStr">
        <is>
          <t>Mkt Cap</t>
        </is>
      </c>
      <c r="M21" s="18" t="inlineStr">
        <is>
          <t>Tier</t>
        </is>
      </c>
      <c r="N21" s="57" t="inlineStr">
        <is>
          <t>Score</t>
        </is>
      </c>
    </row>
    <row r="22" ht="16" customHeight="1">
      <c r="B22" s="58" t="inlineStr">
        <is>
          <t>🥇</t>
        </is>
      </c>
      <c r="C22" s="19" t="inlineStr">
        <is>
          <t>SCTQ</t>
        </is>
      </c>
      <c r="D22" s="20" t="inlineStr">
        <is>
          <t>Spectra Systems Corporation</t>
        </is>
      </c>
      <c r="E22" s="35" t="n">
        <v>501.8</v>
      </c>
      <c r="F22" s="47" t="inlineStr">
        <is>
          <t>Nano Cap</t>
        </is>
      </c>
      <c r="G22" s="59" t="n">
        <v>75.59999999999999</v>
      </c>
      <c r="I22" s="58" t="inlineStr">
        <is>
          <t>🥇</t>
        </is>
      </c>
      <c r="J22" s="19" t="inlineStr">
        <is>
          <t>WSTL</t>
        </is>
      </c>
      <c r="K22" s="20" t="inlineStr">
        <is>
          <t>Westell Technologies, Inc.</t>
        </is>
      </c>
      <c r="L22" s="21" t="n">
        <v>76.09999999999999</v>
      </c>
      <c r="M22" s="47" t="inlineStr">
        <is>
          <t>Nano Cap</t>
        </is>
      </c>
      <c r="N22" s="59" t="n">
        <v>70.40000000000001</v>
      </c>
    </row>
    <row r="23" ht="16" customHeight="1">
      <c r="B23" s="60" t="inlineStr">
        <is>
          <t>🥈</t>
        </is>
      </c>
      <c r="C23" s="25" t="inlineStr">
        <is>
          <t>KULR</t>
        </is>
      </c>
      <c r="D23" s="26" t="inlineStr">
        <is>
          <t>KULR Technology Group, Inc.</t>
        </is>
      </c>
      <c r="E23" s="41" t="n">
        <v>97.90000000000001</v>
      </c>
      <c r="F23" s="49" t="inlineStr">
        <is>
          <t>Nano Cap</t>
        </is>
      </c>
      <c r="G23" s="61" t="n">
        <v>74.90000000000001</v>
      </c>
      <c r="I23" s="60" t="inlineStr">
        <is>
          <t>🥈</t>
        </is>
      </c>
      <c r="J23" s="25" t="inlineStr">
        <is>
          <t>SCTQ</t>
        </is>
      </c>
      <c r="K23" s="26" t="inlineStr">
        <is>
          <t>Spectra Systems Corporation</t>
        </is>
      </c>
      <c r="L23" s="27" t="n">
        <v>101.7</v>
      </c>
      <c r="M23" s="49" t="inlineStr">
        <is>
          <t>Nano Cap</t>
        </is>
      </c>
      <c r="N23" s="61" t="n">
        <v>75.59999999999999</v>
      </c>
    </row>
    <row r="24" ht="16" customHeight="1">
      <c r="B24" s="58" t="inlineStr">
        <is>
          <t>🥉</t>
        </is>
      </c>
      <c r="C24" s="19" t="inlineStr">
        <is>
          <t>CMCO</t>
        </is>
      </c>
      <c r="D24" s="20" t="inlineStr">
        <is>
          <t>Columbus McKinnon Corporation</t>
        </is>
      </c>
      <c r="E24" s="35" t="n">
        <v>77.3</v>
      </c>
      <c r="F24" s="47" t="inlineStr">
        <is>
          <t>Small Cap</t>
        </is>
      </c>
      <c r="G24" s="59" t="n">
        <v>73.40000000000001</v>
      </c>
      <c r="I24" s="58" t="inlineStr">
        <is>
          <t>🥉</t>
        </is>
      </c>
      <c r="J24" s="19" t="inlineStr">
        <is>
          <t>CODA</t>
        </is>
      </c>
      <c r="K24" s="20" t="inlineStr">
        <is>
          <t>Coda Octopus Group, Inc.</t>
        </is>
      </c>
      <c r="L24" s="21" t="n">
        <v>133.1</v>
      </c>
      <c r="M24" s="47" t="inlineStr">
        <is>
          <t>Nano Cap</t>
        </is>
      </c>
      <c r="N24" s="59" t="n">
        <v>72.59999999999999</v>
      </c>
    </row>
    <row r="25" ht="16" customHeight="1">
      <c r="B25" s="60" t="inlineStr">
        <is>
          <t>4th</t>
        </is>
      </c>
      <c r="C25" s="25" t="inlineStr">
        <is>
          <t>KRMN</t>
        </is>
      </c>
      <c r="D25" s="26" t="inlineStr">
        <is>
          <t>Karman Holdings Inc.</t>
        </is>
      </c>
      <c r="E25" s="41" t="n">
        <v>51</v>
      </c>
      <c r="F25" s="49" t="inlineStr">
        <is>
          <t>Breakout</t>
        </is>
      </c>
      <c r="G25" s="61" t="n">
        <v>78.8</v>
      </c>
      <c r="I25" s="60" t="inlineStr">
        <is>
          <t>4th</t>
        </is>
      </c>
      <c r="J25" s="25" t="inlineStr">
        <is>
          <t>BYRN</t>
        </is>
      </c>
      <c r="K25" s="26" t="inlineStr">
        <is>
          <t>Byrna Technologies Inc.</t>
        </is>
      </c>
      <c r="L25" s="27" t="n">
        <v>134.3</v>
      </c>
      <c r="M25" s="49" t="inlineStr">
        <is>
          <t>Nano Cap</t>
        </is>
      </c>
      <c r="N25" s="61" t="n">
        <v>72.8</v>
      </c>
    </row>
    <row r="26" ht="16" customHeight="1">
      <c r="B26" s="58" t="inlineStr">
        <is>
          <t>5th</t>
        </is>
      </c>
      <c r="C26" s="19" t="inlineStr">
        <is>
          <t>WSTL</t>
        </is>
      </c>
      <c r="D26" s="20" t="inlineStr">
        <is>
          <t>Westell Technologies, Inc.</t>
        </is>
      </c>
      <c r="E26" s="35" t="n">
        <v>46.6</v>
      </c>
      <c r="F26" s="47" t="inlineStr">
        <is>
          <t>Nano Cap</t>
        </is>
      </c>
      <c r="G26" s="59" t="n">
        <v>70.40000000000001</v>
      </c>
      <c r="I26" s="58" t="inlineStr">
        <is>
          <t>5th</t>
        </is>
      </c>
      <c r="J26" s="19" t="inlineStr">
        <is>
          <t>KVHI</t>
        </is>
      </c>
      <c r="K26" s="20" t="inlineStr">
        <is>
          <t>KVH Industries, Inc.</t>
        </is>
      </c>
      <c r="L26" s="21" t="n">
        <v>146.6</v>
      </c>
      <c r="M26" s="47" t="inlineStr">
        <is>
          <t>Nano Cap</t>
        </is>
      </c>
      <c r="N26" s="59" t="n">
        <v>84.59999999999999</v>
      </c>
    </row>
    <row r="28" ht="22" customHeight="1">
      <c r="B28" s="54" t="inlineStr">
        <is>
          <t>📈 Best Momentum</t>
        </is>
      </c>
      <c r="C28" s="17" t="n"/>
      <c r="D28" s="17" t="n"/>
      <c r="E28" s="17" t="n"/>
      <c r="F28" s="17" t="n"/>
      <c r="G28" s="55" t="n"/>
    </row>
    <row r="29" ht="18" customHeight="1">
      <c r="B29" s="56" t="inlineStr">
        <is>
          <t>Rank</t>
        </is>
      </c>
      <c r="C29" s="18" t="inlineStr">
        <is>
          <t>Ticker</t>
        </is>
      </c>
      <c r="D29" s="18" t="inlineStr">
        <is>
          <t>Company</t>
        </is>
      </c>
      <c r="E29" s="18" t="inlineStr">
        <is>
          <t>3M %</t>
        </is>
      </c>
      <c r="F29" s="18" t="inlineStr">
        <is>
          <t>Tier</t>
        </is>
      </c>
      <c r="G29" s="57" t="inlineStr">
        <is>
          <t>Score</t>
        </is>
      </c>
    </row>
    <row r="30" ht="16" customHeight="1">
      <c r="B30" s="58" t="inlineStr">
        <is>
          <t>🥇</t>
        </is>
      </c>
      <c r="C30" s="19" t="inlineStr">
        <is>
          <t>ADTN</t>
        </is>
      </c>
      <c r="D30" s="20" t="inlineStr">
        <is>
          <t>ADTRAN Holdings, Inc.</t>
        </is>
      </c>
      <c r="E30" s="35" t="n">
        <v>60.06257</v>
      </c>
      <c r="F30" s="47" t="inlineStr">
        <is>
          <t>Small Cap</t>
        </is>
      </c>
      <c r="G30" s="59" t="n">
        <v>68.59999999999999</v>
      </c>
    </row>
    <row r="31" ht="16" customHeight="1">
      <c r="B31" s="60" t="inlineStr">
        <is>
          <t>🥈</t>
        </is>
      </c>
      <c r="C31" s="25" t="inlineStr">
        <is>
          <t>WSTL</t>
        </is>
      </c>
      <c r="D31" s="26" t="inlineStr">
        <is>
          <t>Westell Technologies, Inc.</t>
        </is>
      </c>
      <c r="E31" s="41" t="n">
        <v>50.60484</v>
      </c>
      <c r="F31" s="49" t="inlineStr">
        <is>
          <t>Nano Cap</t>
        </is>
      </c>
      <c r="G31" s="61" t="n">
        <v>70.40000000000001</v>
      </c>
    </row>
    <row r="32" ht="16" customHeight="1">
      <c r="B32" s="58" t="inlineStr">
        <is>
          <t>🥉</t>
        </is>
      </c>
      <c r="C32" s="19" t="inlineStr">
        <is>
          <t>WYFI</t>
        </is>
      </c>
      <c r="D32" s="20" t="inlineStr">
        <is>
          <t>WhiteFiber, Inc. Ordinary Shares</t>
        </is>
      </c>
      <c r="E32" s="35" t="n">
        <v>50.12903</v>
      </c>
      <c r="F32" s="47" t="inlineStr">
        <is>
          <t>Small Cap</t>
        </is>
      </c>
      <c r="G32" s="59" t="n">
        <v>68.5</v>
      </c>
    </row>
    <row r="33" ht="16" customHeight="1">
      <c r="B33" s="60" t="inlineStr">
        <is>
          <t>4th</t>
        </is>
      </c>
      <c r="C33" s="25" t="inlineStr">
        <is>
          <t>ALGM</t>
        </is>
      </c>
      <c r="D33" s="26" t="inlineStr">
        <is>
          <t>Allegro MicroSystems, Inc.</t>
        </is>
      </c>
      <c r="E33" s="41" t="n">
        <v>45.28656</v>
      </c>
      <c r="F33" s="49" t="inlineStr">
        <is>
          <t>Breakout</t>
        </is>
      </c>
      <c r="G33" s="61" t="n">
        <v>66.2</v>
      </c>
    </row>
    <row r="34" ht="16" customHeight="1">
      <c r="B34" s="58" t="inlineStr">
        <is>
          <t>5th</t>
        </is>
      </c>
      <c r="C34" s="19" t="inlineStr">
        <is>
          <t>KULR</t>
        </is>
      </c>
      <c r="D34" s="20" t="inlineStr">
        <is>
          <t>KULR Technology Group, Inc.</t>
        </is>
      </c>
      <c r="E34" s="35" t="n">
        <v>35.10638</v>
      </c>
      <c r="F34" s="47" t="inlineStr">
        <is>
          <t>Nano Cap</t>
        </is>
      </c>
      <c r="G34" s="59" t="n">
        <v>74.90000000000001</v>
      </c>
    </row>
  </sheetData>
  <mergeCells count="9">
    <mergeCell ref="B20:G20"/>
    <mergeCell ref="B28:G28"/>
    <mergeCell ref="A2:N2"/>
    <mergeCell ref="B4:G4"/>
    <mergeCell ref="B12:G12"/>
    <mergeCell ref="I12:N12"/>
    <mergeCell ref="I4:N4"/>
    <mergeCell ref="I20:N20"/>
    <mergeCell ref="A1:N1"/>
  </mergeCells>
  <pageMargins left="0.75" right="0.75" top="1" bottom="1" header="0.5" footer="0.5"/>
  <pageSetup orientation="landscape" fitToWidth="1"/>
</worksheet>
</file>

<file path=xl/worksheets/sheet8.xml><?xml version="1.0" encoding="utf-8"?>
<worksheet xmlns="http://schemas.openxmlformats.org/spreadsheetml/2006/main">
  <sheetPr>
    <tabColor rgb="002A9D8F"/>
    <outlinePr summaryBelow="1" summaryRight="1"/>
    <pageSetUpPr fitToPage="1"/>
  </sheetPr>
  <dimension ref="A1:I4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9" customWidth="1" min="1" max="1"/>
    <col width="28" customWidth="1" min="2" max="2"/>
    <col width="12" customWidth="1" min="3" max="3"/>
    <col width="14" customWidth="1" min="4" max="4"/>
    <col width="18" customWidth="1" min="5" max="5"/>
    <col width="12" customWidth="1" min="6" max="6"/>
    <col width="55" customWidth="1" min="7" max="7"/>
    <col width="30" customWidth="1" min="8" max="8"/>
    <col width="30" customWidth="1" min="9" max="9"/>
  </cols>
  <sheetData>
    <row r="1" ht="28" customHeight="1">
      <c r="A1" s="30" t="inlineStr">
        <is>
          <t>INVESTMENT RECOMMENDATIONS</t>
        </is>
      </c>
      <c r="B1" s="11" t="n"/>
      <c r="C1" s="11" t="n"/>
      <c r="D1" s="11" t="n"/>
      <c r="E1" s="11" t="n"/>
      <c r="F1" s="11" t="n"/>
      <c r="G1" s="11" t="n"/>
      <c r="H1" s="11" t="n"/>
      <c r="I1" s="11" t="n"/>
    </row>
    <row r="2" ht="22" customHeight="1">
      <c r="A2" s="31" t="inlineStr">
        <is>
          <t>Conviction levels based on combined scoring, fundamentals, and risk profile  |  June 06, 2026</t>
        </is>
      </c>
      <c r="B2" s="12" t="n"/>
      <c r="C2" s="12" t="n"/>
      <c r="D2" s="12" t="n"/>
      <c r="E2" s="12" t="n"/>
      <c r="F2" s="12" t="n"/>
      <c r="G2" s="12" t="n"/>
      <c r="H2" s="12" t="n"/>
      <c r="I2" s="12" t="n"/>
    </row>
    <row r="3" ht="8" customHeight="1"/>
    <row r="4" ht="22" customHeight="1">
      <c r="A4" s="62" t="inlineStr">
        <is>
          <t>▼ Filter:</t>
        </is>
      </c>
      <c r="B4" s="63" t="inlineStr">
        <is>
          <t>All</t>
        </is>
      </c>
      <c r="C4" s="63" t="inlineStr">
        <is>
          <t>All</t>
        </is>
      </c>
      <c r="D4" s="63" t="inlineStr">
        <is>
          <t>All</t>
        </is>
      </c>
    </row>
    <row r="5" ht="18" customHeight="1">
      <c r="A5" s="18" t="inlineStr">
        <is>
          <t>Ticker</t>
        </is>
      </c>
      <c r="B5" s="18" t="inlineStr">
        <is>
          <t>Name</t>
        </is>
      </c>
      <c r="C5" s="18" t="inlineStr">
        <is>
          <t>Tier</t>
        </is>
      </c>
      <c r="D5" s="18" t="inlineStr">
        <is>
          <t>Conviction</t>
        </is>
      </c>
      <c r="E5" s="18" t="inlineStr">
        <is>
          <t>Thesis Bucket</t>
        </is>
      </c>
      <c r="F5" s="18" t="inlineStr">
        <is>
          <t>Combined</t>
        </is>
      </c>
      <c r="G5" s="18" t="inlineStr">
        <is>
          <t>Rationale</t>
        </is>
      </c>
      <c r="H5" s="18" t="inlineStr">
        <is>
          <t>Key Strengths</t>
        </is>
      </c>
      <c r="I5" s="18" t="inlineStr">
        <is>
          <t>Key Risks</t>
        </is>
      </c>
    </row>
    <row r="6" ht="40" customHeight="1">
      <c r="A6" s="19" t="inlineStr">
        <is>
          <t>KVHI</t>
        </is>
      </c>
      <c r="B6" s="20" t="inlineStr">
        <is>
          <t>KVH Industries, Inc.</t>
        </is>
      </c>
      <c r="C6" s="47" t="inlineStr">
        <is>
          <t>Nano Cap</t>
        </is>
      </c>
      <c r="D6" s="23" t="inlineStr">
        <is>
          <t>Medium-High</t>
        </is>
      </c>
      <c r="E6" s="20" t="inlineStr">
        <is>
          <t>Fingerprint Match</t>
        </is>
      </c>
      <c r="F6" s="35" t="n">
        <v>84.59999999999999</v>
      </c>
      <c r="G6" s="48" t="inlineStr">
        <is>
          <t>Strengths: solid revenue growth, high insider alignment, minimal dilution, strong fingerprint match. Risks: thin margins.</t>
        </is>
      </c>
      <c r="H6" s="64" t="inlineStr">
        <is>
          <t>✓ solid revenue growth
✓ high insider alignment
✓ minimal dilution
✓ strong fingerprint match</t>
        </is>
      </c>
      <c r="I6" s="65" t="inlineStr">
        <is>
          <t>⚠ thin margins</t>
        </is>
      </c>
    </row>
    <row r="7" ht="40" customHeight="1">
      <c r="A7" s="25" t="inlineStr">
        <is>
          <t>EVLV</t>
        </is>
      </c>
      <c r="B7" s="26" t="inlineStr">
        <is>
          <t>Evolv Technologies Holdings, Inc.</t>
        </is>
      </c>
      <c r="C7" s="49" t="inlineStr">
        <is>
          <t>Small Cap</t>
        </is>
      </c>
      <c r="D7" s="23" t="inlineStr">
        <is>
          <t>Medium-High</t>
        </is>
      </c>
      <c r="E7" s="26" t="inlineStr">
        <is>
          <t>High-Growth Quality</t>
        </is>
      </c>
      <c r="F7" s="41" t="n">
        <v>79.2</v>
      </c>
      <c r="G7" s="50" t="inlineStr">
        <is>
          <t>Strengths: strong revenue growth, high-margin business, strong fingerprint match. Risks: significant dilution.</t>
        </is>
      </c>
      <c r="H7" s="64" t="inlineStr">
        <is>
          <t>✓ strong revenue growth
✓ high-margin business
✓ strong fingerprint match</t>
        </is>
      </c>
      <c r="I7" s="65" t="inlineStr">
        <is>
          <t>⚠ significant dilution</t>
        </is>
      </c>
    </row>
    <row r="8" ht="40" customHeight="1">
      <c r="A8" s="19" t="inlineStr">
        <is>
          <t>KRMN</t>
        </is>
      </c>
      <c r="B8" s="20" t="inlineStr">
        <is>
          <t>Karman Holdings Inc.</t>
        </is>
      </c>
      <c r="C8" s="47" t="inlineStr">
        <is>
          <t>Breakout</t>
        </is>
      </c>
      <c r="D8" s="23" t="inlineStr">
        <is>
          <t>Medium-High</t>
        </is>
      </c>
      <c r="E8" s="20" t="inlineStr">
        <is>
          <t>High-Growth Quality</t>
        </is>
      </c>
      <c r="F8" s="35" t="n">
        <v>78.8</v>
      </c>
      <c r="G8" s="48" t="inlineStr">
        <is>
          <t>Strengths: strong revenue growth, healthy margins, high insider alignment, minimal dilution. Risks: negative momentum.</t>
        </is>
      </c>
      <c r="H8" s="64" t="inlineStr">
        <is>
          <t>✓ strong revenue growth
✓ healthy margins
✓ high insider alignment
✓ minimal dilution</t>
        </is>
      </c>
      <c r="I8" s="65" t="inlineStr">
        <is>
          <t>⚠ negative momentum</t>
        </is>
      </c>
    </row>
    <row r="9" ht="40" customHeight="1">
      <c r="A9" s="25" t="inlineStr">
        <is>
          <t>SCTQ</t>
        </is>
      </c>
      <c r="B9" s="26" t="inlineStr">
        <is>
          <t>Spectra Systems Corporation</t>
        </is>
      </c>
      <c r="C9" s="49" t="inlineStr">
        <is>
          <t>Nano Cap</t>
        </is>
      </c>
      <c r="D9" s="23" t="inlineStr">
        <is>
          <t>Medium-High</t>
        </is>
      </c>
      <c r="E9" s="26" t="inlineStr">
        <is>
          <t>High-Growth Quality</t>
        </is>
      </c>
      <c r="F9" s="41" t="n">
        <v>75.59999999999999</v>
      </c>
      <c r="G9" s="50" t="inlineStr">
        <is>
          <t>Strengths: strong revenue growth, high-margin business, high insider alignment. Risks: none significant.</t>
        </is>
      </c>
      <c r="H9" s="64" t="inlineStr">
        <is>
          <t>✓ strong revenue growth
✓ high-margin business
✓ high insider alignment</t>
        </is>
      </c>
      <c r="I9" s="65" t="inlineStr">
        <is>
          <t>—</t>
        </is>
      </c>
    </row>
    <row r="10" ht="40" customHeight="1">
      <c r="A10" s="19" t="inlineStr">
        <is>
          <t>KULR</t>
        </is>
      </c>
      <c r="B10" s="20" t="inlineStr">
        <is>
          <t>KULR Technology Group, Inc.</t>
        </is>
      </c>
      <c r="C10" s="47" t="inlineStr">
        <is>
          <t>Nano Cap</t>
        </is>
      </c>
      <c r="D10" s="28" t="inlineStr">
        <is>
          <t>Medium</t>
        </is>
      </c>
      <c r="E10" s="20" t="inlineStr">
        <is>
          <t>Fingerprint Match</t>
        </is>
      </c>
      <c r="F10" s="35" t="n">
        <v>74.90000000000001</v>
      </c>
      <c r="G10" s="48" t="inlineStr">
        <is>
          <t>Strengths: strong revenue growth, minimal dilution, strong fingerprint match, positive momentum. Risks: thin margins, low insider ownership.</t>
        </is>
      </c>
      <c r="H10" s="64" t="inlineStr">
        <is>
          <t>✓ strong revenue growth
✓ minimal dilution
✓ strong fingerprint match
✓ positive momentum</t>
        </is>
      </c>
      <c r="I10" s="65" t="inlineStr">
        <is>
          <t>⚠ thin margins
⚠ low insider ownership</t>
        </is>
      </c>
    </row>
    <row r="11" ht="40" customHeight="1">
      <c r="A11" s="25" t="inlineStr">
        <is>
          <t>PKE</t>
        </is>
      </c>
      <c r="B11" s="26" t="inlineStr">
        <is>
          <t>Park Aerospace Corp.</t>
        </is>
      </c>
      <c r="C11" s="49" t="inlineStr">
        <is>
          <t>Small Cap</t>
        </is>
      </c>
      <c r="D11" s="28" t="inlineStr">
        <is>
          <t>Medium</t>
        </is>
      </c>
      <c r="E11" s="26" t="inlineStr">
        <is>
          <t>Fingerprint Match</t>
        </is>
      </c>
      <c r="F11" s="41" t="n">
        <v>74.59999999999999</v>
      </c>
      <c r="G11" s="50" t="inlineStr">
        <is>
          <t>Strengths: strong revenue growth, minimal dilution, strong fingerprint match. Risks: thin margins.</t>
        </is>
      </c>
      <c r="H11" s="64" t="inlineStr">
        <is>
          <t>✓ strong revenue growth
✓ minimal dilution
✓ strong fingerprint match</t>
        </is>
      </c>
      <c r="I11" s="65" t="inlineStr">
        <is>
          <t>⚠ thin margins</t>
        </is>
      </c>
    </row>
    <row r="12" ht="40" customHeight="1">
      <c r="A12" s="19" t="inlineStr">
        <is>
          <t>DSP</t>
        </is>
      </c>
      <c r="B12" s="20" t="inlineStr">
        <is>
          <t>Viant Technology Inc.</t>
        </is>
      </c>
      <c r="C12" s="47" t="inlineStr">
        <is>
          <t>Small Cap</t>
        </is>
      </c>
      <c r="D12" s="28" t="inlineStr">
        <is>
          <t>Medium</t>
        </is>
      </c>
      <c r="E12" s="20" t="inlineStr">
        <is>
          <t>Fingerprint Match</t>
        </is>
      </c>
      <c r="F12" s="35" t="n">
        <v>73.40000000000001</v>
      </c>
      <c r="G12" s="48" t="inlineStr">
        <is>
          <t>Strengths: solid revenue growth, high-margin business, high insider alignment, minimal dilution, strong fingerprint match. Risks: none significant.</t>
        </is>
      </c>
      <c r="H12" s="64" t="inlineStr">
        <is>
          <t>✓ solid revenue growth
✓ high-margin business
✓ high insider alignment
✓ minimal dilution
✓ strong fingerprint match</t>
        </is>
      </c>
      <c r="I12" s="65" t="inlineStr">
        <is>
          <t>—</t>
        </is>
      </c>
    </row>
    <row r="13" ht="40" customHeight="1">
      <c r="A13" s="25" t="inlineStr">
        <is>
          <t>CMCO</t>
        </is>
      </c>
      <c r="B13" s="26" t="inlineStr">
        <is>
          <t>Columbus McKinnon Corporation</t>
        </is>
      </c>
      <c r="C13" s="49" t="inlineStr">
        <is>
          <t>Small Cap</t>
        </is>
      </c>
      <c r="D13" s="28" t="inlineStr">
        <is>
          <t>Medium</t>
        </is>
      </c>
      <c r="E13" s="26" t="inlineStr">
        <is>
          <t>Fingerprint Match</t>
        </is>
      </c>
      <c r="F13" s="41" t="n">
        <v>73.40000000000001</v>
      </c>
      <c r="G13" s="50" t="inlineStr">
        <is>
          <t>Strengths: strong revenue growth, minimal dilution, strong fingerprint match. Risks: thin margins, low insider ownership.</t>
        </is>
      </c>
      <c r="H13" s="64" t="inlineStr">
        <is>
          <t>✓ strong revenue growth
✓ minimal dilution
✓ strong fingerprint match</t>
        </is>
      </c>
      <c r="I13" s="65" t="inlineStr">
        <is>
          <t>⚠ thin margins
⚠ low insider ownership</t>
        </is>
      </c>
    </row>
    <row r="14" ht="40" customHeight="1">
      <c r="A14" s="19" t="inlineStr">
        <is>
          <t>ESP</t>
        </is>
      </c>
      <c r="B14" s="20" t="inlineStr">
        <is>
          <t>Espey Mfg. &amp; Electronics Corp.</t>
        </is>
      </c>
      <c r="C14" s="47" t="inlineStr">
        <is>
          <t>Nano Cap</t>
        </is>
      </c>
      <c r="D14" s="28" t="inlineStr">
        <is>
          <t>Medium</t>
        </is>
      </c>
      <c r="E14" s="20" t="inlineStr">
        <is>
          <t>Emerging Watch</t>
        </is>
      </c>
      <c r="F14" s="35" t="n">
        <v>73.3</v>
      </c>
      <c r="G14" s="48" t="inlineStr">
        <is>
          <t>Strengths: healthy margins, high insider alignment, strong fingerprint match. Risks: modest growth.</t>
        </is>
      </c>
      <c r="H14" s="64" t="inlineStr">
        <is>
          <t>✓ healthy margins
✓ high insider alignment
✓ strong fingerprint match</t>
        </is>
      </c>
      <c r="I14" s="65" t="inlineStr">
        <is>
          <t>⚠ modest growth</t>
        </is>
      </c>
    </row>
    <row r="15" ht="40" customHeight="1">
      <c r="A15" s="25" t="inlineStr">
        <is>
          <t>IPGP</t>
        </is>
      </c>
      <c r="B15" s="26" t="inlineStr">
        <is>
          <t>IPG Photonics Corporation</t>
        </is>
      </c>
      <c r="C15" s="49" t="inlineStr">
        <is>
          <t>Breakout</t>
        </is>
      </c>
      <c r="D15" s="28" t="inlineStr">
        <is>
          <t>Medium</t>
        </is>
      </c>
      <c r="E15" s="26" t="inlineStr">
        <is>
          <t>Insider Conviction</t>
        </is>
      </c>
      <c r="F15" s="41" t="n">
        <v>73.09999999999999</v>
      </c>
      <c r="G15" s="50" t="inlineStr">
        <is>
          <t>Strengths: healthy margins, high insider alignment, minimal dilution. Risks: none significant.</t>
        </is>
      </c>
      <c r="H15" s="64" t="inlineStr">
        <is>
          <t>✓ healthy margins
✓ high insider alignment
✓ minimal dilution</t>
        </is>
      </c>
      <c r="I15" s="65" t="inlineStr">
        <is>
          <t>—</t>
        </is>
      </c>
    </row>
    <row r="16" ht="40" customHeight="1">
      <c r="A16" s="19" t="inlineStr">
        <is>
          <t>BYRN</t>
        </is>
      </c>
      <c r="B16" s="20" t="inlineStr">
        <is>
          <t>Byrna Technologies Inc.</t>
        </is>
      </c>
      <c r="C16" s="47" t="inlineStr">
        <is>
          <t>Nano Cap</t>
        </is>
      </c>
      <c r="D16" s="28" t="inlineStr">
        <is>
          <t>Medium</t>
        </is>
      </c>
      <c r="E16" s="20" t="inlineStr">
        <is>
          <t>Insider Conviction</t>
        </is>
      </c>
      <c r="F16" s="35" t="n">
        <v>72.8</v>
      </c>
      <c r="G16" s="48" t="inlineStr">
        <is>
          <t>Strengths: high-margin business, high insider alignment, minimal dilution, strong fingerprint match. Risks: negative momentum, modest growth.</t>
        </is>
      </c>
      <c r="H16" s="64" t="inlineStr">
        <is>
          <t>✓ high-margin business
✓ high insider alignment
✓ minimal dilution
✓ strong fingerprint match</t>
        </is>
      </c>
      <c r="I16" s="65" t="inlineStr">
        <is>
          <t>⚠ negative momentum
⚠ modest growth</t>
        </is>
      </c>
    </row>
    <row r="17" ht="40" customHeight="1">
      <c r="A17" s="25" t="inlineStr">
        <is>
          <t>CODA</t>
        </is>
      </c>
      <c r="B17" s="26" t="inlineStr">
        <is>
          <t>Coda Octopus Group, Inc.</t>
        </is>
      </c>
      <c r="C17" s="49" t="inlineStr">
        <is>
          <t>Nano Cap</t>
        </is>
      </c>
      <c r="D17" s="28" t="inlineStr">
        <is>
          <t>Medium</t>
        </is>
      </c>
      <c r="E17" s="26" t="inlineStr">
        <is>
          <t>Insider Conviction</t>
        </is>
      </c>
      <c r="F17" s="41" t="n">
        <v>72.59999999999999</v>
      </c>
      <c r="G17" s="50" t="inlineStr">
        <is>
          <t>Strengths: solid revenue growth, high-margin business, high insider alignment, minimal dilution. Risks: none significant.</t>
        </is>
      </c>
      <c r="H17" s="64" t="inlineStr">
        <is>
          <t>✓ solid revenue growth
✓ high-margin business
✓ high insider alignment
✓ minimal dilution</t>
        </is>
      </c>
      <c r="I17" s="65" t="inlineStr">
        <is>
          <t>—</t>
        </is>
      </c>
    </row>
    <row r="18" ht="40" customHeight="1">
      <c r="A18" s="19" t="inlineStr">
        <is>
          <t>INTT</t>
        </is>
      </c>
      <c r="B18" s="20" t="inlineStr">
        <is>
          <t>inTEST Corporation</t>
        </is>
      </c>
      <c r="C18" s="47" t="inlineStr">
        <is>
          <t>Nano Cap</t>
        </is>
      </c>
      <c r="D18" s="28" t="inlineStr">
        <is>
          <t>Medium</t>
        </is>
      </c>
      <c r="E18" s="20" t="inlineStr">
        <is>
          <t>Fingerprint Match</t>
        </is>
      </c>
      <c r="F18" s="35" t="n">
        <v>70.5</v>
      </c>
      <c r="G18" s="48" t="inlineStr">
        <is>
          <t>Strengths: solid revenue growth, healthy margins, strong fingerprint match. Risks: none significant.</t>
        </is>
      </c>
      <c r="H18" s="64" t="inlineStr">
        <is>
          <t>✓ solid revenue growth
✓ healthy margins
✓ strong fingerprint match</t>
        </is>
      </c>
      <c r="I18" s="65" t="inlineStr">
        <is>
          <t>—</t>
        </is>
      </c>
    </row>
    <row r="19" ht="40" customHeight="1">
      <c r="A19" s="25" t="inlineStr">
        <is>
          <t>WSTL</t>
        </is>
      </c>
      <c r="B19" s="26" t="inlineStr">
        <is>
          <t>Westell Technologies, Inc.</t>
        </is>
      </c>
      <c r="C19" s="49" t="inlineStr">
        <is>
          <t>Nano Cap</t>
        </is>
      </c>
      <c r="D19" s="28" t="inlineStr">
        <is>
          <t>Medium</t>
        </is>
      </c>
      <c r="E19" s="26" t="inlineStr">
        <is>
          <t>High-Growth Quality</t>
        </is>
      </c>
      <c r="F19" s="41" t="n">
        <v>70.40000000000001</v>
      </c>
      <c r="G19" s="50" t="inlineStr">
        <is>
          <t>Strengths: strong revenue growth, healthy margins, high insider alignment, minimal dilution, strong fingerprint match, positive momentum. Risks: none significant.</t>
        </is>
      </c>
      <c r="H19" s="64" t="inlineStr">
        <is>
          <t>✓ strong revenue growth
✓ healthy margins
✓ high insider alignment
✓ minimal dilution
✓ strong fingerprint match
✓ positive momentum</t>
        </is>
      </c>
      <c r="I19" s="65" t="inlineStr">
        <is>
          <t>—</t>
        </is>
      </c>
    </row>
    <row r="20" ht="40" customHeight="1">
      <c r="A20" s="19" t="inlineStr">
        <is>
          <t>ARLO</t>
        </is>
      </c>
      <c r="B20" s="20" t="inlineStr">
        <is>
          <t>Arlo Technologies, Inc.</t>
        </is>
      </c>
      <c r="C20" s="47" t="inlineStr">
        <is>
          <t>Small Cap</t>
        </is>
      </c>
      <c r="D20" s="28" t="inlineStr">
        <is>
          <t>Medium</t>
        </is>
      </c>
      <c r="E20" s="20" t="inlineStr">
        <is>
          <t>Fingerprint Match</t>
        </is>
      </c>
      <c r="F20" s="35" t="n">
        <v>70.2</v>
      </c>
      <c r="G20" s="48" t="inlineStr">
        <is>
          <t>Strengths: solid revenue growth, healthy margins, strong fingerprint match. Risks: significant dilution, low insider ownership.</t>
        </is>
      </c>
      <c r="H20" s="64" t="inlineStr">
        <is>
          <t>✓ solid revenue growth
✓ healthy margins
✓ strong fingerprint match</t>
        </is>
      </c>
      <c r="I20" s="65" t="inlineStr">
        <is>
          <t>⚠ significant dilution
⚠ low insider ownership</t>
        </is>
      </c>
    </row>
    <row r="21" ht="40" customHeight="1">
      <c r="A21" s="25" t="inlineStr">
        <is>
          <t>TAYD</t>
        </is>
      </c>
      <c r="B21" s="26" t="inlineStr">
        <is>
          <t>Taylor Devices, Inc.</t>
        </is>
      </c>
      <c r="C21" s="49" t="inlineStr">
        <is>
          <t>Nano Cap</t>
        </is>
      </c>
      <c r="D21" s="28" t="inlineStr">
        <is>
          <t>Medium</t>
        </is>
      </c>
      <c r="E21" s="26" t="inlineStr">
        <is>
          <t>Emerging Watch</t>
        </is>
      </c>
      <c r="F21" s="41" t="n">
        <v>69.8</v>
      </c>
      <c r="G21" s="50" t="inlineStr">
        <is>
          <t>Strengths: healthy margins, minimal dilution, strong fingerprint match. Risks: low insider ownership, negative momentum, modest growth.</t>
        </is>
      </c>
      <c r="H21" s="64" t="inlineStr">
        <is>
          <t>✓ healthy margins
✓ minimal dilution
✓ strong fingerprint match</t>
        </is>
      </c>
      <c r="I21" s="65" t="inlineStr">
        <is>
          <t>⚠ low insider ownership
⚠ negative momentum
⚠ modest growth</t>
        </is>
      </c>
    </row>
    <row r="22" ht="40" customHeight="1">
      <c r="A22" s="19" t="inlineStr">
        <is>
          <t>ESI</t>
        </is>
      </c>
      <c r="B22" s="20" t="inlineStr">
        <is>
          <t>Element Solutions Inc</t>
        </is>
      </c>
      <c r="C22" s="47" t="inlineStr">
        <is>
          <t>Breakout</t>
        </is>
      </c>
      <c r="D22" s="28" t="inlineStr">
        <is>
          <t>Medium</t>
        </is>
      </c>
      <c r="E22" s="20" t="inlineStr">
        <is>
          <t>Fingerprint Match</t>
        </is>
      </c>
      <c r="F22" s="35" t="n">
        <v>69.8</v>
      </c>
      <c r="G22" s="48" t="inlineStr">
        <is>
          <t>Strengths: strong revenue growth, healthy margins, minimal dilution, strong fingerprint match. Risks: none significant.</t>
        </is>
      </c>
      <c r="H22" s="64" t="inlineStr">
        <is>
          <t>✓ strong revenue growth
✓ healthy margins
✓ minimal dilution
✓ strong fingerprint match</t>
        </is>
      </c>
      <c r="I22" s="65" t="inlineStr">
        <is>
          <t>—</t>
        </is>
      </c>
    </row>
    <row r="23" ht="40" customHeight="1">
      <c r="A23" s="25" t="inlineStr">
        <is>
          <t>NSSC</t>
        </is>
      </c>
      <c r="B23" s="26" t="inlineStr">
        <is>
          <t>Napco Security Technologies, Inc.</t>
        </is>
      </c>
      <c r="C23" s="49" t="inlineStr">
        <is>
          <t>Small Cap</t>
        </is>
      </c>
      <c r="D23" s="28" t="inlineStr">
        <is>
          <t>Medium</t>
        </is>
      </c>
      <c r="E23" s="26" t="inlineStr">
        <is>
          <t>Emerging Watch</t>
        </is>
      </c>
      <c r="F23" s="41" t="n">
        <v>69.5</v>
      </c>
      <c r="G23" s="50" t="inlineStr">
        <is>
          <t>Strengths: high-margin business, minimal dilution, strong fingerprint match. Risks: low insider ownership, modest growth.</t>
        </is>
      </c>
      <c r="H23" s="64" t="inlineStr">
        <is>
          <t>✓ high-margin business
✓ minimal dilution
✓ strong fingerprint match</t>
        </is>
      </c>
      <c r="I23" s="65" t="inlineStr">
        <is>
          <t>⚠ low insider ownership
⚠ modest growth</t>
        </is>
      </c>
    </row>
    <row r="24" ht="40" customHeight="1">
      <c r="A24" s="19" t="inlineStr">
        <is>
          <t>AMBA</t>
        </is>
      </c>
      <c r="B24" s="20" t="inlineStr">
        <is>
          <t>Ambarella, Inc.</t>
        </is>
      </c>
      <c r="C24" s="47" t="inlineStr">
        <is>
          <t>Breakout</t>
        </is>
      </c>
      <c r="D24" s="28" t="inlineStr">
        <is>
          <t>Medium</t>
        </is>
      </c>
      <c r="E24" s="20" t="inlineStr">
        <is>
          <t>Emerging Watch</t>
        </is>
      </c>
      <c r="F24" s="35" t="n">
        <v>68.90000000000001</v>
      </c>
      <c r="G24" s="48" t="inlineStr">
        <is>
          <t>Strengths: high-margin business. Risks: none significant.</t>
        </is>
      </c>
      <c r="H24" s="64" t="inlineStr">
        <is>
          <t>✓ high-margin business</t>
        </is>
      </c>
      <c r="I24" s="65" t="inlineStr">
        <is>
          <t>—</t>
        </is>
      </c>
    </row>
    <row r="25" ht="40" customHeight="1">
      <c r="A25" s="25" t="inlineStr">
        <is>
          <t>SLP</t>
        </is>
      </c>
      <c r="B25" s="26" t="inlineStr">
        <is>
          <t>Simulations Plus, Inc.</t>
        </is>
      </c>
      <c r="C25" s="49" t="inlineStr">
        <is>
          <t>Small Cap</t>
        </is>
      </c>
      <c r="D25" s="28" t="inlineStr">
        <is>
          <t>Medium</t>
        </is>
      </c>
      <c r="E25" s="26" t="inlineStr">
        <is>
          <t>Emerging Watch</t>
        </is>
      </c>
      <c r="F25" s="41" t="n">
        <v>68.7</v>
      </c>
      <c r="G25" s="50" t="inlineStr">
        <is>
          <t>Strengths: high-margin business, high insider alignment, minimal dilution, strong fingerprint match. Risks: modest growth.</t>
        </is>
      </c>
      <c r="H25" s="64" t="inlineStr">
        <is>
          <t>✓ high-margin business
✓ high insider alignment
✓ minimal dilution
✓ strong fingerprint match</t>
        </is>
      </c>
      <c r="I25" s="65" t="inlineStr">
        <is>
          <t>⚠ modest growth</t>
        </is>
      </c>
    </row>
    <row r="26" ht="40" customHeight="1">
      <c r="A26" s="19" t="inlineStr">
        <is>
          <t>ADTN</t>
        </is>
      </c>
      <c r="B26" s="20" t="inlineStr">
        <is>
          <t>ADTRAN Holdings, Inc.</t>
        </is>
      </c>
      <c r="C26" s="47" t="inlineStr">
        <is>
          <t>Small Cap</t>
        </is>
      </c>
      <c r="D26" s="28" t="inlineStr">
        <is>
          <t>Medium</t>
        </is>
      </c>
      <c r="E26" s="20" t="inlineStr">
        <is>
          <t>Momentum Breakout</t>
        </is>
      </c>
      <c r="F26" s="35" t="n">
        <v>68.59999999999999</v>
      </c>
      <c r="G26" s="48" t="inlineStr">
        <is>
          <t>Strengths: healthy margins, minimal dilution, strong fingerprint match, positive momentum. Risks: none significant.</t>
        </is>
      </c>
      <c r="H26" s="64" t="inlineStr">
        <is>
          <t>✓ healthy margins
✓ minimal dilution
✓ strong fingerprint match
✓ positive momentum</t>
        </is>
      </c>
      <c r="I26" s="65" t="inlineStr">
        <is>
          <t>—</t>
        </is>
      </c>
    </row>
    <row r="27" ht="40" customHeight="1">
      <c r="A27" s="25" t="inlineStr">
        <is>
          <t>WYFI</t>
        </is>
      </c>
      <c r="B27" s="26" t="inlineStr">
        <is>
          <t>WhiteFiber, Inc. Ordinary Shares</t>
        </is>
      </c>
      <c r="C27" s="49" t="inlineStr">
        <is>
          <t>Small Cap</t>
        </is>
      </c>
      <c r="D27" s="28" t="inlineStr">
        <is>
          <t>Medium</t>
        </is>
      </c>
      <c r="E27" s="26" t="inlineStr">
        <is>
          <t>Insider Conviction</t>
        </is>
      </c>
      <c r="F27" s="41" t="n">
        <v>68.5</v>
      </c>
      <c r="G27" s="50" t="inlineStr">
        <is>
          <t>Strengths: solid revenue growth, high-margin business, high insider alignment, minimal dilution, positive momentum. Risks: none significant.</t>
        </is>
      </c>
      <c r="H27" s="64" t="inlineStr">
        <is>
          <t>✓ solid revenue growth
✓ high-margin business
✓ high insider alignment
✓ minimal dilution
✓ positive momentum</t>
        </is>
      </c>
      <c r="I27" s="65" t="inlineStr">
        <is>
          <t>—</t>
        </is>
      </c>
    </row>
    <row r="28" ht="40" customHeight="1">
      <c r="A28" s="19" t="inlineStr">
        <is>
          <t>BLFS</t>
        </is>
      </c>
      <c r="B28" s="20" t="inlineStr">
        <is>
          <t>BioLife Solutions, Inc.</t>
        </is>
      </c>
      <c r="C28" s="47" t="inlineStr">
        <is>
          <t>Small Cap</t>
        </is>
      </c>
      <c r="D28" s="28" t="inlineStr">
        <is>
          <t>Medium</t>
        </is>
      </c>
      <c r="E28" s="20" t="inlineStr">
        <is>
          <t>Emerging Watch</t>
        </is>
      </c>
      <c r="F28" s="35" t="n">
        <v>68.3</v>
      </c>
      <c r="G28" s="48" t="inlineStr">
        <is>
          <t>Strengths: high-margin business, strong fingerprint match, positive momentum. Risks: modest growth.</t>
        </is>
      </c>
      <c r="H28" s="64" t="inlineStr">
        <is>
          <t>✓ high-margin business
✓ strong fingerprint match
✓ positive momentum</t>
        </is>
      </c>
      <c r="I28" s="65" t="inlineStr">
        <is>
          <t>⚠ modest growth</t>
        </is>
      </c>
    </row>
    <row r="29" ht="40" customHeight="1">
      <c r="A29" s="25" t="inlineStr">
        <is>
          <t>LAW</t>
        </is>
      </c>
      <c r="B29" s="26" t="inlineStr">
        <is>
          <t>CS Disco, Inc.</t>
        </is>
      </c>
      <c r="C29" s="49" t="inlineStr">
        <is>
          <t>Nano Cap</t>
        </is>
      </c>
      <c r="D29" s="28" t="inlineStr">
        <is>
          <t>Medium</t>
        </is>
      </c>
      <c r="E29" s="26" t="inlineStr">
        <is>
          <t>Emerging Watch</t>
        </is>
      </c>
      <c r="F29" s="41" t="n">
        <v>68.2</v>
      </c>
      <c r="G29" s="50" t="inlineStr">
        <is>
          <t>Strengths: high-margin business, high insider alignment. Risks: modest growth.</t>
        </is>
      </c>
      <c r="H29" s="64" t="inlineStr">
        <is>
          <t>✓ high-margin business
✓ high insider alignment</t>
        </is>
      </c>
      <c r="I29" s="65" t="inlineStr">
        <is>
          <t>⚠ modest growth</t>
        </is>
      </c>
    </row>
    <row r="30" ht="40" customHeight="1">
      <c r="A30" s="19" t="inlineStr">
        <is>
          <t>RUN</t>
        </is>
      </c>
      <c r="B30" s="20" t="inlineStr">
        <is>
          <t>Sunrun Inc.</t>
        </is>
      </c>
      <c r="C30" s="47" t="inlineStr">
        <is>
          <t>Breakout</t>
        </is>
      </c>
      <c r="D30" s="28" t="inlineStr">
        <is>
          <t>Medium</t>
        </is>
      </c>
      <c r="E30" s="20" t="inlineStr">
        <is>
          <t>Growth Inflection</t>
        </is>
      </c>
      <c r="F30" s="35" t="n">
        <v>67.90000000000001</v>
      </c>
      <c r="G30" s="48" t="inlineStr">
        <is>
          <t>Strengths: strong revenue growth. Risks: low insider ownership.</t>
        </is>
      </c>
      <c r="H30" s="64" t="inlineStr">
        <is>
          <t>✓ strong revenue growth</t>
        </is>
      </c>
      <c r="I30" s="65" t="inlineStr">
        <is>
          <t>⚠ low insider ownership</t>
        </is>
      </c>
    </row>
    <row r="31" ht="40" customHeight="1">
      <c r="A31" s="25" t="inlineStr">
        <is>
          <t>FELE</t>
        </is>
      </c>
      <c r="B31" s="26" t="inlineStr">
        <is>
          <t>Franklin Electric Co., Inc.</t>
        </is>
      </c>
      <c r="C31" s="49" t="inlineStr">
        <is>
          <t>Breakout</t>
        </is>
      </c>
      <c r="D31" s="28" t="inlineStr">
        <is>
          <t>Medium</t>
        </is>
      </c>
      <c r="E31" s="26" t="inlineStr">
        <is>
          <t>Emerging Watch</t>
        </is>
      </c>
      <c r="F31" s="41" t="n">
        <v>67.7</v>
      </c>
      <c r="G31" s="50" t="inlineStr">
        <is>
          <t>Strengths: healthy margins, minimal dilution. Risks: modest growth.</t>
        </is>
      </c>
      <c r="H31" s="64" t="inlineStr">
        <is>
          <t>✓ healthy margins
✓ minimal dilution</t>
        </is>
      </c>
      <c r="I31" s="65" t="inlineStr">
        <is>
          <t>⚠ modest growth</t>
        </is>
      </c>
    </row>
    <row r="32" ht="40" customHeight="1">
      <c r="A32" s="19" t="inlineStr">
        <is>
          <t>PATH</t>
        </is>
      </c>
      <c r="B32" s="20" t="inlineStr">
        <is>
          <t>UiPath Inc.</t>
        </is>
      </c>
      <c r="C32" s="47" t="inlineStr">
        <is>
          <t>Breakout</t>
        </is>
      </c>
      <c r="D32" s="28" t="inlineStr">
        <is>
          <t>Medium</t>
        </is>
      </c>
      <c r="E32" s="20" t="inlineStr">
        <is>
          <t>Insider Conviction</t>
        </is>
      </c>
      <c r="F32" s="35" t="n">
        <v>67.40000000000001</v>
      </c>
      <c r="G32" s="48" t="inlineStr">
        <is>
          <t>Strengths: high-margin business, high insider alignment, minimal dilution. Risks: none significant.</t>
        </is>
      </c>
      <c r="H32" s="64" t="inlineStr">
        <is>
          <t>✓ high-margin business
✓ high insider alignment
✓ minimal dilution</t>
        </is>
      </c>
      <c r="I32" s="65" t="inlineStr">
        <is>
          <t>—</t>
        </is>
      </c>
    </row>
    <row r="33" ht="40" customHeight="1">
      <c r="A33" s="25" t="inlineStr">
        <is>
          <t>BRC</t>
        </is>
      </c>
      <c r="B33" s="26" t="inlineStr">
        <is>
          <t>Brady Corporation</t>
        </is>
      </c>
      <c r="C33" s="49" t="inlineStr">
        <is>
          <t>Breakout</t>
        </is>
      </c>
      <c r="D33" s="28" t="inlineStr">
        <is>
          <t>Medium</t>
        </is>
      </c>
      <c r="E33" s="26" t="inlineStr">
        <is>
          <t>Emerging Watch</t>
        </is>
      </c>
      <c r="F33" s="41" t="n">
        <v>66.7</v>
      </c>
      <c r="G33" s="50" t="inlineStr">
        <is>
          <t>Strengths: high-margin business, minimal dilution. Risks: modest growth.</t>
        </is>
      </c>
      <c r="H33" s="64" t="inlineStr">
        <is>
          <t>✓ high-margin business
✓ minimal dilution</t>
        </is>
      </c>
      <c r="I33" s="65" t="inlineStr">
        <is>
          <t>⚠ modest growth</t>
        </is>
      </c>
    </row>
    <row r="34" ht="40" customHeight="1">
      <c r="A34" s="19" t="inlineStr">
        <is>
          <t>ALGM</t>
        </is>
      </c>
      <c r="B34" s="20" t="inlineStr">
        <is>
          <t>Allegro MicroSystems, Inc.</t>
        </is>
      </c>
      <c r="C34" s="47" t="inlineStr">
        <is>
          <t>Breakout</t>
        </is>
      </c>
      <c r="D34" s="28" t="inlineStr">
        <is>
          <t>Medium</t>
        </is>
      </c>
      <c r="E34" s="20" t="inlineStr">
        <is>
          <t>Insider Conviction</t>
        </is>
      </c>
      <c r="F34" s="35" t="n">
        <v>66.2</v>
      </c>
      <c r="G34" s="48" t="inlineStr">
        <is>
          <t>Strengths: solid revenue growth, healthy margins, high insider alignment, minimal dilution, positive momentum. Risks: none significant.</t>
        </is>
      </c>
      <c r="H34" s="64" t="inlineStr">
        <is>
          <t>✓ solid revenue growth
✓ healthy margins
✓ high insider alignment
✓ minimal dilution
✓ positive momentum</t>
        </is>
      </c>
      <c r="I34" s="65" t="inlineStr">
        <is>
          <t>—</t>
        </is>
      </c>
    </row>
    <row r="35" ht="40" customHeight="1">
      <c r="A35" s="25" t="inlineStr">
        <is>
          <t>LYFT</t>
        </is>
      </c>
      <c r="B35" s="26" t="inlineStr">
        <is>
          <t>Lyft, Inc.</t>
        </is>
      </c>
      <c r="C35" s="49" t="inlineStr">
        <is>
          <t>Breakout</t>
        </is>
      </c>
      <c r="D35" s="28" t="inlineStr">
        <is>
          <t>Medium</t>
        </is>
      </c>
      <c r="E35" s="26" t="inlineStr">
        <is>
          <t>Emerging Watch</t>
        </is>
      </c>
      <c r="F35" s="41" t="n">
        <v>65.5</v>
      </c>
      <c r="G35" s="50" t="inlineStr">
        <is>
          <t>Strengths: healthy margins, minimal dilution, strong fingerprint match. Risks: modest growth.</t>
        </is>
      </c>
      <c r="H35" s="64" t="inlineStr">
        <is>
          <t>✓ healthy margins
✓ minimal dilution
✓ strong fingerprint match</t>
        </is>
      </c>
      <c r="I35" s="65" t="inlineStr">
        <is>
          <t>⚠ modest growth</t>
        </is>
      </c>
    </row>
    <row r="38" ht="22" customHeight="1">
      <c r="A38" s="16" t="inlineStr">
        <is>
          <t>CONVICTION DISTRIBUTION BY TIER</t>
        </is>
      </c>
      <c r="B38" s="17" t="n"/>
      <c r="C38" s="17" t="n"/>
      <c r="D38" s="17" t="n"/>
      <c r="E38" s="17" t="n"/>
      <c r="F38" s="17" t="n"/>
      <c r="G38" s="17" t="n"/>
      <c r="H38" s="17" t="n"/>
      <c r="I38" s="17" t="n"/>
    </row>
    <row r="39">
      <c r="A39" t="inlineStr">
        <is>
          <t>Tier</t>
        </is>
      </c>
      <c r="B39" t="inlineStr">
        <is>
          <t>High</t>
        </is>
      </c>
      <c r="C39" t="inlineStr">
        <is>
          <t>Medium-High</t>
        </is>
      </c>
      <c r="D39" t="inlineStr">
        <is>
          <t>Medium</t>
        </is>
      </c>
      <c r="E39" t="inlineStr">
        <is>
          <t>Speculative</t>
        </is>
      </c>
    </row>
    <row r="40">
      <c r="A40" t="inlineStr">
        <is>
          <t>Nano Cap</t>
        </is>
      </c>
      <c r="B40" t="n">
        <v>0</v>
      </c>
      <c r="C40" t="n">
        <v>2</v>
      </c>
      <c r="D40" t="n">
        <v>8</v>
      </c>
      <c r="E40" t="n">
        <v>0</v>
      </c>
    </row>
    <row r="41">
      <c r="A41" t="inlineStr">
        <is>
          <t>Small Cap</t>
        </is>
      </c>
      <c r="B41" t="n">
        <v>0</v>
      </c>
      <c r="C41" t="n">
        <v>1</v>
      </c>
      <c r="D41" t="n">
        <v>9</v>
      </c>
      <c r="E41" t="n">
        <v>0</v>
      </c>
    </row>
    <row r="42">
      <c r="A42" t="inlineStr">
        <is>
          <t>Breakout</t>
        </is>
      </c>
      <c r="B42" t="n">
        <v>0</v>
      </c>
      <c r="C42" t="n">
        <v>1</v>
      </c>
      <c r="D42" t="n">
        <v>9</v>
      </c>
      <c r="E42" t="n">
        <v>0</v>
      </c>
    </row>
  </sheetData>
  <mergeCells count="3">
    <mergeCell ref="A1:I1"/>
    <mergeCell ref="A38:I38"/>
    <mergeCell ref="A2:I2"/>
  </mergeCells>
  <dataValidations count="3">
    <dataValidation sqref="B4" showDropDown="0" showInputMessage="0" showErrorMessage="0" allowBlank="1" errorTitle="Invalid Selection" error="Please select a valid conviction level" type="list">
      <formula1>"All,High,Medium-High,Medium,Speculative"</formula1>
    </dataValidation>
    <dataValidation sqref="C4" showDropDown="0" showInputMessage="0" showErrorMessage="0" allowBlank="1" type="list">
      <formula1>"All,Nano,Small,Breakout"</formula1>
    </dataValidation>
    <dataValidation sqref="D4" showDropDown="0" showInputMessage="0" showErrorMessage="0" allowBlank="1" type="list">
      <formula1>"All,High-Growth Quality,Fingerprint Match,Insider Conviction,Momentum Breakout,Growth Inflection,Emerging Watch"</formula1>
    </dataValidation>
  </dataValidations>
  <pageMargins left="0.75" right="0.75" top="1" bottom="1" header="0.5" footer="0.5"/>
  <pageSetup orientation="landscape" fitToWidth="1"/>
  <drawing xmlns:r="http://schemas.openxmlformats.org/officeDocument/2006/relationships" r:id="rId1"/>
</worksheet>
</file>

<file path=xl/worksheets/sheet9.xml><?xml version="1.0" encoding="utf-8"?>
<worksheet xmlns="http://schemas.openxmlformats.org/spreadsheetml/2006/main">
  <sheetPr>
    <tabColor rgb="001A6B3C"/>
    <outlinePr summaryBelow="1" summaryRight="1"/>
    <pageSetUpPr fitToPage="1"/>
  </sheetPr>
  <dimension ref="A1:N5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4" customWidth="1" min="10" max="10"/>
    <col width="3" customWidth="1" min="11" max="11"/>
    <col width="14" customWidth="1" min="12" max="12"/>
    <col width="14" customWidth="1" min="13" max="13"/>
    <col width="14" customWidth="1" min="14" max="14"/>
  </cols>
  <sheetData>
    <row r="1" ht="28" customHeight="1">
      <c r="A1" s="30" t="inlineStr">
        <is>
          <t>MODEL PORTFOLIO CONSTRUCTION &amp; RISK METRICS</t>
        </is>
      </c>
      <c r="B1" s="11" t="n"/>
      <c r="C1" s="11" t="n"/>
      <c r="D1" s="11" t="n"/>
      <c r="E1" s="11" t="n"/>
      <c r="F1" s="11" t="n"/>
      <c r="G1" s="11" t="n"/>
      <c r="H1" s="11" t="n"/>
      <c r="I1" s="11" t="n"/>
      <c r="J1" s="11" t="n"/>
      <c r="K1" s="11" t="n"/>
      <c r="L1" s="11" t="n"/>
      <c r="M1" s="11" t="n"/>
      <c r="N1" s="11" t="n"/>
    </row>
    <row r="2" ht="22" customHeight="1">
      <c r="A2" s="31" t="inlineStr">
        <is>
          <t>Position sizing, risk categorization, and portfolio analytics  |  June 06, 2026</t>
        </is>
      </c>
      <c r="B2" s="12" t="n"/>
      <c r="C2" s="12" t="n"/>
      <c r="D2" s="12" t="n"/>
      <c r="E2" s="12" t="n"/>
      <c r="F2" s="12" t="n"/>
      <c r="G2" s="12" t="n"/>
      <c r="H2" s="12" t="n"/>
      <c r="I2" s="12" t="n"/>
      <c r="J2" s="12" t="n"/>
      <c r="K2" s="12" t="n"/>
      <c r="L2" s="12" t="n"/>
      <c r="M2" s="12" t="n"/>
      <c r="N2" s="12" t="n"/>
    </row>
    <row r="4" ht="22" customHeight="1">
      <c r="B4" s="16" t="inlineStr">
        <is>
          <t>PORTFOLIO PARAMETERS</t>
        </is>
      </c>
      <c r="C4" s="17" t="n"/>
      <c r="D4" s="17" t="n"/>
      <c r="E4" s="17" t="n"/>
      <c r="F4" s="17" t="n"/>
      <c r="G4" s="17" t="n"/>
      <c r="H4" s="17" t="n"/>
      <c r="I4" s="17" t="n"/>
      <c r="J4" s="17" t="n"/>
    </row>
    <row r="5" ht="18" customHeight="1">
      <c r="B5" s="66" t="inlineStr">
        <is>
          <t>Portfolio Size ($)</t>
        </is>
      </c>
      <c r="C5" s="67" t="n">
        <v>100000</v>
      </c>
      <c r="D5" s="68" t="inlineStr">
        <is>
          <t>← Input</t>
        </is>
      </c>
    </row>
    <row r="6" ht="18" customHeight="1">
      <c r="B6" s="66" t="inlineStr">
        <is>
          <t>Max Single Position %</t>
        </is>
      </c>
      <c r="C6" s="69" t="n">
        <v>0.08</v>
      </c>
      <c r="D6" s="68" t="inlineStr">
        <is>
          <t>← Input</t>
        </is>
      </c>
    </row>
    <row r="7" ht="18" customHeight="1">
      <c r="B7" s="66" t="inlineStr">
        <is>
          <t>Nano Cap Risk Multiplier</t>
        </is>
      </c>
      <c r="C7" s="70" t="n">
        <v>0.6</v>
      </c>
      <c r="D7" s="68" t="inlineStr">
        <is>
          <t>← Input</t>
        </is>
      </c>
    </row>
    <row r="8" ht="18" customHeight="1">
      <c r="B8" s="66" t="inlineStr">
        <is>
          <t>Breakout Cap Multiplier</t>
        </is>
      </c>
      <c r="C8" s="70" t="n">
        <v>1.2</v>
      </c>
      <c r="D8" s="68" t="inlineStr">
        <is>
          <t>← Input</t>
        </is>
      </c>
    </row>
    <row r="9" ht="18" customHeight="1">
      <c r="B9" s="66" t="inlineStr">
        <is>
          <t>Cash Reserve Target %</t>
        </is>
      </c>
      <c r="C9" s="69" t="n">
        <v>0.1</v>
      </c>
      <c r="D9" s="68" t="inlineStr">
        <is>
          <t>← Input</t>
        </is>
      </c>
    </row>
    <row r="10" ht="8" customHeight="1"/>
    <row r="11" ht="22" customHeight="1">
      <c r="B11" s="16" t="inlineStr">
        <is>
          <t>POSITION SIZING</t>
        </is>
      </c>
      <c r="C11" s="17" t="n"/>
      <c r="D11" s="17" t="n"/>
      <c r="E11" s="17" t="n"/>
      <c r="F11" s="17" t="n"/>
      <c r="G11" s="17" t="n"/>
      <c r="H11" s="17" t="n"/>
      <c r="I11" s="17" t="n"/>
      <c r="J11" s="17" t="n"/>
    </row>
    <row r="12" ht="18" customHeight="1">
      <c r="B12" s="18" t="inlineStr">
        <is>
          <t>Ticker</t>
        </is>
      </c>
      <c r="C12" s="18" t="inlineStr">
        <is>
          <t>Name</t>
        </is>
      </c>
      <c r="D12" s="18" t="inlineStr">
        <is>
          <t>Tier</t>
        </is>
      </c>
      <c r="E12" s="18" t="inlineStr">
        <is>
          <t>Conviction</t>
        </is>
      </c>
      <c r="F12" s="18" t="inlineStr">
        <is>
          <t>Base Wt %</t>
        </is>
      </c>
      <c r="G12" s="18" t="inlineStr">
        <is>
          <t>Risk-Adj Wt %</t>
        </is>
      </c>
      <c r="H12" s="18" t="inlineStr">
        <is>
          <t>Dollar Amt</t>
        </is>
      </c>
      <c r="I12" s="18" t="inlineStr">
        <is>
          <t>Share Ct</t>
        </is>
      </c>
      <c r="J12" s="18" t="inlineStr">
        <is>
          <t>Notes</t>
        </is>
      </c>
    </row>
    <row r="13" ht="16" customHeight="1">
      <c r="B13" s="19" t="inlineStr">
        <is>
          <t>KVHI</t>
        </is>
      </c>
      <c r="C13" s="20" t="inlineStr">
        <is>
          <t>KVH Industries, Inc.</t>
        </is>
      </c>
      <c r="D13" s="47" t="inlineStr">
        <is>
          <t>Nano Cap</t>
        </is>
      </c>
      <c r="E13" s="23" t="inlineStr">
        <is>
          <t>Medium-High</t>
        </is>
      </c>
      <c r="F13" s="34" t="n">
        <v>0.05</v>
      </c>
      <c r="G13" s="71" t="n">
        <v>0.03</v>
      </c>
      <c r="H13" s="72" t="n">
        <v>3000</v>
      </c>
      <c r="I13" s="73" t="n">
        <v>398</v>
      </c>
      <c r="J13" s="74" t="inlineStr">
        <is>
          <t>Medium-High risk</t>
        </is>
      </c>
    </row>
    <row r="14" ht="16" customHeight="1">
      <c r="B14" s="25" t="inlineStr">
        <is>
          <t>EVLV</t>
        </is>
      </c>
      <c r="C14" s="26" t="inlineStr">
        <is>
          <t>Evolv Technologies Holdings, Inc.</t>
        </is>
      </c>
      <c r="D14" s="49" t="inlineStr">
        <is>
          <t>Small Cap</t>
        </is>
      </c>
      <c r="E14" s="23" t="inlineStr">
        <is>
          <t>Medium-High</t>
        </is>
      </c>
      <c r="F14" s="40" t="n">
        <v>0.05</v>
      </c>
      <c r="G14" s="75" t="n">
        <v>0.05</v>
      </c>
      <c r="H14" s="76" t="n">
        <v>5000</v>
      </c>
      <c r="I14" s="77" t="n">
        <v>846</v>
      </c>
      <c r="J14" s="78" t="inlineStr">
        <is>
          <t>Medium-High risk</t>
        </is>
      </c>
    </row>
    <row r="15" ht="16" customHeight="1">
      <c r="B15" s="19" t="inlineStr">
        <is>
          <t>KRMN</t>
        </is>
      </c>
      <c r="C15" s="20" t="inlineStr">
        <is>
          <t>Karman Holdings Inc.</t>
        </is>
      </c>
      <c r="D15" s="47" t="inlineStr">
        <is>
          <t>Breakout</t>
        </is>
      </c>
      <c r="E15" s="23" t="inlineStr">
        <is>
          <t>Medium-High</t>
        </is>
      </c>
      <c r="F15" s="34" t="n">
        <v>0.05</v>
      </c>
      <c r="G15" s="71" t="n">
        <v>0.06</v>
      </c>
      <c r="H15" s="72" t="n">
        <v>6000</v>
      </c>
      <c r="I15" s="73" t="n">
        <v>121</v>
      </c>
      <c r="J15" s="74" t="inlineStr">
        <is>
          <t>Medium-Low risk</t>
        </is>
      </c>
    </row>
    <row r="16" ht="16" customHeight="1">
      <c r="B16" s="25" t="inlineStr">
        <is>
          <t>SCTQ</t>
        </is>
      </c>
      <c r="C16" s="26" t="inlineStr">
        <is>
          <t>Spectra Systems Corporation</t>
        </is>
      </c>
      <c r="D16" s="49" t="inlineStr">
        <is>
          <t>Nano Cap</t>
        </is>
      </c>
      <c r="E16" s="23" t="inlineStr">
        <is>
          <t>Medium-High</t>
        </is>
      </c>
      <c r="F16" s="40" t="n">
        <v>0.05</v>
      </c>
      <c r="G16" s="75" t="n">
        <v>0.03</v>
      </c>
      <c r="H16" s="76" t="n">
        <v>3000</v>
      </c>
      <c r="I16" s="77" t="n">
        <v>1408</v>
      </c>
      <c r="J16" s="78" t="inlineStr">
        <is>
          <t>Medium-High risk</t>
        </is>
      </c>
    </row>
    <row r="17" ht="16" customHeight="1">
      <c r="B17" s="19" t="inlineStr">
        <is>
          <t>KULR</t>
        </is>
      </c>
      <c r="C17" s="20" t="inlineStr">
        <is>
          <t>KULR Technology Group, Inc.</t>
        </is>
      </c>
      <c r="D17" s="47" t="inlineStr">
        <is>
          <t>Nano Cap</t>
        </is>
      </c>
      <c r="E17" s="28" t="inlineStr">
        <is>
          <t>Medium</t>
        </is>
      </c>
      <c r="F17" s="34" t="n">
        <v>0.03</v>
      </c>
      <c r="G17" s="71" t="n">
        <v>0.018</v>
      </c>
      <c r="H17" s="72" t="n">
        <v>1800</v>
      </c>
      <c r="I17" s="73" t="n">
        <v>472</v>
      </c>
      <c r="J17" s="74" t="inlineStr">
        <is>
          <t>Medium-High risk</t>
        </is>
      </c>
    </row>
    <row r="18" ht="16" customHeight="1">
      <c r="B18" s="25" t="inlineStr">
        <is>
          <t>PKE</t>
        </is>
      </c>
      <c r="C18" s="26" t="inlineStr">
        <is>
          <t>Park Aerospace Corp.</t>
        </is>
      </c>
      <c r="D18" s="49" t="inlineStr">
        <is>
          <t>Small Cap</t>
        </is>
      </c>
      <c r="E18" s="28" t="inlineStr">
        <is>
          <t>Medium</t>
        </is>
      </c>
      <c r="F18" s="40" t="n">
        <v>0.03</v>
      </c>
      <c r="G18" s="75" t="n">
        <v>0.03</v>
      </c>
      <c r="H18" s="76" t="n">
        <v>3000</v>
      </c>
      <c r="I18" s="77" t="n">
        <v>92</v>
      </c>
      <c r="J18" s="78" t="inlineStr">
        <is>
          <t>Medium-High risk</t>
        </is>
      </c>
    </row>
    <row r="19" ht="16" customHeight="1">
      <c r="B19" s="19" t="inlineStr">
        <is>
          <t>DSP</t>
        </is>
      </c>
      <c r="C19" s="20" t="inlineStr">
        <is>
          <t>Viant Technology Inc.</t>
        </is>
      </c>
      <c r="D19" s="47" t="inlineStr">
        <is>
          <t>Small Cap</t>
        </is>
      </c>
      <c r="E19" s="28" t="inlineStr">
        <is>
          <t>Medium</t>
        </is>
      </c>
      <c r="F19" s="34" t="n">
        <v>0.03</v>
      </c>
      <c r="G19" s="71" t="n">
        <v>0.03</v>
      </c>
      <c r="H19" s="72" t="n">
        <v>3000</v>
      </c>
      <c r="I19" s="73" t="n">
        <v>247</v>
      </c>
      <c r="J19" s="74" t="inlineStr"/>
    </row>
    <row r="20" ht="16" customHeight="1">
      <c r="B20" s="25" t="inlineStr">
        <is>
          <t>CMCO</t>
        </is>
      </c>
      <c r="C20" s="26" t="inlineStr">
        <is>
          <t>Columbus McKinnon Corporation</t>
        </is>
      </c>
      <c r="D20" s="49" t="inlineStr">
        <is>
          <t>Small Cap</t>
        </is>
      </c>
      <c r="E20" s="28" t="inlineStr">
        <is>
          <t>Medium</t>
        </is>
      </c>
      <c r="F20" s="40" t="n">
        <v>0.03</v>
      </c>
      <c r="G20" s="75" t="n">
        <v>0.03</v>
      </c>
      <c r="H20" s="76" t="n">
        <v>3000</v>
      </c>
      <c r="I20" s="77" t="n">
        <v>232</v>
      </c>
      <c r="J20" s="78" t="inlineStr">
        <is>
          <t>Medium-High risk</t>
        </is>
      </c>
    </row>
    <row r="21" ht="16" customHeight="1">
      <c r="B21" s="19" t="inlineStr">
        <is>
          <t>ESP</t>
        </is>
      </c>
      <c r="C21" s="20" t="inlineStr">
        <is>
          <t>Espey Mfg. &amp; Electronics Corp.</t>
        </is>
      </c>
      <c r="D21" s="47" t="inlineStr">
        <is>
          <t>Nano Cap</t>
        </is>
      </c>
      <c r="E21" s="28" t="inlineStr">
        <is>
          <t>Medium</t>
        </is>
      </c>
      <c r="F21" s="34" t="n">
        <v>0.03</v>
      </c>
      <c r="G21" s="71" t="n">
        <v>0.018</v>
      </c>
      <c r="H21" s="72" t="n">
        <v>1800</v>
      </c>
      <c r="I21" s="73" t="n">
        <v>32</v>
      </c>
      <c r="J21" s="74" t="inlineStr">
        <is>
          <t>Medium-High risk</t>
        </is>
      </c>
    </row>
    <row r="22" ht="16" customHeight="1">
      <c r="B22" s="25" t="inlineStr">
        <is>
          <t>IPGP</t>
        </is>
      </c>
      <c r="C22" s="26" t="inlineStr">
        <is>
          <t>IPG Photonics Corporation</t>
        </is>
      </c>
      <c r="D22" s="49" t="inlineStr">
        <is>
          <t>Breakout</t>
        </is>
      </c>
      <c r="E22" s="28" t="inlineStr">
        <is>
          <t>Medium</t>
        </is>
      </c>
      <c r="F22" s="40" t="n">
        <v>0.03</v>
      </c>
      <c r="G22" s="75" t="n">
        <v>0.036</v>
      </c>
      <c r="H22" s="76" t="n">
        <v>3600</v>
      </c>
      <c r="I22" s="77" t="n">
        <v>33</v>
      </c>
      <c r="J22" s="78" t="inlineStr">
        <is>
          <t>Medium-Low risk</t>
        </is>
      </c>
    </row>
    <row r="23" ht="16" customHeight="1">
      <c r="B23" s="19" t="inlineStr">
        <is>
          <t>BYRN</t>
        </is>
      </c>
      <c r="C23" s="20" t="inlineStr">
        <is>
          <t>Byrna Technologies Inc.</t>
        </is>
      </c>
      <c r="D23" s="47" t="inlineStr">
        <is>
          <t>Nano Cap</t>
        </is>
      </c>
      <c r="E23" s="28" t="inlineStr">
        <is>
          <t>Medium</t>
        </is>
      </c>
      <c r="F23" s="34" t="n">
        <v>0.03</v>
      </c>
      <c r="G23" s="71" t="n">
        <v>0.018</v>
      </c>
      <c r="H23" s="72" t="n">
        <v>1800</v>
      </c>
      <c r="I23" s="73" t="n">
        <v>304</v>
      </c>
      <c r="J23" s="74" t="inlineStr">
        <is>
          <t>Medium-High risk</t>
        </is>
      </c>
    </row>
    <row r="24" ht="16" customHeight="1">
      <c r="B24" s="25" t="inlineStr">
        <is>
          <t>CODA</t>
        </is>
      </c>
      <c r="C24" s="26" t="inlineStr">
        <is>
          <t>Coda Octopus Group, Inc.</t>
        </is>
      </c>
      <c r="D24" s="49" t="inlineStr">
        <is>
          <t>Nano Cap</t>
        </is>
      </c>
      <c r="E24" s="28" t="inlineStr">
        <is>
          <t>Medium</t>
        </is>
      </c>
      <c r="F24" s="40" t="n">
        <v>0.03</v>
      </c>
      <c r="G24" s="75" t="n">
        <v>0.018</v>
      </c>
      <c r="H24" s="76" t="n">
        <v>1800</v>
      </c>
      <c r="I24" s="77" t="n">
        <v>152</v>
      </c>
      <c r="J24" s="78" t="inlineStr">
        <is>
          <t>Medium-High risk</t>
        </is>
      </c>
    </row>
    <row r="25" ht="16" customHeight="1">
      <c r="B25" s="19" t="inlineStr">
        <is>
          <t>INTT</t>
        </is>
      </c>
      <c r="C25" s="20" t="inlineStr">
        <is>
          <t>inTEST Corporation</t>
        </is>
      </c>
      <c r="D25" s="47" t="inlineStr">
        <is>
          <t>Nano Cap</t>
        </is>
      </c>
      <c r="E25" s="28" t="inlineStr">
        <is>
          <t>Medium</t>
        </is>
      </c>
      <c r="F25" s="34" t="n">
        <v>0.03</v>
      </c>
      <c r="G25" s="71" t="n">
        <v>0.018</v>
      </c>
      <c r="H25" s="72" t="n">
        <v>1800</v>
      </c>
      <c r="I25" s="73" t="n">
        <v>122</v>
      </c>
      <c r="J25" s="74" t="inlineStr">
        <is>
          <t>Medium-High risk</t>
        </is>
      </c>
    </row>
    <row r="26" ht="16" customHeight="1">
      <c r="B26" s="25" t="inlineStr">
        <is>
          <t>WSTL</t>
        </is>
      </c>
      <c r="C26" s="26" t="inlineStr">
        <is>
          <t>Westell Technologies, Inc.</t>
        </is>
      </c>
      <c r="D26" s="49" t="inlineStr">
        <is>
          <t>Nano Cap</t>
        </is>
      </c>
      <c r="E26" s="28" t="inlineStr">
        <is>
          <t>Medium</t>
        </is>
      </c>
      <c r="F26" s="40" t="n">
        <v>0.03</v>
      </c>
      <c r="G26" s="75" t="n">
        <v>0.018</v>
      </c>
      <c r="H26" s="76" t="n">
        <v>1800</v>
      </c>
      <c r="I26" s="77" t="n">
        <v>240</v>
      </c>
      <c r="J26" s="78" t="inlineStr">
        <is>
          <t>High risk</t>
        </is>
      </c>
    </row>
    <row r="27" ht="16" customHeight="1">
      <c r="B27" s="19" t="inlineStr">
        <is>
          <t>ARLO</t>
        </is>
      </c>
      <c r="C27" s="20" t="inlineStr">
        <is>
          <t>Arlo Technologies, Inc.</t>
        </is>
      </c>
      <c r="D27" s="47" t="inlineStr">
        <is>
          <t>Small Cap</t>
        </is>
      </c>
      <c r="E27" s="28" t="inlineStr">
        <is>
          <t>Medium</t>
        </is>
      </c>
      <c r="F27" s="34" t="n">
        <v>0.03</v>
      </c>
      <c r="G27" s="71" t="n">
        <v>0.03</v>
      </c>
      <c r="H27" s="72" t="n">
        <v>3000</v>
      </c>
      <c r="I27" s="73" t="n">
        <v>234</v>
      </c>
      <c r="J27" s="74" t="inlineStr">
        <is>
          <t>Medium-High risk</t>
        </is>
      </c>
    </row>
    <row r="28" ht="16" customHeight="1">
      <c r="B28" s="25" t="inlineStr">
        <is>
          <t>TAYD</t>
        </is>
      </c>
      <c r="C28" s="26" t="inlineStr">
        <is>
          <t>Taylor Devices, Inc.</t>
        </is>
      </c>
      <c r="D28" s="49" t="inlineStr">
        <is>
          <t>Nano Cap</t>
        </is>
      </c>
      <c r="E28" s="28" t="inlineStr">
        <is>
          <t>Medium</t>
        </is>
      </c>
      <c r="F28" s="40" t="n">
        <v>0.03</v>
      </c>
      <c r="G28" s="75" t="n">
        <v>0.018</v>
      </c>
      <c r="H28" s="76" t="n">
        <v>1800</v>
      </c>
      <c r="I28" s="77" t="n">
        <v>33</v>
      </c>
      <c r="J28" s="78" t="inlineStr">
        <is>
          <t>Medium-High risk</t>
        </is>
      </c>
    </row>
    <row r="29" ht="16" customHeight="1">
      <c r="B29" s="19" t="inlineStr">
        <is>
          <t>ESI</t>
        </is>
      </c>
      <c r="C29" s="20" t="inlineStr">
        <is>
          <t>Element Solutions Inc</t>
        </is>
      </c>
      <c r="D29" s="47" t="inlineStr">
        <is>
          <t>Breakout</t>
        </is>
      </c>
      <c r="E29" s="28" t="inlineStr">
        <is>
          <t>Medium</t>
        </is>
      </c>
      <c r="F29" s="34" t="n">
        <v>0.03</v>
      </c>
      <c r="G29" s="71" t="n">
        <v>0.036</v>
      </c>
      <c r="H29" s="72" t="n">
        <v>3600</v>
      </c>
      <c r="I29" s="73" t="n">
        <v>90</v>
      </c>
      <c r="J29" s="74" t="inlineStr">
        <is>
          <t>Medium-Low risk</t>
        </is>
      </c>
    </row>
    <row r="30" ht="16" customHeight="1">
      <c r="B30" s="25" t="inlineStr">
        <is>
          <t>NSSC</t>
        </is>
      </c>
      <c r="C30" s="26" t="inlineStr">
        <is>
          <t>Napco Security Technologies, Inc.</t>
        </is>
      </c>
      <c r="D30" s="49" t="inlineStr">
        <is>
          <t>Small Cap</t>
        </is>
      </c>
      <c r="E30" s="28" t="inlineStr">
        <is>
          <t>Medium</t>
        </is>
      </c>
      <c r="F30" s="40" t="n">
        <v>0.03</v>
      </c>
      <c r="G30" s="75" t="n">
        <v>0.03</v>
      </c>
      <c r="H30" s="76" t="n">
        <v>3000</v>
      </c>
      <c r="I30" s="77" t="n">
        <v>85</v>
      </c>
      <c r="J30" s="78" t="inlineStr"/>
    </row>
    <row r="31" ht="16" customHeight="1">
      <c r="B31" s="19" t="inlineStr">
        <is>
          <t>AMBA</t>
        </is>
      </c>
      <c r="C31" s="20" t="inlineStr">
        <is>
          <t>Ambarella, Inc.</t>
        </is>
      </c>
      <c r="D31" s="47" t="inlineStr">
        <is>
          <t>Breakout</t>
        </is>
      </c>
      <c r="E31" s="28" t="inlineStr">
        <is>
          <t>Medium</t>
        </is>
      </c>
      <c r="F31" s="34" t="n">
        <v>0.03</v>
      </c>
      <c r="G31" s="71" t="n">
        <v>0.036</v>
      </c>
      <c r="H31" s="72" t="n">
        <v>3600</v>
      </c>
      <c r="I31" s="73" t="n">
        <v>56</v>
      </c>
      <c r="J31" s="74" t="inlineStr">
        <is>
          <t>Medium-Low risk</t>
        </is>
      </c>
    </row>
    <row r="32" ht="16" customHeight="1">
      <c r="B32" s="25" t="inlineStr">
        <is>
          <t>SLP</t>
        </is>
      </c>
      <c r="C32" s="26" t="inlineStr">
        <is>
          <t>Simulations Plus, Inc.</t>
        </is>
      </c>
      <c r="D32" s="49" t="inlineStr">
        <is>
          <t>Small Cap</t>
        </is>
      </c>
      <c r="E32" s="28" t="inlineStr">
        <is>
          <t>Medium</t>
        </is>
      </c>
      <c r="F32" s="40" t="n">
        <v>0.03</v>
      </c>
      <c r="G32" s="75" t="n">
        <v>0.03</v>
      </c>
      <c r="H32" s="76" t="n">
        <v>3000</v>
      </c>
      <c r="I32" s="77" t="n">
        <v>188</v>
      </c>
      <c r="J32" s="78" t="inlineStr">
        <is>
          <t>Medium-High risk</t>
        </is>
      </c>
    </row>
    <row r="33" ht="16" customHeight="1">
      <c r="B33" s="19" t="inlineStr">
        <is>
          <t>ADTN</t>
        </is>
      </c>
      <c r="C33" s="20" t="inlineStr">
        <is>
          <t>ADTRAN Holdings, Inc.</t>
        </is>
      </c>
      <c r="D33" s="47" t="inlineStr">
        <is>
          <t>Small Cap</t>
        </is>
      </c>
      <c r="E33" s="28" t="inlineStr">
        <is>
          <t>Medium</t>
        </is>
      </c>
      <c r="F33" s="34" t="n">
        <v>0.03</v>
      </c>
      <c r="G33" s="71" t="n">
        <v>0.03</v>
      </c>
      <c r="H33" s="72" t="n">
        <v>3000</v>
      </c>
      <c r="I33" s="73" t="n">
        <v>195</v>
      </c>
      <c r="J33" s="74" t="inlineStr"/>
    </row>
    <row r="34" ht="16" customHeight="1">
      <c r="B34" s="25" t="inlineStr">
        <is>
          <t>WYFI</t>
        </is>
      </c>
      <c r="C34" s="26" t="inlineStr">
        <is>
          <t>WhiteFiber, Inc. Ordinary Shares</t>
        </is>
      </c>
      <c r="D34" s="49" t="inlineStr">
        <is>
          <t>Small Cap</t>
        </is>
      </c>
      <c r="E34" s="28" t="inlineStr">
        <is>
          <t>Medium</t>
        </is>
      </c>
      <c r="F34" s="40" t="n">
        <v>0.03</v>
      </c>
      <c r="G34" s="75" t="n">
        <v>0.03</v>
      </c>
      <c r="H34" s="76" t="n">
        <v>3000</v>
      </c>
      <c r="I34" s="77" t="n">
        <v>128</v>
      </c>
      <c r="J34" s="78" t="inlineStr"/>
    </row>
    <row r="35" ht="16" customHeight="1">
      <c r="B35" s="19" t="inlineStr">
        <is>
          <t>BLFS</t>
        </is>
      </c>
      <c r="C35" s="20" t="inlineStr">
        <is>
          <t>BioLife Solutions, Inc.</t>
        </is>
      </c>
      <c r="D35" s="47" t="inlineStr">
        <is>
          <t>Small Cap</t>
        </is>
      </c>
      <c r="E35" s="28" t="inlineStr">
        <is>
          <t>Medium</t>
        </is>
      </c>
      <c r="F35" s="34" t="n">
        <v>0.03</v>
      </c>
      <c r="G35" s="71" t="n">
        <v>0.03</v>
      </c>
      <c r="H35" s="72" t="n">
        <v>3000</v>
      </c>
      <c r="I35" s="73" t="n">
        <v>112</v>
      </c>
      <c r="J35" s="74" t="inlineStr">
        <is>
          <t>Medium-High risk</t>
        </is>
      </c>
    </row>
    <row r="36" ht="16" customHeight="1">
      <c r="B36" s="25" t="inlineStr">
        <is>
          <t>LAW</t>
        </is>
      </c>
      <c r="C36" s="26" t="inlineStr">
        <is>
          <t>CS Disco, Inc.</t>
        </is>
      </c>
      <c r="D36" s="49" t="inlineStr">
        <is>
          <t>Nano Cap</t>
        </is>
      </c>
      <c r="E36" s="28" t="inlineStr">
        <is>
          <t>Medium</t>
        </is>
      </c>
      <c r="F36" s="40" t="n">
        <v>0.03</v>
      </c>
      <c r="G36" s="75" t="n">
        <v>0.018</v>
      </c>
      <c r="H36" s="76" t="n">
        <v>1800</v>
      </c>
      <c r="I36" s="77" t="n">
        <v>477</v>
      </c>
      <c r="J36" s="78" t="inlineStr">
        <is>
          <t>Medium-High risk</t>
        </is>
      </c>
    </row>
    <row r="37" ht="16" customHeight="1">
      <c r="B37" s="19" t="inlineStr">
        <is>
          <t>RUN</t>
        </is>
      </c>
      <c r="C37" s="20" t="inlineStr">
        <is>
          <t>Sunrun Inc.</t>
        </is>
      </c>
      <c r="D37" s="47" t="inlineStr">
        <is>
          <t>Breakout</t>
        </is>
      </c>
      <c r="E37" s="28" t="inlineStr">
        <is>
          <t>Medium</t>
        </is>
      </c>
      <c r="F37" s="34" t="n">
        <v>0.03</v>
      </c>
      <c r="G37" s="71" t="n">
        <v>0.036</v>
      </c>
      <c r="H37" s="72" t="n">
        <v>3600</v>
      </c>
      <c r="I37" s="73" t="n">
        <v>269</v>
      </c>
      <c r="J37" s="74" t="inlineStr">
        <is>
          <t>Medium-High risk</t>
        </is>
      </c>
    </row>
    <row r="38" ht="16" customHeight="1">
      <c r="B38" s="25" t="inlineStr">
        <is>
          <t>FELE</t>
        </is>
      </c>
      <c r="C38" s="26" t="inlineStr">
        <is>
          <t>Franklin Electric Co., Inc.</t>
        </is>
      </c>
      <c r="D38" s="49" t="inlineStr">
        <is>
          <t>Breakout</t>
        </is>
      </c>
      <c r="E38" s="28" t="inlineStr">
        <is>
          <t>Medium</t>
        </is>
      </c>
      <c r="F38" s="40" t="n">
        <v>0.03</v>
      </c>
      <c r="G38" s="75" t="n">
        <v>0.036</v>
      </c>
      <c r="H38" s="76" t="n">
        <v>3600</v>
      </c>
      <c r="I38" s="77" t="n">
        <v>36</v>
      </c>
      <c r="J38" s="78" t="inlineStr">
        <is>
          <t>Medium-Low risk</t>
        </is>
      </c>
    </row>
    <row r="39" ht="16" customHeight="1">
      <c r="B39" s="19" t="inlineStr">
        <is>
          <t>PATH</t>
        </is>
      </c>
      <c r="C39" s="20" t="inlineStr">
        <is>
          <t>UiPath Inc.</t>
        </is>
      </c>
      <c r="D39" s="47" t="inlineStr">
        <is>
          <t>Breakout</t>
        </is>
      </c>
      <c r="E39" s="28" t="inlineStr">
        <is>
          <t>Medium</t>
        </is>
      </c>
      <c r="F39" s="34" t="n">
        <v>0.03</v>
      </c>
      <c r="G39" s="71" t="n">
        <v>0.036</v>
      </c>
      <c r="H39" s="72" t="n">
        <v>3600</v>
      </c>
      <c r="I39" s="73" t="n">
        <v>320</v>
      </c>
      <c r="J39" s="74" t="inlineStr">
        <is>
          <t>Medium-Low risk</t>
        </is>
      </c>
    </row>
    <row r="40" ht="16" customHeight="1">
      <c r="B40" s="25" t="inlineStr">
        <is>
          <t>BRC</t>
        </is>
      </c>
      <c r="C40" s="26" t="inlineStr">
        <is>
          <t>Brady Corporation</t>
        </is>
      </c>
      <c r="D40" s="49" t="inlineStr">
        <is>
          <t>Breakout</t>
        </is>
      </c>
      <c r="E40" s="28" t="inlineStr">
        <is>
          <t>Medium</t>
        </is>
      </c>
      <c r="F40" s="40" t="n">
        <v>0.03</v>
      </c>
      <c r="G40" s="75" t="n">
        <v>0.036</v>
      </c>
      <c r="H40" s="76" t="n">
        <v>3600</v>
      </c>
      <c r="I40" s="77" t="n">
        <v>40</v>
      </c>
      <c r="J40" s="78" t="inlineStr">
        <is>
          <t>Medium-Low risk</t>
        </is>
      </c>
    </row>
    <row r="41" ht="16" customHeight="1">
      <c r="B41" s="19" t="inlineStr">
        <is>
          <t>ALGM</t>
        </is>
      </c>
      <c r="C41" s="20" t="inlineStr">
        <is>
          <t>Allegro MicroSystems, Inc.</t>
        </is>
      </c>
      <c r="D41" s="47" t="inlineStr">
        <is>
          <t>Breakout</t>
        </is>
      </c>
      <c r="E41" s="28" t="inlineStr">
        <is>
          <t>Medium</t>
        </is>
      </c>
      <c r="F41" s="34" t="n">
        <v>0.03</v>
      </c>
      <c r="G41" s="71" t="n">
        <v>0.036</v>
      </c>
      <c r="H41" s="72" t="n">
        <v>3600</v>
      </c>
      <c r="I41" s="73" t="n">
        <v>77</v>
      </c>
      <c r="J41" s="74" t="inlineStr">
        <is>
          <t>Medium-Low risk</t>
        </is>
      </c>
    </row>
    <row r="42" ht="16" customHeight="1">
      <c r="B42" s="25" t="inlineStr">
        <is>
          <t>LYFT</t>
        </is>
      </c>
      <c r="C42" s="26" t="inlineStr">
        <is>
          <t>Lyft, Inc.</t>
        </is>
      </c>
      <c r="D42" s="49" t="inlineStr">
        <is>
          <t>Breakout</t>
        </is>
      </c>
      <c r="E42" s="28" t="inlineStr">
        <is>
          <t>Medium</t>
        </is>
      </c>
      <c r="F42" s="40" t="n">
        <v>0.03</v>
      </c>
      <c r="G42" s="75" t="n">
        <v>0.036</v>
      </c>
      <c r="H42" s="76" t="n">
        <v>3600</v>
      </c>
      <c r="I42" s="77" t="n">
        <v>263</v>
      </c>
      <c r="J42" s="78" t="inlineStr">
        <is>
          <t>Medium-Low risk</t>
        </is>
      </c>
    </row>
    <row r="44">
      <c r="B44" s="79" t="inlineStr">
        <is>
          <t>TOTAL ALLOCATED</t>
        </is>
      </c>
      <c r="C44" s="80" t="n"/>
      <c r="D44" s="80" t="n"/>
      <c r="E44" s="80" t="n"/>
      <c r="F44" s="80" t="n"/>
      <c r="G44" s="81" t="n">
        <v>0.9079999999999996</v>
      </c>
      <c r="H44" s="82" t="n">
        <v>90800</v>
      </c>
    </row>
    <row r="45">
      <c r="B45" s="79" t="inlineStr">
        <is>
          <t>CASH RESERVE</t>
        </is>
      </c>
      <c r="C45" s="80" t="n"/>
      <c r="D45" s="80" t="n"/>
      <c r="E45" s="80" t="n"/>
      <c r="F45" s="80" t="n"/>
      <c r="G45" s="83" t="n">
        <v>0.09200000000000046</v>
      </c>
      <c r="H45" s="84" t="n">
        <v>9200</v>
      </c>
    </row>
    <row r="48" ht="22" customHeight="1">
      <c r="B48" s="16" t="inlineStr">
        <is>
          <t>SENSITIVITY TO PORTFOLIO SIZE</t>
        </is>
      </c>
      <c r="C48" s="17" t="n"/>
      <c r="D48" s="17" t="n"/>
      <c r="E48" s="17" t="n"/>
      <c r="F48" s="17" t="n"/>
      <c r="G48" s="17" t="n"/>
      <c r="H48" s="17" t="n"/>
      <c r="I48" s="17" t="n"/>
      <c r="J48" s="17" t="n"/>
    </row>
    <row r="49" ht="18" customHeight="1">
      <c r="B49" s="18" t="inlineStr">
        <is>
          <t>Ticker</t>
        </is>
      </c>
      <c r="C49" s="18" t="inlineStr">
        <is>
          <t>$50K</t>
        </is>
      </c>
      <c r="D49" s="18" t="inlineStr">
        <is>
          <t>$100K</t>
        </is>
      </c>
      <c r="E49" s="18" t="inlineStr">
        <is>
          <t>$250K</t>
        </is>
      </c>
      <c r="F49" s="18" t="inlineStr">
        <is>
          <t>$500K</t>
        </is>
      </c>
      <c r="G49" s="18" t="inlineStr">
        <is>
          <t>$1M</t>
        </is>
      </c>
      <c r="L49" t="inlineStr">
        <is>
          <t>Tier</t>
        </is>
      </c>
      <c r="M49" t="inlineStr">
        <is>
          <t>Allocation %</t>
        </is>
      </c>
    </row>
    <row r="50" ht="16" customHeight="1">
      <c r="B50" s="19" t="inlineStr">
        <is>
          <t>KVHI</t>
        </is>
      </c>
      <c r="C50" s="21" t="n">
        <v>1500</v>
      </c>
      <c r="D50" s="85" t="n">
        <v>3000</v>
      </c>
      <c r="E50" s="21" t="n">
        <v>7500</v>
      </c>
      <c r="F50" s="21" t="n">
        <v>15000</v>
      </c>
      <c r="G50" s="21" t="n">
        <v>30000</v>
      </c>
      <c r="L50" t="inlineStr">
        <is>
          <t>Nano Cap</t>
        </is>
      </c>
      <c r="M50" t="n">
        <v>20.4</v>
      </c>
    </row>
    <row r="51" ht="16" customHeight="1">
      <c r="B51" s="25" t="inlineStr">
        <is>
          <t>EVLV</t>
        </is>
      </c>
      <c r="C51" s="27" t="n">
        <v>2500</v>
      </c>
      <c r="D51" s="85" t="n">
        <v>5000</v>
      </c>
      <c r="E51" s="27" t="n">
        <v>12500</v>
      </c>
      <c r="F51" s="27" t="n">
        <v>25000</v>
      </c>
      <c r="G51" s="27" t="n">
        <v>50000</v>
      </c>
      <c r="L51" t="inlineStr">
        <is>
          <t>Small Cap</t>
        </is>
      </c>
      <c r="M51" t="n">
        <v>32</v>
      </c>
    </row>
    <row r="52" ht="16" customHeight="1">
      <c r="B52" s="19" t="inlineStr">
        <is>
          <t>KRMN</t>
        </is>
      </c>
      <c r="C52" s="21" t="n">
        <v>3000</v>
      </c>
      <c r="D52" s="85" t="n">
        <v>6000</v>
      </c>
      <c r="E52" s="21" t="n">
        <v>15000</v>
      </c>
      <c r="F52" s="21" t="n">
        <v>30000</v>
      </c>
      <c r="G52" s="21" t="n">
        <v>60000</v>
      </c>
      <c r="L52" t="inlineStr">
        <is>
          <t>Breakout</t>
        </is>
      </c>
      <c r="M52" t="n">
        <v>38.40000000000001</v>
      </c>
    </row>
    <row r="53" ht="16" customHeight="1">
      <c r="B53" s="25" t="inlineStr">
        <is>
          <t>SCTQ</t>
        </is>
      </c>
      <c r="C53" s="27" t="n">
        <v>1500</v>
      </c>
      <c r="D53" s="85" t="n">
        <v>3000</v>
      </c>
      <c r="E53" s="27" t="n">
        <v>7500</v>
      </c>
      <c r="F53" s="27" t="n">
        <v>15000</v>
      </c>
      <c r="G53" s="27" t="n">
        <v>30000</v>
      </c>
      <c r="L53" t="inlineStr">
        <is>
          <t>Cash</t>
        </is>
      </c>
      <c r="M53" t="n">
        <v>9.200000000000045</v>
      </c>
    </row>
    <row r="54" ht="16" customHeight="1">
      <c r="B54" s="19" t="inlineStr">
        <is>
          <t>KULR</t>
        </is>
      </c>
      <c r="C54" s="21" t="n">
        <v>900.0000000000001</v>
      </c>
      <c r="D54" s="85" t="n">
        <v>1800</v>
      </c>
      <c r="E54" s="21" t="n">
        <v>4500.000000000001</v>
      </c>
      <c r="F54" s="21" t="n">
        <v>9000.000000000002</v>
      </c>
      <c r="G54" s="21" t="n">
        <v>18000</v>
      </c>
    </row>
    <row r="55" ht="16" customHeight="1">
      <c r="B55" s="25" t="inlineStr">
        <is>
          <t>PKE</t>
        </is>
      </c>
      <c r="C55" s="27" t="n">
        <v>1500</v>
      </c>
      <c r="D55" s="85" t="n">
        <v>3000</v>
      </c>
      <c r="E55" s="27" t="n">
        <v>7500</v>
      </c>
      <c r="F55" s="27" t="n">
        <v>15000</v>
      </c>
      <c r="G55" s="27" t="n">
        <v>30000</v>
      </c>
    </row>
    <row r="56" ht="16" customHeight="1">
      <c r="B56" s="19" t="inlineStr">
        <is>
          <t>DSP</t>
        </is>
      </c>
      <c r="C56" s="21" t="n">
        <v>1500</v>
      </c>
      <c r="D56" s="85" t="n">
        <v>3000</v>
      </c>
      <c r="E56" s="21" t="n">
        <v>7500</v>
      </c>
      <c r="F56" s="21" t="n">
        <v>15000</v>
      </c>
      <c r="G56" s="21" t="n">
        <v>30000</v>
      </c>
    </row>
    <row r="57" ht="16" customHeight="1">
      <c r="B57" s="25" t="inlineStr">
        <is>
          <t>CMCO</t>
        </is>
      </c>
      <c r="C57" s="27" t="n">
        <v>1500</v>
      </c>
      <c r="D57" s="85" t="n">
        <v>3000</v>
      </c>
      <c r="E57" s="27" t="n">
        <v>7500</v>
      </c>
      <c r="F57" s="27" t="n">
        <v>15000</v>
      </c>
      <c r="G57" s="27" t="n">
        <v>30000</v>
      </c>
    </row>
    <row r="58" ht="16" customHeight="1">
      <c r="B58" s="19" t="inlineStr">
        <is>
          <t>ESP</t>
        </is>
      </c>
      <c r="C58" s="21" t="n">
        <v>900.0000000000001</v>
      </c>
      <c r="D58" s="85" t="n">
        <v>1800</v>
      </c>
      <c r="E58" s="21" t="n">
        <v>4500.000000000001</v>
      </c>
      <c r="F58" s="21" t="n">
        <v>9000.000000000002</v>
      </c>
      <c r="G58" s="21" t="n">
        <v>18000</v>
      </c>
    </row>
    <row r="59" ht="16" customHeight="1">
      <c r="B59" s="25" t="inlineStr">
        <is>
          <t>IPGP</t>
        </is>
      </c>
      <c r="C59" s="27" t="n">
        <v>1800</v>
      </c>
      <c r="D59" s="85" t="n">
        <v>3600</v>
      </c>
      <c r="E59" s="27" t="n">
        <v>9000.000000000002</v>
      </c>
      <c r="F59" s="27" t="n">
        <v>18000</v>
      </c>
      <c r="G59" s="27" t="n">
        <v>36000.00000000001</v>
      </c>
    </row>
  </sheetData>
  <mergeCells count="5">
    <mergeCell ref="B11:J11"/>
    <mergeCell ref="A2:N2"/>
    <mergeCell ref="B4:J4"/>
    <mergeCell ref="B48:J48"/>
    <mergeCell ref="A1:N1"/>
  </mergeCells>
  <pageMargins left="0.75" right="0.75" top="1" bottom="1" header="0.5" footer="0.5"/>
  <pageSetup orientation="landscape" fitToWidth="1"/>
  <drawing xmlns:r="http://schemas.openxmlformats.org/officeDocument/2006/relationships" r:id="rId1"/>
</worksheet>
</file>

<file path=xl/worksheets/sheet10.xml><?xml version="1.0" encoding="utf-8"?>
<worksheet xmlns="http://schemas.openxmlformats.org/spreadsheetml/2006/main">
  <sheetPr>
    <tabColor rgb="00E76F51"/>
    <outlinePr summaryBelow="1" summaryRight="1"/>
    <pageSetUpPr fitToPage="1"/>
  </sheetPr>
  <dimension ref="A1:M5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4" customWidth="1" min="3" max="3"/>
    <col width="12" customWidth="1" min="4" max="4"/>
    <col width="14" customWidth="1" min="5" max="5"/>
    <col width="14" customWidth="1" min="6" max="6"/>
    <col width="14" customWidth="1" min="7" max="7"/>
    <col width="14" customWidth="1" min="8" max="8"/>
    <col width="14" customWidth="1" min="9" max="9"/>
    <col width="12" customWidth="1" min="10" max="10"/>
    <col width="12" customWidth="1" min="11" max="11"/>
    <col width="12" customWidth="1" min="12" max="12"/>
    <col width="14" customWidth="1" min="13" max="13"/>
  </cols>
  <sheetData>
    <row r="1" ht="28" customHeight="1">
      <c r="A1" s="30" t="inlineStr">
        <is>
          <t>SENSITIVITY ANALYSIS — WEIGHT PROFILE COMPARISON</t>
        </is>
      </c>
      <c r="B1" s="11" t="n"/>
      <c r="C1" s="11" t="n"/>
      <c r="D1" s="11" t="n"/>
      <c r="E1" s="11" t="n"/>
      <c r="F1" s="11" t="n"/>
      <c r="G1" s="11" t="n"/>
      <c r="H1" s="11" t="n"/>
      <c r="I1" s="11" t="n"/>
      <c r="J1" s="11" t="n"/>
      <c r="K1" s="11" t="n"/>
      <c r="L1" s="11" t="n"/>
      <c r="M1" s="11" t="n"/>
    </row>
    <row r="2" ht="22" customHeight="1">
      <c r="A2" s="31" t="inlineStr">
        <is>
          <t>How scores change under different weighting assumptions</t>
        </is>
      </c>
      <c r="B2" s="12" t="n"/>
      <c r="C2" s="12" t="n"/>
      <c r="D2" s="12" t="n"/>
      <c r="E2" s="12" t="n"/>
      <c r="F2" s="12" t="n"/>
      <c r="G2" s="12" t="n"/>
      <c r="H2" s="12" t="n"/>
      <c r="I2" s="12" t="n"/>
      <c r="J2" s="12" t="n"/>
      <c r="K2" s="12" t="n"/>
      <c r="L2" s="12" t="n"/>
      <c r="M2" s="12" t="n"/>
    </row>
    <row r="4" ht="22" customHeight="1">
      <c r="B4" s="16" t="inlineStr">
        <is>
          <t>SCENARIO CONTROL PANEL</t>
        </is>
      </c>
      <c r="C4" s="17" t="n"/>
      <c r="D4" s="17" t="n"/>
      <c r="E4" s="17" t="n"/>
      <c r="F4" s="17" t="n"/>
      <c r="G4" s="17" t="n"/>
      <c r="H4" s="17" t="n"/>
      <c r="I4" s="17" t="n"/>
      <c r="J4" s="17" t="n"/>
      <c r="K4" s="17" t="n"/>
      <c r="L4" s="17" t="n"/>
      <c r="M4" s="17" t="n"/>
    </row>
    <row r="5">
      <c r="B5" s="86" t="inlineStr">
        <is>
          <t>Active Scenario:</t>
        </is>
      </c>
      <c r="C5" s="63" t="inlineStr">
        <is>
          <t>Baseline</t>
        </is>
      </c>
    </row>
    <row r="7" ht="18" customHeight="1">
      <c r="B7" s="18" t="inlineStr">
        <is>
          <t>Weight</t>
        </is>
      </c>
      <c r="C7" s="18" t="inlineStr">
        <is>
          <t>Baseline</t>
        </is>
      </c>
      <c r="D7" s="18" t="inlineStr">
        <is>
          <t>Growth Focus</t>
        </is>
      </c>
      <c r="E7" s="18" t="inlineStr">
        <is>
          <t>Quality Focus</t>
        </is>
      </c>
      <c r="F7" s="18" t="inlineStr">
        <is>
          <t>Insider Focus</t>
        </is>
      </c>
      <c r="G7" s="18" t="inlineStr">
        <is>
          <t>Custom</t>
        </is>
      </c>
    </row>
    <row r="8" ht="16" customHeight="1">
      <c r="B8" s="20" t="inlineStr">
        <is>
          <t>Revenue Growth</t>
        </is>
      </c>
      <c r="C8" s="87" t="n">
        <v>0.3</v>
      </c>
      <c r="D8" s="88" t="n">
        <v>0.4</v>
      </c>
      <c r="E8" s="88" t="n">
        <v>0.2</v>
      </c>
      <c r="F8" s="88" t="n">
        <v>0.2</v>
      </c>
      <c r="G8" s="89" t="n">
        <v>0.3</v>
      </c>
    </row>
    <row r="9" ht="16" customHeight="1">
      <c r="B9" s="20" t="inlineStr">
        <is>
          <t>Gross Margin</t>
        </is>
      </c>
      <c r="C9" s="87" t="n">
        <v>0.2</v>
      </c>
      <c r="D9" s="88" t="n">
        <v>0.15</v>
      </c>
      <c r="E9" s="88" t="n">
        <v>0.3</v>
      </c>
      <c r="F9" s="88" t="n">
        <v>0.15</v>
      </c>
      <c r="G9" s="89" t="n">
        <v>0.2</v>
      </c>
    </row>
    <row r="10" ht="16" customHeight="1">
      <c r="B10" s="20" t="inlineStr">
        <is>
          <t>Dilution</t>
        </is>
      </c>
      <c r="C10" s="87" t="n">
        <v>0.2</v>
      </c>
      <c r="D10" s="88" t="n">
        <v>0.15</v>
      </c>
      <c r="E10" s="88" t="n">
        <v>0.25</v>
      </c>
      <c r="F10" s="88" t="n">
        <v>0.2</v>
      </c>
      <c r="G10" s="89" t="n">
        <v>0.2</v>
      </c>
    </row>
    <row r="11" ht="16" customHeight="1">
      <c r="B11" s="20" t="inlineStr">
        <is>
          <t>Insider Ownership</t>
        </is>
      </c>
      <c r="C11" s="87" t="n">
        <v>0.15</v>
      </c>
      <c r="D11" s="88" t="n">
        <v>0.1</v>
      </c>
      <c r="E11" s="88" t="n">
        <v>0.15</v>
      </c>
      <c r="F11" s="88" t="n">
        <v>0.35</v>
      </c>
      <c r="G11" s="89" t="n">
        <v>0.15</v>
      </c>
    </row>
    <row r="12" ht="16" customHeight="1">
      <c r="B12" s="20" t="inlineStr">
        <is>
          <t>Revenue Acceleration</t>
        </is>
      </c>
      <c r="C12" s="87" t="n">
        <v>0.15</v>
      </c>
      <c r="D12" s="88" t="n">
        <v>0.2</v>
      </c>
      <c r="E12" s="88" t="n">
        <v>0.1</v>
      </c>
      <c r="F12" s="88" t="n">
        <v>0.1</v>
      </c>
      <c r="G12" s="89" t="n">
        <v>0.15</v>
      </c>
    </row>
    <row r="14" ht="22" customHeight="1">
      <c r="B14" s="16" t="inlineStr">
        <is>
          <t>COMBINED SCORES UNDER EACH PROFILE</t>
        </is>
      </c>
      <c r="C14" s="17" t="n"/>
      <c r="D14" s="17" t="n"/>
      <c r="E14" s="17" t="n"/>
      <c r="F14" s="17" t="n"/>
      <c r="G14" s="17" t="n"/>
      <c r="H14" s="17" t="n"/>
      <c r="I14" s="17" t="n"/>
      <c r="J14" s="17" t="n"/>
      <c r="K14" s="17" t="n"/>
      <c r="L14" s="17" t="n"/>
      <c r="M14" s="17" t="n"/>
    </row>
    <row r="15" ht="18" customHeight="1">
      <c r="B15" s="18" t="inlineStr">
        <is>
          <t>Ticker</t>
        </is>
      </c>
      <c r="C15" s="18" t="inlineStr">
        <is>
          <t>Name</t>
        </is>
      </c>
      <c r="D15" s="18" t="inlineStr">
        <is>
          <t>Tier</t>
        </is>
      </c>
      <c r="E15" s="18" t="inlineStr">
        <is>
          <t>Baseline</t>
        </is>
      </c>
      <c r="F15" s="18" t="inlineStr">
        <is>
          <t>Growth Focus</t>
        </is>
      </c>
      <c r="G15" s="18" t="inlineStr">
        <is>
          <t>Quality Focus</t>
        </is>
      </c>
      <c r="H15" s="18" t="inlineStr">
        <is>
          <t>Insider Focus</t>
        </is>
      </c>
      <c r="I15" s="18" t="inlineStr">
        <is>
          <t>Max Score</t>
        </is>
      </c>
      <c r="J15" s="18" t="inlineStr">
        <is>
          <t>Min Score</t>
        </is>
      </c>
      <c r="K15" s="18" t="inlineStr">
        <is>
          <t>Score Range</t>
        </is>
      </c>
      <c r="L15" s="18" t="inlineStr">
        <is>
          <t>Rank Stability</t>
        </is>
      </c>
    </row>
    <row r="16" ht="16" customHeight="1">
      <c r="B16" s="19" t="inlineStr">
        <is>
          <t>KVHI</t>
        </is>
      </c>
      <c r="C16" s="20" t="inlineStr">
        <is>
          <t>KVH Industries, Inc.</t>
        </is>
      </c>
      <c r="D16" s="47" t="inlineStr">
        <is>
          <t>Nano Cap</t>
        </is>
      </c>
      <c r="E16" s="35" t="n">
        <v>84.59999999999999</v>
      </c>
      <c r="F16" s="35" t="n">
        <v>83.5</v>
      </c>
      <c r="G16" s="35" t="n">
        <v>85.2</v>
      </c>
      <c r="H16" s="35" t="n">
        <v>86.7</v>
      </c>
      <c r="I16" s="35" t="n">
        <v>86.7</v>
      </c>
      <c r="J16" s="35" t="n">
        <v>83.5</v>
      </c>
      <c r="K16" s="35" t="n">
        <v>3.200000000000003</v>
      </c>
      <c r="L16" s="90" t="inlineStr">
        <is>
          <t>Stable</t>
        </is>
      </c>
    </row>
    <row r="17" ht="16" customHeight="1">
      <c r="B17" s="25" t="inlineStr">
        <is>
          <t>EVLV</t>
        </is>
      </c>
      <c r="C17" s="26" t="inlineStr">
        <is>
          <t>Evolv Technologies Holdings, Inc.</t>
        </is>
      </c>
      <c r="D17" s="49" t="inlineStr">
        <is>
          <t>Small Cap</t>
        </is>
      </c>
      <c r="E17" s="41" t="n">
        <v>79.2</v>
      </c>
      <c r="F17" s="41" t="n">
        <v>80.59999999999999</v>
      </c>
      <c r="G17" s="41" t="n">
        <v>78.59999999999999</v>
      </c>
      <c r="H17" s="41" t="n">
        <v>76.2</v>
      </c>
      <c r="I17" s="41" t="n">
        <v>80.59999999999999</v>
      </c>
      <c r="J17" s="41" t="n">
        <v>76.2</v>
      </c>
      <c r="K17" s="41" t="n">
        <v>4.399999999999991</v>
      </c>
      <c r="L17" s="90" t="inlineStr">
        <is>
          <t>Stable</t>
        </is>
      </c>
    </row>
    <row r="18" ht="16" customHeight="1">
      <c r="B18" s="19" t="inlineStr">
        <is>
          <t>KRMN</t>
        </is>
      </c>
      <c r="C18" s="20" t="inlineStr">
        <is>
          <t>Karman Holdings Inc.</t>
        </is>
      </c>
      <c r="D18" s="47" t="inlineStr">
        <is>
          <t>Breakout</t>
        </is>
      </c>
      <c r="E18" s="35" t="n">
        <v>78.8</v>
      </c>
      <c r="F18" s="35" t="n">
        <v>78.8</v>
      </c>
      <c r="G18" s="35" t="n">
        <v>78.8</v>
      </c>
      <c r="H18" s="35" t="n">
        <v>78.8</v>
      </c>
      <c r="I18" s="35" t="n">
        <v>78.8</v>
      </c>
      <c r="J18" s="35" t="n">
        <v>78.8</v>
      </c>
      <c r="K18" s="35" t="n">
        <v>0</v>
      </c>
      <c r="L18" s="90" t="inlineStr">
        <is>
          <t>Stable</t>
        </is>
      </c>
    </row>
    <row r="19" ht="16" customHeight="1">
      <c r="B19" s="25" t="inlineStr">
        <is>
          <t>SCTQ</t>
        </is>
      </c>
      <c r="C19" s="26" t="inlineStr">
        <is>
          <t>Spectra Systems Corporation</t>
        </is>
      </c>
      <c r="D19" s="49" t="inlineStr">
        <is>
          <t>Nano Cap</t>
        </is>
      </c>
      <c r="E19" s="41" t="n">
        <v>75.59999999999999</v>
      </c>
      <c r="F19" s="41" t="n">
        <v>73.8</v>
      </c>
      <c r="G19" s="41" t="n">
        <v>77.3</v>
      </c>
      <c r="H19" s="41" t="n">
        <v>77.3</v>
      </c>
      <c r="I19" s="41" t="n">
        <v>77.3</v>
      </c>
      <c r="J19" s="41" t="n">
        <v>73.8</v>
      </c>
      <c r="K19" s="41" t="n">
        <v>3.5</v>
      </c>
      <c r="L19" s="90" t="inlineStr">
        <is>
          <t>Stable</t>
        </is>
      </c>
    </row>
    <row r="20" ht="16" customHeight="1">
      <c r="B20" s="19" t="inlineStr">
        <is>
          <t>KULR</t>
        </is>
      </c>
      <c r="C20" s="20" t="inlineStr">
        <is>
          <t>KULR Technology Group, Inc.</t>
        </is>
      </c>
      <c r="D20" s="47" t="inlineStr">
        <is>
          <t>Nano Cap</t>
        </is>
      </c>
      <c r="E20" s="35" t="n">
        <v>74.90000000000001</v>
      </c>
      <c r="F20" s="35" t="n">
        <v>76.40000000000001</v>
      </c>
      <c r="G20" s="35" t="n">
        <v>74</v>
      </c>
      <c r="H20" s="35" t="n">
        <v>71.59999999999999</v>
      </c>
      <c r="I20" s="35" t="n">
        <v>76.40000000000001</v>
      </c>
      <c r="J20" s="35" t="n">
        <v>71.59999999999999</v>
      </c>
      <c r="K20" s="35" t="n">
        <v>4.800000000000011</v>
      </c>
      <c r="L20" s="90" t="inlineStr">
        <is>
          <t>Stable</t>
        </is>
      </c>
    </row>
    <row r="21" ht="16" customHeight="1">
      <c r="B21" s="25" t="inlineStr">
        <is>
          <t>PKE</t>
        </is>
      </c>
      <c r="C21" s="26" t="inlineStr">
        <is>
          <t>Park Aerospace Corp.</t>
        </is>
      </c>
      <c r="D21" s="49" t="inlineStr">
        <is>
          <t>Small Cap</t>
        </is>
      </c>
      <c r="E21" s="41" t="n">
        <v>74.59999999999999</v>
      </c>
      <c r="F21" s="41" t="n">
        <v>74.7</v>
      </c>
      <c r="G21" s="41" t="n">
        <v>74.09999999999999</v>
      </c>
      <c r="H21" s="41" t="n">
        <v>74.90000000000001</v>
      </c>
      <c r="I21" s="41" t="n">
        <v>74.90000000000001</v>
      </c>
      <c r="J21" s="41" t="n">
        <v>74.09999999999999</v>
      </c>
      <c r="K21" s="41" t="n">
        <v>0.8000000000000114</v>
      </c>
      <c r="L21" s="90" t="inlineStr">
        <is>
          <t>Stable</t>
        </is>
      </c>
    </row>
    <row r="22" ht="16" customHeight="1">
      <c r="B22" s="19" t="inlineStr">
        <is>
          <t>DSP</t>
        </is>
      </c>
      <c r="C22" s="20" t="inlineStr">
        <is>
          <t>Viant Technology Inc.</t>
        </is>
      </c>
      <c r="D22" s="47" t="inlineStr">
        <is>
          <t>Small Cap</t>
        </is>
      </c>
      <c r="E22" s="35" t="n">
        <v>73.40000000000001</v>
      </c>
      <c r="F22" s="35" t="n">
        <v>71.59999999999999</v>
      </c>
      <c r="G22" s="35" t="n">
        <v>75.2</v>
      </c>
      <c r="H22" s="35" t="n">
        <v>75.2</v>
      </c>
      <c r="I22" s="35" t="n">
        <v>75.2</v>
      </c>
      <c r="J22" s="35" t="n">
        <v>71.59999999999999</v>
      </c>
      <c r="K22" s="35" t="n">
        <v>3.600000000000009</v>
      </c>
      <c r="L22" s="90" t="inlineStr">
        <is>
          <t>Stable</t>
        </is>
      </c>
    </row>
    <row r="23" ht="16" customHeight="1">
      <c r="B23" s="25" t="inlineStr">
        <is>
          <t>CMCO</t>
        </is>
      </c>
      <c r="C23" s="26" t="inlineStr">
        <is>
          <t>Columbus McKinnon Corporation</t>
        </is>
      </c>
      <c r="D23" s="49" t="inlineStr">
        <is>
          <t>Small Cap</t>
        </is>
      </c>
      <c r="E23" s="41" t="n">
        <v>73.40000000000001</v>
      </c>
      <c r="F23" s="41" t="n">
        <v>75.3</v>
      </c>
      <c r="G23" s="41" t="n">
        <v>72.09999999999999</v>
      </c>
      <c r="H23" s="41" t="n">
        <v>69</v>
      </c>
      <c r="I23" s="41" t="n">
        <v>75.3</v>
      </c>
      <c r="J23" s="41" t="n">
        <v>69</v>
      </c>
      <c r="K23" s="41" t="n">
        <v>6.299999999999997</v>
      </c>
      <c r="L23" s="90" t="inlineStr">
        <is>
          <t>Stable</t>
        </is>
      </c>
    </row>
    <row r="24" ht="16" customHeight="1">
      <c r="B24" s="19" t="inlineStr">
        <is>
          <t>ESP</t>
        </is>
      </c>
      <c r="C24" s="20" t="inlineStr">
        <is>
          <t>Espey Mfg. &amp; Electronics Corp.</t>
        </is>
      </c>
      <c r="D24" s="47" t="inlineStr">
        <is>
          <t>Nano Cap</t>
        </is>
      </c>
      <c r="E24" s="35" t="n">
        <v>73.3</v>
      </c>
      <c r="F24" s="35" t="n">
        <v>71.2</v>
      </c>
      <c r="G24" s="35" t="n">
        <v>75.09999999999999</v>
      </c>
      <c r="H24" s="35" t="n">
        <v>76.09999999999999</v>
      </c>
      <c r="I24" s="35" t="n">
        <v>76.09999999999999</v>
      </c>
      <c r="J24" s="35" t="n">
        <v>71.2</v>
      </c>
      <c r="K24" s="35" t="n">
        <v>4.899999999999991</v>
      </c>
      <c r="L24" s="90" t="inlineStr">
        <is>
          <t>Stable</t>
        </is>
      </c>
    </row>
    <row r="25" ht="16" customHeight="1">
      <c r="B25" s="25" t="inlineStr">
        <is>
          <t>IPGP</t>
        </is>
      </c>
      <c r="C25" s="26" t="inlineStr">
        <is>
          <t>IPG Photonics Corporation</t>
        </is>
      </c>
      <c r="D25" s="49" t="inlineStr">
        <is>
          <t>Breakout</t>
        </is>
      </c>
      <c r="E25" s="41" t="n">
        <v>73.09999999999999</v>
      </c>
      <c r="F25" s="41" t="n">
        <v>70.90000000000001</v>
      </c>
      <c r="G25" s="41" t="n">
        <v>75</v>
      </c>
      <c r="H25" s="41" t="n">
        <v>75.3</v>
      </c>
      <c r="I25" s="41" t="n">
        <v>75.3</v>
      </c>
      <c r="J25" s="41" t="n">
        <v>70.90000000000001</v>
      </c>
      <c r="K25" s="41" t="n">
        <v>4.399999999999991</v>
      </c>
      <c r="L25" s="90" t="inlineStr">
        <is>
          <t>Stable</t>
        </is>
      </c>
    </row>
    <row r="26" ht="16" customHeight="1">
      <c r="B26" s="19" t="inlineStr">
        <is>
          <t>BYRN</t>
        </is>
      </c>
      <c r="C26" s="20" t="inlineStr">
        <is>
          <t>Byrna Technologies Inc.</t>
        </is>
      </c>
      <c r="D26" s="47" t="inlineStr">
        <is>
          <t>Nano Cap</t>
        </is>
      </c>
      <c r="E26" s="35" t="n">
        <v>72.8</v>
      </c>
      <c r="F26" s="35" t="n">
        <v>68.40000000000001</v>
      </c>
      <c r="G26" s="35" t="n">
        <v>77.2</v>
      </c>
      <c r="H26" s="35" t="n">
        <v>77.2</v>
      </c>
      <c r="I26" s="35" t="n">
        <v>77.2</v>
      </c>
      <c r="J26" s="35" t="n">
        <v>68.40000000000001</v>
      </c>
      <c r="K26" s="35" t="n">
        <v>8.799999999999997</v>
      </c>
      <c r="L26" s="90" t="inlineStr">
        <is>
          <t>Stable</t>
        </is>
      </c>
    </row>
    <row r="27" ht="16" customHeight="1">
      <c r="B27" s="25" t="inlineStr">
        <is>
          <t>CODA</t>
        </is>
      </c>
      <c r="C27" s="26" t="inlineStr">
        <is>
          <t>Coda Octopus Group, Inc.</t>
        </is>
      </c>
      <c r="D27" s="49" t="inlineStr">
        <is>
          <t>Nano Cap</t>
        </is>
      </c>
      <c r="E27" s="41" t="n">
        <v>72.59999999999999</v>
      </c>
      <c r="F27" s="41" t="n">
        <v>71.09999999999999</v>
      </c>
      <c r="G27" s="41" t="n">
        <v>74.09999999999999</v>
      </c>
      <c r="H27" s="41" t="n">
        <v>74.09999999999999</v>
      </c>
      <c r="I27" s="41" t="n">
        <v>74.09999999999999</v>
      </c>
      <c r="J27" s="41" t="n">
        <v>71.09999999999999</v>
      </c>
      <c r="K27" s="41" t="n">
        <v>3</v>
      </c>
      <c r="L27" s="90" t="inlineStr">
        <is>
          <t>Stable</t>
        </is>
      </c>
    </row>
    <row r="28" ht="16" customHeight="1">
      <c r="B28" s="19" t="inlineStr">
        <is>
          <t>INTT</t>
        </is>
      </c>
      <c r="C28" s="20" t="inlineStr">
        <is>
          <t>inTEST Corporation</t>
        </is>
      </c>
      <c r="D28" s="47" t="inlineStr">
        <is>
          <t>Nano Cap</t>
        </is>
      </c>
      <c r="E28" s="35" t="n">
        <v>70.5</v>
      </c>
      <c r="F28" s="35" t="n">
        <v>69.3</v>
      </c>
      <c r="G28" s="35" t="n">
        <v>71.7</v>
      </c>
      <c r="H28" s="35" t="n">
        <v>71.90000000000001</v>
      </c>
      <c r="I28" s="35" t="n">
        <v>71.90000000000001</v>
      </c>
      <c r="J28" s="35" t="n">
        <v>69.3</v>
      </c>
      <c r="K28" s="35" t="n">
        <v>2.600000000000009</v>
      </c>
      <c r="L28" s="90" t="inlineStr">
        <is>
          <t>Stable</t>
        </is>
      </c>
    </row>
    <row r="29" ht="16" customHeight="1">
      <c r="B29" s="25" t="inlineStr">
        <is>
          <t>WSTL</t>
        </is>
      </c>
      <c r="C29" s="26" t="inlineStr">
        <is>
          <t>Westell Technologies, Inc.</t>
        </is>
      </c>
      <c r="D29" s="49" t="inlineStr">
        <is>
          <t>Nano Cap</t>
        </is>
      </c>
      <c r="E29" s="41" t="n">
        <v>70.40000000000001</v>
      </c>
      <c r="F29" s="41" t="n">
        <v>69.7</v>
      </c>
      <c r="G29" s="41" t="n">
        <v>71.3</v>
      </c>
      <c r="H29" s="41" t="n">
        <v>71.3</v>
      </c>
      <c r="I29" s="41" t="n">
        <v>71.3</v>
      </c>
      <c r="J29" s="41" t="n">
        <v>69.7</v>
      </c>
      <c r="K29" s="41" t="n">
        <v>1.599999999999994</v>
      </c>
      <c r="L29" s="90" t="inlineStr">
        <is>
          <t>Stable</t>
        </is>
      </c>
    </row>
    <row r="30" ht="16" customHeight="1">
      <c r="B30" s="19" t="inlineStr">
        <is>
          <t>ARLO</t>
        </is>
      </c>
      <c r="C30" s="20" t="inlineStr">
        <is>
          <t>Arlo Technologies, Inc.</t>
        </is>
      </c>
      <c r="D30" s="47" t="inlineStr">
        <is>
          <t>Small Cap</t>
        </is>
      </c>
      <c r="E30" s="35" t="n">
        <v>70.2</v>
      </c>
      <c r="F30" s="35" t="n">
        <v>70.5</v>
      </c>
      <c r="G30" s="35" t="n">
        <v>71.09999999999999</v>
      </c>
      <c r="H30" s="35" t="n">
        <v>67</v>
      </c>
      <c r="I30" s="35" t="n">
        <v>71.09999999999999</v>
      </c>
      <c r="J30" s="35" t="n">
        <v>67</v>
      </c>
      <c r="K30" s="35" t="n">
        <v>4.099999999999994</v>
      </c>
      <c r="L30" s="90" t="inlineStr">
        <is>
          <t>Stable</t>
        </is>
      </c>
    </row>
    <row r="31" ht="16" customHeight="1">
      <c r="B31" s="25" t="inlineStr">
        <is>
          <t>TAYD</t>
        </is>
      </c>
      <c r="C31" s="26" t="inlineStr">
        <is>
          <t>Taylor Devices, Inc.</t>
        </is>
      </c>
      <c r="D31" s="49" t="inlineStr">
        <is>
          <t>Nano Cap</t>
        </is>
      </c>
      <c r="E31" s="41" t="n">
        <v>69.8</v>
      </c>
      <c r="F31" s="41" t="n">
        <v>67.90000000000001</v>
      </c>
      <c r="G31" s="41" t="n">
        <v>73</v>
      </c>
      <c r="H31" s="41" t="n">
        <v>67.7</v>
      </c>
      <c r="I31" s="41" t="n">
        <v>73</v>
      </c>
      <c r="J31" s="41" t="n">
        <v>67.7</v>
      </c>
      <c r="K31" s="41" t="n">
        <v>5.299999999999997</v>
      </c>
      <c r="L31" s="90" t="inlineStr">
        <is>
          <t>Stable</t>
        </is>
      </c>
    </row>
    <row r="32" ht="16" customHeight="1">
      <c r="B32" s="19" t="inlineStr">
        <is>
          <t>ESI</t>
        </is>
      </c>
      <c r="C32" s="20" t="inlineStr">
        <is>
          <t>Element Solutions Inc</t>
        </is>
      </c>
      <c r="D32" s="47" t="inlineStr">
        <is>
          <t>Breakout</t>
        </is>
      </c>
      <c r="E32" s="35" t="n">
        <v>69.8</v>
      </c>
      <c r="F32" s="35" t="n">
        <v>69.90000000000001</v>
      </c>
      <c r="G32" s="35" t="n">
        <v>70.2</v>
      </c>
      <c r="H32" s="35" t="n">
        <v>68</v>
      </c>
      <c r="I32" s="35" t="n">
        <v>70.2</v>
      </c>
      <c r="J32" s="35" t="n">
        <v>68</v>
      </c>
      <c r="K32" s="35" t="n">
        <v>2.200000000000003</v>
      </c>
      <c r="L32" s="90" t="inlineStr">
        <is>
          <t>Stable</t>
        </is>
      </c>
    </row>
    <row r="33" ht="16" customHeight="1">
      <c r="B33" s="25" t="inlineStr">
        <is>
          <t>NSSC</t>
        </is>
      </c>
      <c r="C33" s="26" t="inlineStr">
        <is>
          <t>Napco Security Technologies, Inc.</t>
        </is>
      </c>
      <c r="D33" s="49" t="inlineStr">
        <is>
          <t>Small Cap</t>
        </is>
      </c>
      <c r="E33" s="41" t="n">
        <v>69.5</v>
      </c>
      <c r="F33" s="41" t="n">
        <v>67.90000000000001</v>
      </c>
      <c r="G33" s="41" t="n">
        <v>72.2</v>
      </c>
      <c r="H33" s="41" t="n">
        <v>67.8</v>
      </c>
      <c r="I33" s="41" t="n">
        <v>72.2</v>
      </c>
      <c r="J33" s="41" t="n">
        <v>67.8</v>
      </c>
      <c r="K33" s="41" t="n">
        <v>4.400000000000006</v>
      </c>
      <c r="L33" s="90" t="inlineStr">
        <is>
          <t>Stable</t>
        </is>
      </c>
    </row>
    <row r="34" ht="16" customHeight="1">
      <c r="B34" s="19" t="inlineStr">
        <is>
          <t>AMBA</t>
        </is>
      </c>
      <c r="C34" s="20" t="inlineStr">
        <is>
          <t>Ambarella, Inc.</t>
        </is>
      </c>
      <c r="D34" s="47" t="inlineStr">
        <is>
          <t>Breakout</t>
        </is>
      </c>
      <c r="E34" s="35" t="n">
        <v>68.90000000000001</v>
      </c>
      <c r="F34" s="35" t="n">
        <v>66</v>
      </c>
      <c r="G34" s="35" t="n">
        <v>72.5</v>
      </c>
      <c r="H34" s="35" t="n">
        <v>69.8</v>
      </c>
      <c r="I34" s="35" t="n">
        <v>72.5</v>
      </c>
      <c r="J34" s="35" t="n">
        <v>66</v>
      </c>
      <c r="K34" s="35" t="n">
        <v>6.5</v>
      </c>
      <c r="L34" s="90" t="inlineStr">
        <is>
          <t>Stable</t>
        </is>
      </c>
    </row>
    <row r="35" ht="16" customHeight="1">
      <c r="B35" s="25" t="inlineStr">
        <is>
          <t>SLP</t>
        </is>
      </c>
      <c r="C35" s="26" t="inlineStr">
        <is>
          <t>Simulations Plus, Inc.</t>
        </is>
      </c>
      <c r="D35" s="49" t="inlineStr">
        <is>
          <t>Small Cap</t>
        </is>
      </c>
      <c r="E35" s="41" t="n">
        <v>68.7</v>
      </c>
      <c r="F35" s="41" t="n">
        <v>64.3</v>
      </c>
      <c r="G35" s="41" t="n">
        <v>73</v>
      </c>
      <c r="H35" s="41" t="n">
        <v>73</v>
      </c>
      <c r="I35" s="41" t="n">
        <v>73</v>
      </c>
      <c r="J35" s="41" t="n">
        <v>64.3</v>
      </c>
      <c r="K35" s="41" t="n">
        <v>8.700000000000003</v>
      </c>
      <c r="L35" s="90" t="inlineStr">
        <is>
          <t>Stable</t>
        </is>
      </c>
    </row>
    <row r="36" ht="16" customHeight="1">
      <c r="B36" s="19" t="inlineStr">
        <is>
          <t>ADTN</t>
        </is>
      </c>
      <c r="C36" s="20" t="inlineStr">
        <is>
          <t>ADTRAN Holdings, Inc.</t>
        </is>
      </c>
      <c r="D36" s="47" t="inlineStr">
        <is>
          <t>Small Cap</t>
        </is>
      </c>
      <c r="E36" s="35" t="n">
        <v>68.59999999999999</v>
      </c>
      <c r="F36" s="35" t="n">
        <v>66.09999999999999</v>
      </c>
      <c r="G36" s="35" t="n">
        <v>71.5</v>
      </c>
      <c r="H36" s="35" t="n">
        <v>70.3</v>
      </c>
      <c r="I36" s="35" t="n">
        <v>71.5</v>
      </c>
      <c r="J36" s="35" t="n">
        <v>66.09999999999999</v>
      </c>
      <c r="K36" s="35" t="n">
        <v>5.400000000000006</v>
      </c>
      <c r="L36" s="90" t="inlineStr">
        <is>
          <t>Stable</t>
        </is>
      </c>
    </row>
    <row r="37" ht="16" customHeight="1">
      <c r="B37" s="25" t="inlineStr">
        <is>
          <t>WYFI</t>
        </is>
      </c>
      <c r="C37" s="26" t="inlineStr">
        <is>
          <t>WhiteFiber, Inc. Ordinary Shares</t>
        </is>
      </c>
      <c r="D37" s="49" t="inlineStr">
        <is>
          <t>Small Cap</t>
        </is>
      </c>
      <c r="E37" s="41" t="n">
        <v>68.5</v>
      </c>
      <c r="F37" s="41" t="n">
        <v>66.2</v>
      </c>
      <c r="G37" s="41" t="n">
        <v>70.90000000000001</v>
      </c>
      <c r="H37" s="41" t="n">
        <v>70.90000000000001</v>
      </c>
      <c r="I37" s="41" t="n">
        <v>70.90000000000001</v>
      </c>
      <c r="J37" s="41" t="n">
        <v>66.2</v>
      </c>
      <c r="K37" s="41" t="n">
        <v>4.700000000000003</v>
      </c>
      <c r="L37" s="90" t="inlineStr">
        <is>
          <t>Stable</t>
        </is>
      </c>
    </row>
    <row r="38" ht="16" customHeight="1">
      <c r="B38" s="19" t="inlineStr">
        <is>
          <t>BLFS</t>
        </is>
      </c>
      <c r="C38" s="20" t="inlineStr">
        <is>
          <t>BioLife Solutions, Inc.</t>
        </is>
      </c>
      <c r="D38" s="47" t="inlineStr">
        <is>
          <t>Small Cap</t>
        </is>
      </c>
      <c r="E38" s="35" t="n">
        <v>68.3</v>
      </c>
      <c r="F38" s="35" t="n">
        <v>65.09999999999999</v>
      </c>
      <c r="G38" s="35" t="n">
        <v>71.40000000000001</v>
      </c>
      <c r="H38" s="35" t="n">
        <v>71.90000000000001</v>
      </c>
      <c r="I38" s="35" t="n">
        <v>71.90000000000001</v>
      </c>
      <c r="J38" s="35" t="n">
        <v>65.09999999999999</v>
      </c>
      <c r="K38" s="35" t="n">
        <v>6.800000000000011</v>
      </c>
      <c r="L38" s="90" t="inlineStr">
        <is>
          <t>Stable</t>
        </is>
      </c>
    </row>
    <row r="39" ht="16" customHeight="1">
      <c r="B39" s="25" t="inlineStr">
        <is>
          <t>LAW</t>
        </is>
      </c>
      <c r="C39" s="26" t="inlineStr">
        <is>
          <t>CS Disco, Inc.</t>
        </is>
      </c>
      <c r="D39" s="49" t="inlineStr">
        <is>
          <t>Nano Cap</t>
        </is>
      </c>
      <c r="E39" s="41" t="n">
        <v>68.2</v>
      </c>
      <c r="F39" s="41" t="n">
        <v>65.5</v>
      </c>
      <c r="G39" s="41" t="n">
        <v>70.90000000000001</v>
      </c>
      <c r="H39" s="41" t="n">
        <v>71</v>
      </c>
      <c r="I39" s="41" t="n">
        <v>71</v>
      </c>
      <c r="J39" s="41" t="n">
        <v>65.5</v>
      </c>
      <c r="K39" s="41" t="n">
        <v>5.5</v>
      </c>
      <c r="L39" s="90" t="inlineStr">
        <is>
          <t>Stable</t>
        </is>
      </c>
    </row>
    <row r="40" ht="16" customHeight="1">
      <c r="B40" s="19" t="inlineStr">
        <is>
          <t>RUN</t>
        </is>
      </c>
      <c r="C40" s="20" t="inlineStr">
        <is>
          <t>Sunrun Inc.</t>
        </is>
      </c>
      <c r="D40" s="47" t="inlineStr">
        <is>
          <t>Breakout</t>
        </is>
      </c>
      <c r="E40" s="35" t="n">
        <v>67.90000000000001</v>
      </c>
      <c r="F40" s="35" t="n">
        <v>69.2</v>
      </c>
      <c r="G40" s="35" t="n">
        <v>67.3</v>
      </c>
      <c r="H40" s="35" t="n">
        <v>64.3</v>
      </c>
      <c r="I40" s="35" t="n">
        <v>69.2</v>
      </c>
      <c r="J40" s="35" t="n">
        <v>64.3</v>
      </c>
      <c r="K40" s="35" t="n">
        <v>4.900000000000006</v>
      </c>
      <c r="L40" s="90" t="inlineStr">
        <is>
          <t>Stable</t>
        </is>
      </c>
    </row>
    <row r="41" ht="16" customHeight="1">
      <c r="B41" s="25" t="inlineStr">
        <is>
          <t>FELE</t>
        </is>
      </c>
      <c r="C41" s="26" t="inlineStr">
        <is>
          <t>Franklin Electric Co., Inc.</t>
        </is>
      </c>
      <c r="D41" s="49" t="inlineStr">
        <is>
          <t>Breakout</t>
        </is>
      </c>
      <c r="E41" s="41" t="n">
        <v>67.7</v>
      </c>
      <c r="F41" s="41" t="n">
        <v>65.09999999999999</v>
      </c>
      <c r="G41" s="41" t="n">
        <v>70.09999999999999</v>
      </c>
      <c r="H41" s="41" t="n">
        <v>70.7</v>
      </c>
      <c r="I41" s="41" t="n">
        <v>70.7</v>
      </c>
      <c r="J41" s="41" t="n">
        <v>65.09999999999999</v>
      </c>
      <c r="K41" s="41" t="n">
        <v>5.600000000000009</v>
      </c>
      <c r="L41" s="90" t="inlineStr">
        <is>
          <t>Stable</t>
        </is>
      </c>
    </row>
    <row r="42" ht="16" customHeight="1">
      <c r="B42" s="19" t="inlineStr">
        <is>
          <t>PATH</t>
        </is>
      </c>
      <c r="C42" s="20" t="inlineStr">
        <is>
          <t>UiPath Inc.</t>
        </is>
      </c>
      <c r="D42" s="47" t="inlineStr">
        <is>
          <t>Breakout</t>
        </is>
      </c>
      <c r="E42" s="35" t="n">
        <v>67.40000000000001</v>
      </c>
      <c r="F42" s="35" t="n">
        <v>64.40000000000001</v>
      </c>
      <c r="G42" s="35" t="n">
        <v>70.3</v>
      </c>
      <c r="H42" s="35" t="n">
        <v>70.3</v>
      </c>
      <c r="I42" s="35" t="n">
        <v>70.3</v>
      </c>
      <c r="J42" s="35" t="n">
        <v>64.40000000000001</v>
      </c>
      <c r="K42" s="35" t="n">
        <v>5.899999999999991</v>
      </c>
      <c r="L42" s="90" t="inlineStr">
        <is>
          <t>Stable</t>
        </is>
      </c>
    </row>
    <row r="43" ht="16" customHeight="1">
      <c r="B43" s="25" t="inlineStr">
        <is>
          <t>BRC</t>
        </is>
      </c>
      <c r="C43" s="26" t="inlineStr">
        <is>
          <t>Brady Corporation</t>
        </is>
      </c>
      <c r="D43" s="49" t="inlineStr">
        <is>
          <t>Breakout</t>
        </is>
      </c>
      <c r="E43" s="41" t="n">
        <v>66.7</v>
      </c>
      <c r="F43" s="41" t="n">
        <v>63.5</v>
      </c>
      <c r="G43" s="41" t="n">
        <v>70</v>
      </c>
      <c r="H43" s="41" t="n">
        <v>69.90000000000001</v>
      </c>
      <c r="I43" s="41" t="n">
        <v>70</v>
      </c>
      <c r="J43" s="41" t="n">
        <v>63.5</v>
      </c>
      <c r="K43" s="41" t="n">
        <v>6.5</v>
      </c>
      <c r="L43" s="90" t="inlineStr">
        <is>
          <t>Stable</t>
        </is>
      </c>
    </row>
    <row r="44" ht="16" customHeight="1">
      <c r="B44" s="19" t="inlineStr">
        <is>
          <t>ALGM</t>
        </is>
      </c>
      <c r="C44" s="20" t="inlineStr">
        <is>
          <t>Allegro MicroSystems, Inc.</t>
        </is>
      </c>
      <c r="D44" s="47" t="inlineStr">
        <is>
          <t>Breakout</t>
        </is>
      </c>
      <c r="E44" s="35" t="n">
        <v>66.2</v>
      </c>
      <c r="F44" s="35" t="n">
        <v>64.3</v>
      </c>
      <c r="G44" s="35" t="n">
        <v>68.09999999999999</v>
      </c>
      <c r="H44" s="35" t="n">
        <v>68.09999999999999</v>
      </c>
      <c r="I44" s="35" t="n">
        <v>68.09999999999999</v>
      </c>
      <c r="J44" s="35" t="n">
        <v>64.3</v>
      </c>
      <c r="K44" s="35" t="n">
        <v>3.799999999999997</v>
      </c>
      <c r="L44" s="90" t="inlineStr">
        <is>
          <t>Stable</t>
        </is>
      </c>
    </row>
    <row r="45" ht="16" customHeight="1">
      <c r="B45" s="25" t="inlineStr">
        <is>
          <t>LYFT</t>
        </is>
      </c>
      <c r="C45" s="26" t="inlineStr">
        <is>
          <t>Lyft, Inc.</t>
        </is>
      </c>
      <c r="D45" s="49" t="inlineStr">
        <is>
          <t>Breakout</t>
        </is>
      </c>
      <c r="E45" s="41" t="n">
        <v>65.5</v>
      </c>
      <c r="F45" s="41" t="n">
        <v>62.6</v>
      </c>
      <c r="G45" s="41" t="n">
        <v>68.3</v>
      </c>
      <c r="H45" s="41" t="n">
        <v>68.3</v>
      </c>
      <c r="I45" s="41" t="n">
        <v>68.3</v>
      </c>
      <c r="J45" s="41" t="n">
        <v>62.6</v>
      </c>
      <c r="K45" s="41" t="n">
        <v>5.699999999999996</v>
      </c>
      <c r="L45" s="90" t="inlineStr">
        <is>
          <t>Stable</t>
        </is>
      </c>
    </row>
    <row r="47">
      <c r="B47" s="91" t="inlineStr">
        <is>
          <t>Note: Stocks with high Score Range are ranking artifacts — their attractiveness depends heavily on your investment philosophy.</t>
        </is>
      </c>
    </row>
    <row r="49" ht="22" customHeight="1">
      <c r="B49" s="16" t="inlineStr">
        <is>
          <t>TORNADO ANALYSIS — KVHI (Score Impact of ±10% Weight Changes)</t>
        </is>
      </c>
      <c r="C49" s="17" t="n"/>
      <c r="D49" s="17" t="n"/>
      <c r="E49" s="17" t="n"/>
      <c r="F49" s="17" t="n"/>
      <c r="G49" s="17" t="n"/>
      <c r="H49" s="17" t="n"/>
      <c r="I49" s="17" t="n"/>
      <c r="J49" s="17" t="n"/>
      <c r="K49" s="17" t="n"/>
      <c r="L49" s="17" t="n"/>
      <c r="M49" s="17" t="n"/>
    </row>
    <row r="50" ht="18" customHeight="1">
      <c r="B50" s="18" t="inlineStr">
        <is>
          <t>Component</t>
        </is>
      </c>
      <c r="C50" s="18" t="inlineStr">
        <is>
          <t>−10% Impact</t>
        </is>
      </c>
      <c r="D50" s="18" t="inlineStr">
        <is>
          <t>+10% Impact</t>
        </is>
      </c>
    </row>
    <row r="51" ht="16" customHeight="1">
      <c r="B51" s="20" t="inlineStr">
        <is>
          <t>Rev Growth</t>
        </is>
      </c>
      <c r="C51" s="92" t="n">
        <v>1.74</v>
      </c>
      <c r="D51" s="92" t="n">
        <v>-1.44</v>
      </c>
    </row>
    <row r="52" ht="16" customHeight="1">
      <c r="B52" s="26" t="inlineStr">
        <is>
          <t>Gross Margin</t>
        </is>
      </c>
      <c r="C52" s="93" t="n">
        <v>0.54</v>
      </c>
      <c r="D52" s="93" t="n">
        <v>-0.48</v>
      </c>
    </row>
    <row r="53" ht="16" customHeight="1">
      <c r="B53" s="20" t="inlineStr">
        <is>
          <t>Dilution</t>
        </is>
      </c>
      <c r="C53" s="92" t="n">
        <v>-1.32</v>
      </c>
      <c r="D53" s="92" t="n">
        <v>1.02</v>
      </c>
    </row>
    <row r="54" ht="16" customHeight="1">
      <c r="B54" s="26" t="inlineStr">
        <is>
          <t>Insider Own</t>
        </is>
      </c>
      <c r="C54" s="93" t="n">
        <v>-1.32</v>
      </c>
      <c r="D54" s="93" t="n">
        <v>1.02</v>
      </c>
    </row>
    <row r="55" ht="16" customHeight="1">
      <c r="B55" s="20" t="inlineStr">
        <is>
          <t>Acceleration</t>
        </is>
      </c>
      <c r="C55" s="92" t="n">
        <v>-1.32</v>
      </c>
      <c r="D55" s="92" t="n">
        <v>1.02</v>
      </c>
    </row>
  </sheetData>
  <mergeCells count="6">
    <mergeCell ref="B47:M47"/>
    <mergeCell ref="A1:M1"/>
    <mergeCell ref="B14:M14"/>
    <mergeCell ref="B49:M49"/>
    <mergeCell ref="B4:M4"/>
    <mergeCell ref="A2:M2"/>
  </mergeCells>
  <conditionalFormatting sqref="E16:E45">
    <cfRule type="colorScale" priority="1">
      <colorScale>
        <cfvo type="num" val="0"/>
        <cfvo type="num" val="50"/>
        <cfvo type="num" val="100"/>
        <color rgb="00C1121F"/>
        <color rgb="00F9C74F"/>
        <color rgb="001A6B3C"/>
      </colorScale>
    </cfRule>
  </conditionalFormatting>
  <conditionalFormatting sqref="F16:F45">
    <cfRule type="colorScale" priority="2">
      <colorScale>
        <cfvo type="num" val="0"/>
        <cfvo type="num" val="50"/>
        <cfvo type="num" val="100"/>
        <color rgb="00C1121F"/>
        <color rgb="00F9C74F"/>
        <color rgb="001A6B3C"/>
      </colorScale>
    </cfRule>
  </conditionalFormatting>
  <conditionalFormatting sqref="G16:G45">
    <cfRule type="colorScale" priority="3">
      <colorScale>
        <cfvo type="num" val="0"/>
        <cfvo type="num" val="50"/>
        <cfvo type="num" val="100"/>
        <color rgb="00C1121F"/>
        <color rgb="00F9C74F"/>
        <color rgb="001A6B3C"/>
      </colorScale>
    </cfRule>
  </conditionalFormatting>
  <conditionalFormatting sqref="H16:H45">
    <cfRule type="colorScale" priority="4">
      <colorScale>
        <cfvo type="num" val="0"/>
        <cfvo type="num" val="50"/>
        <cfvo type="num" val="100"/>
        <color rgb="00C1121F"/>
        <color rgb="00F9C74F"/>
        <color rgb="001A6B3C"/>
      </colorScale>
    </cfRule>
  </conditionalFormatting>
  <conditionalFormatting sqref="K16:K45">
    <cfRule type="cellIs" priority="5" operator="greaterThan" dxfId="0">
      <formula>20</formula>
    </cfRule>
  </conditionalFormatting>
  <dataValidations count="1">
    <dataValidation sqref="C5" showDropDown="0" showInputMessage="0" showErrorMessage="0" allowBlank="1" errorTitle="Invalid Selection" error="Please select a valid scenario" type="list">
      <formula1>"Baseline,Growth Focus,Quality Focus,Insider Focus,Custom"</formula1>
    </dataValidation>
  </dataValidations>
  <pageMargins left="0.75" right="0.75" top="1" bottom="1" header="0.5" footer="0.5"/>
  <pageSetup orientation="landscape" fitToWidth="1"/>
  <drawing xmlns:r="http://schemas.openxmlformats.org/officeDocument/2006/relationships" r:id="rId1"/>
</worksheet>
</file>

<file path=xl/worksheets/sheet11.xml><?xml version="1.0" encoding="utf-8"?>
<worksheet xmlns="http://schemas.openxmlformats.org/spreadsheetml/2006/main">
  <sheetPr>
    <tabColor rgb="004FC3F7"/>
    <outlinePr summaryBelow="1" summaryRight="1"/>
    <pageSetUpPr fitToPage="1"/>
  </sheetPr>
  <dimension ref="A1:K2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ht="28" customHeight="1">
      <c r="A1" s="30" t="inlineStr">
        <is>
          <t>QUARTERLY REVENUE TRENDS</t>
        </is>
      </c>
      <c r="B1" s="11" t="n"/>
      <c r="C1" s="11" t="n"/>
      <c r="D1" s="11" t="n"/>
      <c r="E1" s="11" t="n"/>
      <c r="F1" s="11" t="n"/>
      <c r="G1" s="11" t="n"/>
      <c r="H1" s="11" t="n"/>
      <c r="I1" s="11" t="n"/>
      <c r="J1" s="11" t="n"/>
      <c r="K1" s="11" t="n"/>
    </row>
    <row r="2" ht="22" customHeight="1">
      <c r="A2" s="31" t="inlineStr">
        <is>
          <t>Last 8 quarters of revenue and margin by company  |  June 06, 2026</t>
        </is>
      </c>
      <c r="B2" s="12" t="n"/>
      <c r="C2" s="12" t="n"/>
      <c r="D2" s="12" t="n"/>
      <c r="E2" s="12" t="n"/>
      <c r="F2" s="12" t="n"/>
      <c r="G2" s="12" t="n"/>
      <c r="H2" s="12" t="n"/>
      <c r="I2" s="12" t="n"/>
      <c r="J2" s="12" t="n"/>
      <c r="K2" s="12" t="n"/>
    </row>
    <row r="3" ht="8" customHeight="1"/>
    <row r="4" ht="22" customHeight="1">
      <c r="A4" s="16" t="inlineStr">
        <is>
          <t xml:space="preserve">  Nano Cap</t>
        </is>
      </c>
      <c r="B4" s="17" t="n"/>
      <c r="C4" s="17" t="n"/>
      <c r="D4" s="17" t="n"/>
      <c r="E4" s="17" t="n"/>
      <c r="F4" s="17" t="n"/>
      <c r="G4" s="17" t="n"/>
      <c r="H4" s="17" t="n"/>
      <c r="I4" s="17" t="n"/>
      <c r="J4" s="17" t="n"/>
      <c r="K4" s="17" t="n"/>
    </row>
    <row r="5" ht="18" customHeight="1">
      <c r="A5" s="94" t="inlineStr">
        <is>
          <t>KVHI  —  KVH Industries, Inc.</t>
        </is>
      </c>
      <c r="C5" s="37" t="inlineStr">
        <is>
          <t>Nano Cap</t>
        </is>
      </c>
      <c r="D5" s="74" t="inlineStr">
        <is>
          <t>Mkt Cap: $147M</t>
        </is>
      </c>
      <c r="E5" s="95" t="n"/>
      <c r="F5" s="95" t="n"/>
      <c r="G5" s="95" t="n"/>
      <c r="H5" s="95" t="n"/>
      <c r="I5" s="95" t="n"/>
      <c r="J5" s="95" t="n"/>
      <c r="K5" s="95" t="n"/>
    </row>
    <row r="6" ht="16" customHeight="1">
      <c r="A6" s="96" t="inlineStr"/>
      <c r="B6" s="18" t="inlineStr">
        <is>
          <t>Quarter</t>
        </is>
      </c>
      <c r="C6" s="18" t="inlineStr">
        <is>
          <t>2024-06-30</t>
        </is>
      </c>
      <c r="D6" s="18" t="inlineStr">
        <is>
          <t>2024-09-30</t>
        </is>
      </c>
      <c r="E6" s="18" t="inlineStr">
        <is>
          <t>2024-12-31</t>
        </is>
      </c>
      <c r="F6" s="18" t="inlineStr">
        <is>
          <t>2025-03-31</t>
        </is>
      </c>
      <c r="G6" s="18" t="inlineStr">
        <is>
          <t>2025-06-30</t>
        </is>
      </c>
      <c r="H6" s="18" t="inlineStr">
        <is>
          <t>2025-09-30</t>
        </is>
      </c>
      <c r="I6" s="18" t="inlineStr">
        <is>
          <t>2025-12-31</t>
        </is>
      </c>
      <c r="J6" s="18" t="inlineStr">
        <is>
          <t>2026-03-31</t>
        </is>
      </c>
    </row>
    <row r="7" ht="16" customHeight="1">
      <c r="A7" s="96" t="inlineStr"/>
      <c r="B7" s="66" t="inlineStr">
        <is>
          <t>Revenue ($M)</t>
        </is>
      </c>
      <c r="C7" s="97" t="n">
        <v>28.673</v>
      </c>
      <c r="D7" s="97" t="n">
        <v>28.971</v>
      </c>
      <c r="E7" s="97" t="n">
        <v>26.917</v>
      </c>
      <c r="F7" s="97" t="n">
        <v>25.414</v>
      </c>
      <c r="G7" s="97" t="n">
        <v>26.623</v>
      </c>
      <c r="H7" s="97" t="n">
        <v>28.453</v>
      </c>
      <c r="I7" s="97" t="n">
        <v>30.519</v>
      </c>
      <c r="J7" s="97" t="n">
        <v>32.318</v>
      </c>
    </row>
    <row r="8" ht="16" customHeight="1">
      <c r="A8" s="96" t="inlineStr"/>
      <c r="B8" s="94" t="inlineStr">
        <is>
          <t>Gross Margin %</t>
        </is>
      </c>
      <c r="C8" s="71" t="n">
        <v>0.311</v>
      </c>
      <c r="D8" s="71" t="n">
        <v>0.32</v>
      </c>
      <c r="E8" s="71" t="n">
        <v>0.265</v>
      </c>
      <c r="F8" s="71" t="n">
        <v>0.293</v>
      </c>
      <c r="G8" s="71" t="n">
        <v>0.343</v>
      </c>
      <c r="H8" s="71" t="n">
        <v>0.067</v>
      </c>
      <c r="I8" s="71" t="n">
        <v>0.295</v>
      </c>
      <c r="J8" s="71" t="n">
        <v>0.289</v>
      </c>
    </row>
    <row r="9" ht="16" customHeight="1">
      <c r="A9" s="96" t="inlineStr"/>
      <c r="B9" s="26" t="inlineStr">
        <is>
          <t>QoQ Rev Growth</t>
        </is>
      </c>
      <c r="C9" s="49" t="n"/>
      <c r="D9" s="75" t="n">
        <v>0.01039305269765982</v>
      </c>
      <c r="E9" s="75" t="n">
        <v>-0.07089848469158815</v>
      </c>
      <c r="F9" s="75" t="n">
        <v>-0.05583831779173013</v>
      </c>
      <c r="G9" s="75" t="n">
        <v>0.04757220429684426</v>
      </c>
      <c r="H9" s="75" t="n">
        <v>0.06873755775081697</v>
      </c>
      <c r="I9" s="75" t="n">
        <v>0.07261097248093347</v>
      </c>
      <c r="J9" s="75" t="n">
        <v>0.05894688554670861</v>
      </c>
    </row>
    <row r="10" ht="16" customHeight="1">
      <c r="A10" s="96" t="inlineStr"/>
      <c r="B10" s="20" t="inlineStr">
        <is>
          <t>YoY Rev Growth</t>
        </is>
      </c>
      <c r="C10" s="47" t="n"/>
      <c r="D10" s="47" t="n"/>
      <c r="E10" s="47" t="n"/>
      <c r="F10" s="47" t="n"/>
      <c r="G10" s="71" t="n">
        <v>-0.07149583231611621</v>
      </c>
      <c r="H10" s="71" t="n">
        <v>-0.01787994891443167</v>
      </c>
      <c r="I10" s="71" t="n">
        <v>0.1338187762380652</v>
      </c>
      <c r="J10" s="71" t="n">
        <v>0.2716612890532777</v>
      </c>
    </row>
    <row r="11" ht="8" customHeight="1"/>
    <row r="12" ht="18" customHeight="1">
      <c r="A12" s="94" t="inlineStr">
        <is>
          <t>SCTQ  —  Spectra Systems Corporation</t>
        </is>
      </c>
      <c r="C12" s="37" t="inlineStr">
        <is>
          <t>Nano Cap</t>
        </is>
      </c>
      <c r="D12" s="74" t="inlineStr">
        <is>
          <t>Mkt Cap: $102M</t>
        </is>
      </c>
      <c r="E12" s="95" t="n"/>
      <c r="F12" s="95" t="n"/>
      <c r="G12" s="95" t="n"/>
      <c r="H12" s="95" t="n"/>
      <c r="I12" s="95" t="n"/>
      <c r="J12" s="95" t="n"/>
      <c r="K12" s="95" t="n"/>
    </row>
    <row r="13" ht="16" customHeight="1">
      <c r="A13" s="96" t="inlineStr"/>
      <c r="B13" s="18" t="inlineStr">
        <is>
          <t>Quarter</t>
        </is>
      </c>
      <c r="C13" s="18" t="inlineStr">
        <is>
          <t>2022-06-30</t>
        </is>
      </c>
      <c r="D13" s="18" t="inlineStr">
        <is>
          <t>2022-12-31</t>
        </is>
      </c>
      <c r="E13" s="18" t="inlineStr">
        <is>
          <t>2023-06-30</t>
        </is>
      </c>
      <c r="F13" s="18" t="inlineStr">
        <is>
          <t>2023-12-31</t>
        </is>
      </c>
      <c r="G13" s="18" t="inlineStr">
        <is>
          <t>2024-06-30</t>
        </is>
      </c>
      <c r="H13" s="18" t="inlineStr">
        <is>
          <t>2024-12-31</t>
        </is>
      </c>
      <c r="I13" s="18" t="inlineStr">
        <is>
          <t>2025-06-30</t>
        </is>
      </c>
    </row>
    <row r="14" ht="16" customHeight="1">
      <c r="A14" s="96" t="inlineStr"/>
      <c r="B14" s="66" t="inlineStr">
        <is>
          <t>Revenue ($M)</t>
        </is>
      </c>
      <c r="C14" s="97" t="n">
        <v>8.699408</v>
      </c>
      <c r="D14" s="97" t="n">
        <v>10.671525</v>
      </c>
      <c r="E14" s="97" t="n">
        <v>5.8105</v>
      </c>
      <c r="F14" s="97" t="n">
        <v>4.3335</v>
      </c>
      <c r="G14" s="97" t="n">
        <v>22.739</v>
      </c>
      <c r="H14" s="97" t="n">
        <v>26.452</v>
      </c>
      <c r="I14" s="97" t="n">
        <v>34.965</v>
      </c>
    </row>
    <row r="15" ht="16" customHeight="1">
      <c r="A15" s="96" t="inlineStr"/>
      <c r="B15" s="94" t="inlineStr">
        <is>
          <t>Gross Margin %</t>
        </is>
      </c>
      <c r="C15" s="71" t="n">
        <v>0.6609999999999999</v>
      </c>
      <c r="D15" s="71" t="n">
        <v>0.594</v>
      </c>
      <c r="E15" s="71" t="n">
        <v>0.6920000000000001</v>
      </c>
      <c r="F15" s="71" t="n">
        <v>0.644</v>
      </c>
      <c r="G15" s="71" t="n">
        <v>0.5589999999999999</v>
      </c>
      <c r="H15" s="71" t="n">
        <v>0.408</v>
      </c>
      <c r="I15" s="71" t="n">
        <v>0.57</v>
      </c>
    </row>
    <row r="16" ht="16" customHeight="1">
      <c r="A16" s="96" t="inlineStr"/>
      <c r="B16" s="26" t="inlineStr">
        <is>
          <t>QoQ Rev Growth</t>
        </is>
      </c>
      <c r="C16" s="49" t="n"/>
      <c r="D16" s="75" t="n">
        <v>0.2266955406620772</v>
      </c>
      <c r="E16" s="75" t="n">
        <v>-0.4555136215301936</v>
      </c>
      <c r="F16" s="75" t="n">
        <v>-0.2541949918251442</v>
      </c>
      <c r="G16" s="75" t="n">
        <v>4.24725972077997</v>
      </c>
      <c r="H16" s="75" t="n">
        <v>0.1632877435243414</v>
      </c>
      <c r="I16" s="75" t="n">
        <v>0.3218282171480417</v>
      </c>
    </row>
    <row r="17" ht="16" customHeight="1">
      <c r="A17" s="96" t="inlineStr"/>
      <c r="B17" s="20" t="inlineStr">
        <is>
          <t>YoY Rev Growth</t>
        </is>
      </c>
      <c r="C17" s="47" t="n"/>
      <c r="D17" s="47" t="n"/>
      <c r="E17" s="47" t="n"/>
      <c r="F17" s="47" t="n"/>
      <c r="G17" s="71" t="n">
        <v>1.613856023306413</v>
      </c>
      <c r="H17" s="71" t="n">
        <v>1.478746008653871</v>
      </c>
      <c r="I17" s="71" t="n">
        <v>5.017554427329834</v>
      </c>
    </row>
    <row r="18" ht="8" customHeight="1"/>
    <row r="19" ht="18" customHeight="1">
      <c r="A19" s="94" t="inlineStr">
        <is>
          <t>KULR  —  KULR Technology Group, Inc.</t>
        </is>
      </c>
      <c r="C19" s="37" t="inlineStr">
        <is>
          <t>Nano Cap</t>
        </is>
      </c>
      <c r="D19" s="74" t="inlineStr">
        <is>
          <t>Mkt Cap: $176M</t>
        </is>
      </c>
      <c r="E19" s="95" t="n"/>
      <c r="F19" s="95" t="n"/>
      <c r="G19" s="95" t="n"/>
      <c r="H19" s="95" t="n"/>
      <c r="I19" s="95" t="n"/>
      <c r="J19" s="95" t="n"/>
      <c r="K19" s="95" t="n"/>
    </row>
    <row r="20" ht="16" customHeight="1">
      <c r="A20" s="96" t="inlineStr"/>
      <c r="B20" s="18" t="inlineStr">
        <is>
          <t>Quarter</t>
        </is>
      </c>
      <c r="C20" s="18" t="inlineStr">
        <is>
          <t>2024-06-30</t>
        </is>
      </c>
      <c r="D20" s="18" t="inlineStr">
        <is>
          <t>2024-09-30</t>
        </is>
      </c>
      <c r="E20" s="18" t="inlineStr">
        <is>
          <t>2024-12-31</t>
        </is>
      </c>
      <c r="F20" s="18" t="inlineStr">
        <is>
          <t>2025-03-31</t>
        </is>
      </c>
      <c r="G20" s="18" t="inlineStr">
        <is>
          <t>2025-06-30</t>
        </is>
      </c>
      <c r="H20" s="18" t="inlineStr">
        <is>
          <t>2025-09-30</t>
        </is>
      </c>
      <c r="I20" s="18" t="inlineStr">
        <is>
          <t>2025-12-31</t>
        </is>
      </c>
      <c r="J20" s="18" t="inlineStr">
        <is>
          <t>2026-03-31</t>
        </is>
      </c>
    </row>
    <row r="21" ht="16" customHeight="1">
      <c r="A21" s="96" t="inlineStr"/>
      <c r="B21" s="66" t="inlineStr">
        <is>
          <t>Revenue ($M)</t>
        </is>
      </c>
      <c r="C21" s="97" t="n">
        <v>2.432005</v>
      </c>
      <c r="D21" s="97" t="n">
        <v>3.185778</v>
      </c>
      <c r="E21" s="97" t="n">
        <v>3.370594</v>
      </c>
      <c r="F21" s="97" t="n">
        <v>2.448606</v>
      </c>
      <c r="G21" s="97" t="n">
        <v>3.972997</v>
      </c>
      <c r="H21" s="97" t="n">
        <v>6.88484</v>
      </c>
      <c r="I21" s="97" t="n">
        <v>2.863961</v>
      </c>
      <c r="J21" s="97" t="n">
        <v>4.84643</v>
      </c>
    </row>
    <row r="22" ht="16" customHeight="1">
      <c r="A22" s="96" t="inlineStr"/>
      <c r="B22" s="94" t="inlineStr">
        <is>
          <t>Gross Margin %</t>
        </is>
      </c>
      <c r="C22" s="71" t="n">
        <v>0.235</v>
      </c>
      <c r="D22" s="71" t="n">
        <v>0.7090000000000001</v>
      </c>
      <c r="E22" s="71" t="n">
        <v>0.636</v>
      </c>
      <c r="F22" s="71" t="n">
        <v>0.08400000000000001</v>
      </c>
      <c r="G22" s="71" t="n">
        <v>0.18</v>
      </c>
      <c r="H22" s="71" t="n">
        <v>0.091</v>
      </c>
      <c r="I22" s="71" t="n">
        <v>-0.272</v>
      </c>
      <c r="J22" s="71" t="n">
        <v>0.292</v>
      </c>
    </row>
    <row r="23" ht="16" customHeight="1">
      <c r="A23" s="96" t="inlineStr"/>
      <c r="B23" s="26" t="inlineStr">
        <is>
          <t>QoQ Rev Growth</t>
        </is>
      </c>
      <c r="C23" s="49" t="n"/>
      <c r="D23" s="75" t="n">
        <v>0.3099389187111046</v>
      </c>
      <c r="E23" s="75" t="n">
        <v>0.05801283077477464</v>
      </c>
      <c r="F23" s="75" t="n">
        <v>-0.2735387293752971</v>
      </c>
      <c r="G23" s="75" t="n">
        <v>0.6225546290419937</v>
      </c>
      <c r="H23" s="75" t="n">
        <v>0.7329084315945872</v>
      </c>
      <c r="I23" s="75" t="n">
        <v>-0.5840192364673689</v>
      </c>
      <c r="J23" s="75" t="n">
        <v>0.6922122892036588</v>
      </c>
    </row>
    <row r="24" ht="16" customHeight="1">
      <c r="A24" s="96" t="inlineStr"/>
      <c r="B24" s="20" t="inlineStr">
        <is>
          <t>YoY Rev Growth</t>
        </is>
      </c>
      <c r="C24" s="47" t="n"/>
      <c r="D24" s="47" t="n"/>
      <c r="E24" s="47" t="n"/>
      <c r="F24" s="47" t="n"/>
      <c r="G24" s="71" t="n">
        <v>0.6336302762535438</v>
      </c>
      <c r="H24" s="71" t="n">
        <v>1.161117315770277</v>
      </c>
      <c r="I24" s="71" t="n">
        <v>-0.1503097080217908</v>
      </c>
      <c r="J24" s="71" t="n">
        <v>0.979260852909778</v>
      </c>
    </row>
    <row r="25" ht="8" customHeight="1"/>
    <row r="26" ht="18" customHeight="1">
      <c r="A26" s="94" t="inlineStr">
        <is>
          <t>ESP  —  Espey Mfg. &amp; Electronics Corp.</t>
        </is>
      </c>
      <c r="C26" s="37" t="inlineStr">
        <is>
          <t>Nano Cap</t>
        </is>
      </c>
      <c r="D26" s="74" t="inlineStr">
        <is>
          <t>Mkt Cap: $166M</t>
        </is>
      </c>
      <c r="E26" s="95" t="n"/>
      <c r="F26" s="95" t="n"/>
      <c r="G26" s="95" t="n"/>
      <c r="H26" s="95" t="n"/>
      <c r="I26" s="95" t="n"/>
      <c r="J26" s="95" t="n"/>
      <c r="K26" s="95" t="n"/>
    </row>
    <row r="27" ht="16" customHeight="1">
      <c r="A27" s="96" t="inlineStr"/>
      <c r="B27" s="18" t="inlineStr">
        <is>
          <t>Quarter</t>
        </is>
      </c>
      <c r="C27" s="18" t="inlineStr">
        <is>
          <t>2024-06-30</t>
        </is>
      </c>
      <c r="D27" s="18" t="inlineStr">
        <is>
          <t>2024-09-30</t>
        </is>
      </c>
      <c r="E27" s="18" t="inlineStr">
        <is>
          <t>2024-12-31</t>
        </is>
      </c>
      <c r="F27" s="18" t="inlineStr">
        <is>
          <t>2025-03-31</t>
        </is>
      </c>
      <c r="G27" s="18" t="inlineStr">
        <is>
          <t>2025-06-30</t>
        </is>
      </c>
      <c r="H27" s="18" t="inlineStr">
        <is>
          <t>2025-09-30</t>
        </is>
      </c>
      <c r="I27" s="18" t="inlineStr">
        <is>
          <t>2025-12-31</t>
        </is>
      </c>
      <c r="J27" s="18" t="inlineStr">
        <is>
          <t>2026-03-31</t>
        </is>
      </c>
    </row>
    <row r="28" ht="16" customHeight="1">
      <c r="A28" s="96" t="inlineStr"/>
      <c r="B28" s="66" t="inlineStr">
        <is>
          <t>Revenue ($M)</t>
        </is>
      </c>
      <c r="C28" s="97" t="n">
        <v>11.610911</v>
      </c>
      <c r="D28" s="97" t="n">
        <v>10.443218</v>
      </c>
      <c r="E28" s="97" t="n">
        <v>13.60874</v>
      </c>
      <c r="F28" s="97" t="n">
        <v>10.302719</v>
      </c>
      <c r="G28" s="97" t="n">
        <v>9.596195</v>
      </c>
      <c r="H28" s="97" t="n">
        <v>9.092876</v>
      </c>
      <c r="I28" s="97" t="n">
        <v>12.136903</v>
      </c>
      <c r="J28" s="97" t="n">
        <v>11.422655</v>
      </c>
    </row>
    <row r="29" ht="16" customHeight="1">
      <c r="A29" s="96" t="inlineStr"/>
      <c r="B29" s="94" t="inlineStr">
        <is>
          <t>Gross Margin %</t>
        </is>
      </c>
      <c r="C29" s="71" t="n">
        <v>0.276</v>
      </c>
      <c r="D29" s="71" t="n">
        <v>0.268</v>
      </c>
      <c r="E29" s="71" t="n">
        <v>0.232</v>
      </c>
      <c r="F29" s="71" t="n">
        <v>0.286</v>
      </c>
      <c r="G29" s="71" t="n">
        <v>0.393</v>
      </c>
      <c r="H29" s="71" t="n">
        <v>0.354</v>
      </c>
      <c r="I29" s="71" t="n">
        <v>0.347</v>
      </c>
      <c r="J29" s="71" t="n">
        <v>0.37</v>
      </c>
    </row>
    <row r="30" ht="16" customHeight="1">
      <c r="A30" s="96" t="inlineStr"/>
      <c r="B30" s="26" t="inlineStr">
        <is>
          <t>QoQ Rev Growth</t>
        </is>
      </c>
      <c r="C30" s="49" t="n"/>
      <c r="D30" s="75" t="n">
        <v>-0.1005685944884084</v>
      </c>
      <c r="E30" s="75" t="n">
        <v>0.303117487349206</v>
      </c>
      <c r="F30" s="75" t="n">
        <v>-0.2429336588104409</v>
      </c>
      <c r="G30" s="75" t="n">
        <v>-0.0685764602528711</v>
      </c>
      <c r="H30" s="75" t="n">
        <v>-0.05244985121707093</v>
      </c>
      <c r="I30" s="75" t="n">
        <v>0.334770539046172</v>
      </c>
      <c r="J30" s="75" t="n">
        <v>-0.05884927975448102</v>
      </c>
    </row>
    <row r="31" ht="16" customHeight="1">
      <c r="A31" s="96" t="inlineStr"/>
      <c r="B31" s="20" t="inlineStr">
        <is>
          <t>YoY Rev Growth</t>
        </is>
      </c>
      <c r="C31" s="47" t="n"/>
      <c r="D31" s="47" t="n"/>
      <c r="E31" s="47" t="n"/>
      <c r="F31" s="47" t="n"/>
      <c r="G31" s="71" t="n">
        <v>-0.1735192010342685</v>
      </c>
      <c r="H31" s="71" t="n">
        <v>-0.1293032473323836</v>
      </c>
      <c r="I31" s="71" t="n">
        <v>-0.1081538040994243</v>
      </c>
      <c r="J31" s="71" t="n">
        <v>0.1087029550160497</v>
      </c>
    </row>
    <row r="32" ht="8" customHeight="1"/>
    <row r="33" ht="18" customHeight="1">
      <c r="A33" s="94" t="inlineStr">
        <is>
          <t>BYRN  —  Byrna Technologies Inc.</t>
        </is>
      </c>
      <c r="C33" s="37" t="inlineStr">
        <is>
          <t>Nano Cap</t>
        </is>
      </c>
      <c r="D33" s="74" t="inlineStr">
        <is>
          <t>Mkt Cap: $134M</t>
        </is>
      </c>
      <c r="E33" s="95" t="n"/>
      <c r="F33" s="95" t="n"/>
      <c r="G33" s="95" t="n"/>
      <c r="H33" s="95" t="n"/>
      <c r="I33" s="95" t="n"/>
      <c r="J33" s="95" t="n"/>
      <c r="K33" s="95" t="n"/>
    </row>
    <row r="34" ht="16" customHeight="1">
      <c r="A34" s="96" t="inlineStr"/>
      <c r="B34" s="18" t="inlineStr">
        <is>
          <t>Quarter</t>
        </is>
      </c>
      <c r="C34" s="18" t="inlineStr">
        <is>
          <t>2024-05-31</t>
        </is>
      </c>
      <c r="D34" s="18" t="inlineStr">
        <is>
          <t>2024-08-31</t>
        </is>
      </c>
      <c r="E34" s="18" t="inlineStr">
        <is>
          <t>2024-11-30</t>
        </is>
      </c>
      <c r="F34" s="18" t="inlineStr">
        <is>
          <t>2025-02-28</t>
        </is>
      </c>
      <c r="G34" s="18" t="inlineStr">
        <is>
          <t>2025-05-31</t>
        </is>
      </c>
      <c r="H34" s="18" t="inlineStr">
        <is>
          <t>2025-08-31</t>
        </is>
      </c>
      <c r="I34" s="18" t="inlineStr">
        <is>
          <t>2025-11-30</t>
        </is>
      </c>
      <c r="J34" s="18" t="inlineStr">
        <is>
          <t>2026-02-28</t>
        </is>
      </c>
    </row>
    <row r="35" ht="16" customHeight="1">
      <c r="A35" s="96" t="inlineStr"/>
      <c r="B35" s="66" t="inlineStr">
        <is>
          <t>Revenue ($M)</t>
        </is>
      </c>
      <c r="C35" s="97" t="n">
        <v>20.269</v>
      </c>
      <c r="D35" s="97" t="n">
        <v>20.854</v>
      </c>
      <c r="E35" s="97" t="n">
        <v>27.979</v>
      </c>
      <c r="F35" s="97" t="n">
        <v>26.19</v>
      </c>
      <c r="G35" s="97" t="n">
        <v>28.505</v>
      </c>
      <c r="H35" s="97" t="n">
        <v>28.179</v>
      </c>
      <c r="I35" s="97" t="n">
        <v>35.246</v>
      </c>
      <c r="J35" s="97" t="n">
        <v>29.049</v>
      </c>
    </row>
    <row r="36" ht="16" customHeight="1">
      <c r="A36" s="96" t="inlineStr"/>
      <c r="B36" s="94" t="inlineStr">
        <is>
          <t>Gross Margin %</t>
        </is>
      </c>
      <c r="C36" s="71" t="n">
        <v>0.62</v>
      </c>
      <c r="D36" s="71" t="n">
        <v>0.624</v>
      </c>
      <c r="E36" s="71" t="n">
        <v>0.628</v>
      </c>
      <c r="F36" s="71" t="n">
        <v>0.608</v>
      </c>
      <c r="G36" s="71" t="n">
        <v>0.616</v>
      </c>
      <c r="H36" s="71" t="n">
        <v>0.601</v>
      </c>
      <c r="I36" s="71" t="n">
        <v>0.598</v>
      </c>
      <c r="J36" s="71" t="n">
        <v>0.599</v>
      </c>
    </row>
    <row r="37" ht="16" customHeight="1">
      <c r="A37" s="96" t="inlineStr"/>
      <c r="B37" s="26" t="inlineStr">
        <is>
          <t>QoQ Rev Growth</t>
        </is>
      </c>
      <c r="C37" s="49" t="n"/>
      <c r="D37" s="75" t="n">
        <v>0.02886180867334353</v>
      </c>
      <c r="E37" s="75" t="n">
        <v>0.3416610722163614</v>
      </c>
      <c r="F37" s="75" t="n">
        <v>-0.06394081275242146</v>
      </c>
      <c r="G37" s="75" t="n">
        <v>0.08839251622756777</v>
      </c>
      <c r="H37" s="75" t="n">
        <v>-0.01143659007191721</v>
      </c>
      <c r="I37" s="75" t="n">
        <v>0.2507895950885411</v>
      </c>
      <c r="J37" s="75" t="n">
        <v>-0.1758213698008285</v>
      </c>
    </row>
    <row r="38" ht="16" customHeight="1">
      <c r="A38" s="96" t="inlineStr"/>
      <c r="B38" s="20" t="inlineStr">
        <is>
          <t>YoY Rev Growth</t>
        </is>
      </c>
      <c r="C38" s="47" t="n"/>
      <c r="D38" s="47" t="n"/>
      <c r="E38" s="47" t="n"/>
      <c r="F38" s="47" t="n"/>
      <c r="G38" s="71" t="n">
        <v>0.4063347969806108</v>
      </c>
      <c r="H38" s="71" t="n">
        <v>0.3512515584540136</v>
      </c>
      <c r="I38" s="71" t="n">
        <v>0.2597305121698417</v>
      </c>
      <c r="J38" s="71" t="n">
        <v>0.109163802978236</v>
      </c>
    </row>
    <row r="39" ht="8" customHeight="1"/>
    <row r="40" ht="18" customHeight="1">
      <c r="A40" s="94" t="inlineStr">
        <is>
          <t>CODA  —  Coda Octopus Group, Inc.</t>
        </is>
      </c>
      <c r="C40" s="37" t="inlineStr">
        <is>
          <t>Nano Cap</t>
        </is>
      </c>
      <c r="D40" s="74" t="inlineStr">
        <is>
          <t>Mkt Cap: $133M</t>
        </is>
      </c>
      <c r="E40" s="95" t="n"/>
      <c r="F40" s="95" t="n"/>
      <c r="G40" s="95" t="n"/>
      <c r="H40" s="95" t="n"/>
      <c r="I40" s="95" t="n"/>
      <c r="J40" s="95" t="n"/>
      <c r="K40" s="95" t="n"/>
    </row>
    <row r="41" ht="16" customHeight="1">
      <c r="A41" s="96" t="inlineStr"/>
      <c r="B41" s="18" t="inlineStr">
        <is>
          <t>Quarter</t>
        </is>
      </c>
      <c r="C41" s="18" t="inlineStr">
        <is>
          <t>2024-04-30</t>
        </is>
      </c>
      <c r="D41" s="18" t="inlineStr">
        <is>
          <t>2024-07-31</t>
        </is>
      </c>
      <c r="E41" s="18" t="inlineStr">
        <is>
          <t>2024-10-31</t>
        </is>
      </c>
      <c r="F41" s="18" t="inlineStr">
        <is>
          <t>2025-01-31</t>
        </is>
      </c>
      <c r="G41" s="18" t="inlineStr">
        <is>
          <t>2025-04-30</t>
        </is>
      </c>
      <c r="H41" s="18" t="inlineStr">
        <is>
          <t>2025-07-31</t>
        </is>
      </c>
      <c r="I41" s="18" t="inlineStr">
        <is>
          <t>2025-10-31</t>
        </is>
      </c>
      <c r="J41" s="18" t="inlineStr">
        <is>
          <t>2026-01-31</t>
        </is>
      </c>
    </row>
    <row r="42" ht="16" customHeight="1">
      <c r="A42" s="96" t="inlineStr"/>
      <c r="B42" s="66" t="inlineStr">
        <is>
          <t>Revenue ($M)</t>
        </is>
      </c>
      <c r="C42" s="97" t="n">
        <v>5.323178</v>
      </c>
      <c r="D42" s="97" t="n">
        <v>5.476544</v>
      </c>
      <c r="E42" s="97" t="n">
        <v>5.055248</v>
      </c>
      <c r="F42" s="97" t="n">
        <v>5.209715</v>
      </c>
      <c r="G42" s="97" t="n">
        <v>7.017459</v>
      </c>
      <c r="H42" s="97" t="n">
        <v>7.064795</v>
      </c>
      <c r="I42" s="97" t="n">
        <v>7.271157</v>
      </c>
      <c r="J42" s="97" t="n">
        <v>6.710112</v>
      </c>
    </row>
    <row r="43" ht="16" customHeight="1">
      <c r="A43" s="96" t="inlineStr"/>
      <c r="B43" s="94" t="inlineStr">
        <is>
          <t>Gross Margin %</t>
        </is>
      </c>
      <c r="C43" s="71" t="n">
        <v>0.7020000000000001</v>
      </c>
      <c r="D43" s="71" t="n">
        <v>0.7390000000000001</v>
      </c>
      <c r="E43" s="71" t="n">
        <v>0.653</v>
      </c>
      <c r="F43" s="71" t="n">
        <v>0.6579999999999999</v>
      </c>
      <c r="G43" s="71" t="n">
        <v>0.6409999999999999</v>
      </c>
      <c r="H43" s="71" t="n">
        <v>0.6829999999999999</v>
      </c>
      <c r="I43" s="71" t="n">
        <v>0.6759999999999999</v>
      </c>
      <c r="J43" s="71" t="n">
        <v>0.6509999999999999</v>
      </c>
    </row>
    <row r="44" ht="16" customHeight="1">
      <c r="A44" s="96" t="inlineStr"/>
      <c r="B44" s="26" t="inlineStr">
        <is>
          <t>QoQ Rev Growth</t>
        </is>
      </c>
      <c r="C44" s="49" t="n"/>
      <c r="D44" s="75" t="n">
        <v>0.02881098471627287</v>
      </c>
      <c r="E44" s="75" t="n">
        <v>-0.07692734688153698</v>
      </c>
      <c r="F44" s="75" t="n">
        <v>0.03055577095327469</v>
      </c>
      <c r="G44" s="75" t="n">
        <v>0.3469947972201934</v>
      </c>
      <c r="H44" s="75" t="n">
        <v>0.00674546156949403</v>
      </c>
      <c r="I44" s="75" t="n">
        <v>0.02920990630301375</v>
      </c>
      <c r="J44" s="75" t="n">
        <v>-0.07716034738350444</v>
      </c>
    </row>
    <row r="45" ht="16" customHeight="1">
      <c r="A45" s="96" t="inlineStr"/>
      <c r="B45" s="20" t="inlineStr">
        <is>
          <t>YoY Rev Growth</t>
        </is>
      </c>
      <c r="C45" s="47" t="n"/>
      <c r="D45" s="47" t="n"/>
      <c r="E45" s="47" t="n"/>
      <c r="F45" s="47" t="n"/>
      <c r="G45" s="71" t="n">
        <v>0.318283739525524</v>
      </c>
      <c r="H45" s="71" t="n">
        <v>0.2900097214593729</v>
      </c>
      <c r="I45" s="71" t="n">
        <v>0.438338336714638</v>
      </c>
      <c r="J45" s="71" t="n">
        <v>0.2879998234068467</v>
      </c>
    </row>
    <row r="46" ht="8" customHeight="1"/>
    <row r="47" ht="18" customHeight="1">
      <c r="A47" s="94" t="inlineStr">
        <is>
          <t>INTT  —  inTEST Corporation</t>
        </is>
      </c>
      <c r="C47" s="37" t="inlineStr">
        <is>
          <t>Nano Cap</t>
        </is>
      </c>
      <c r="D47" s="74" t="inlineStr">
        <is>
          <t>Mkt Cap: $184M</t>
        </is>
      </c>
      <c r="E47" s="95" t="n"/>
      <c r="F47" s="95" t="n"/>
      <c r="G47" s="95" t="n"/>
      <c r="H47" s="95" t="n"/>
      <c r="I47" s="95" t="n"/>
      <c r="J47" s="95" t="n"/>
      <c r="K47" s="95" t="n"/>
    </row>
    <row r="48" ht="16" customHeight="1">
      <c r="A48" s="96" t="inlineStr"/>
      <c r="B48" s="18" t="inlineStr">
        <is>
          <t>Quarter</t>
        </is>
      </c>
      <c r="C48" s="18" t="inlineStr">
        <is>
          <t>2024-06-30</t>
        </is>
      </c>
      <c r="D48" s="18" t="inlineStr">
        <is>
          <t>2024-09-30</t>
        </is>
      </c>
      <c r="E48" s="18" t="inlineStr">
        <is>
          <t>2024-12-31</t>
        </is>
      </c>
      <c r="F48" s="18" t="inlineStr">
        <is>
          <t>2025-03-31</t>
        </is>
      </c>
      <c r="G48" s="18" t="inlineStr">
        <is>
          <t>2025-06-30</t>
        </is>
      </c>
      <c r="H48" s="18" t="inlineStr">
        <is>
          <t>2025-09-30</t>
        </is>
      </c>
      <c r="I48" s="18" t="inlineStr">
        <is>
          <t>2025-12-31</t>
        </is>
      </c>
      <c r="J48" s="18" t="inlineStr">
        <is>
          <t>2026-03-31</t>
        </is>
      </c>
    </row>
    <row r="49" ht="16" customHeight="1">
      <c r="A49" s="96" t="inlineStr"/>
      <c r="B49" s="66" t="inlineStr">
        <is>
          <t>Revenue ($M)</t>
        </is>
      </c>
      <c r="C49" s="97" t="n">
        <v>33.991</v>
      </c>
      <c r="D49" s="97" t="n">
        <v>30.272</v>
      </c>
      <c r="E49" s="97" t="n">
        <v>36.603</v>
      </c>
      <c r="F49" s="97" t="n">
        <v>26.637</v>
      </c>
      <c r="G49" s="97" t="n">
        <v>28.13</v>
      </c>
      <c r="H49" s="97" t="n">
        <v>26.236</v>
      </c>
      <c r="I49" s="97" t="n">
        <v>32.822</v>
      </c>
      <c r="J49" s="97" t="n">
        <v>33.886</v>
      </c>
    </row>
    <row r="50" ht="16" customHeight="1">
      <c r="A50" s="96" t="inlineStr"/>
      <c r="B50" s="94" t="inlineStr">
        <is>
          <t>Gross Margin %</t>
        </is>
      </c>
      <c r="C50" s="71" t="n">
        <v>0.406</v>
      </c>
      <c r="D50" s="71" t="n">
        <v>0.463</v>
      </c>
      <c r="E50" s="71" t="n">
        <v>0.397</v>
      </c>
      <c r="F50" s="71" t="n">
        <v>0.415</v>
      </c>
      <c r="G50" s="71" t="n">
        <v>0.426</v>
      </c>
      <c r="H50" s="71" t="n">
        <v>0.419</v>
      </c>
      <c r="I50" s="71" t="n">
        <v>0.454</v>
      </c>
      <c r="J50" s="71" t="n">
        <v>0.4320000000000001</v>
      </c>
    </row>
    <row r="51" ht="16" customHeight="1">
      <c r="A51" s="96" t="inlineStr"/>
      <c r="B51" s="26" t="inlineStr">
        <is>
          <t>QoQ Rev Growth</t>
        </is>
      </c>
      <c r="C51" s="49" t="n"/>
      <c r="D51" s="75" t="n">
        <v>-0.1094113147597894</v>
      </c>
      <c r="E51" s="75" t="n">
        <v>0.209137156448203</v>
      </c>
      <c r="F51" s="75" t="n">
        <v>-0.2722727645274978</v>
      </c>
      <c r="G51" s="75" t="n">
        <v>0.05604985546420393</v>
      </c>
      <c r="H51" s="75" t="n">
        <v>-0.06733025239957341</v>
      </c>
      <c r="I51" s="75" t="n">
        <v>0.2510291202927276</v>
      </c>
      <c r="J51" s="75" t="n">
        <v>0.03241728109195052</v>
      </c>
    </row>
    <row r="52" ht="16" customHeight="1">
      <c r="A52" s="96" t="inlineStr"/>
      <c r="B52" s="20" t="inlineStr">
        <is>
          <t>YoY Rev Growth</t>
        </is>
      </c>
      <c r="C52" s="47" t="n"/>
      <c r="D52" s="47" t="n"/>
      <c r="E52" s="47" t="n"/>
      <c r="F52" s="47" t="n"/>
      <c r="G52" s="71" t="n">
        <v>-0.1724279956459063</v>
      </c>
      <c r="H52" s="71" t="n">
        <v>-0.1333245243128964</v>
      </c>
      <c r="I52" s="71" t="n">
        <v>-0.1032975439171653</v>
      </c>
      <c r="J52" s="71" t="n">
        <v>0.2721402560348388</v>
      </c>
    </row>
    <row r="53" ht="8" customHeight="1"/>
    <row r="54" ht="18" customHeight="1">
      <c r="A54" s="94" t="inlineStr">
        <is>
          <t>WSTL  —  Westell Technologies, Inc.</t>
        </is>
      </c>
      <c r="C54" s="37" t="inlineStr">
        <is>
          <t>Nano Cap</t>
        </is>
      </c>
      <c r="D54" s="74" t="inlineStr">
        <is>
          <t>Mkt Cap: $76M</t>
        </is>
      </c>
      <c r="E54" s="95" t="n"/>
      <c r="F54" s="95" t="n"/>
      <c r="G54" s="95" t="n"/>
      <c r="H54" s="95" t="n"/>
      <c r="I54" s="95" t="n"/>
      <c r="J54" s="95" t="n"/>
      <c r="K54" s="95" t="n"/>
    </row>
    <row r="55" ht="16" customHeight="1">
      <c r="A55" s="96" t="inlineStr"/>
      <c r="B55" s="18" t="inlineStr">
        <is>
          <t>Quarter</t>
        </is>
      </c>
      <c r="C55" s="18" t="inlineStr">
        <is>
          <t>2024-03-31</t>
        </is>
      </c>
      <c r="D55" s="18" t="inlineStr">
        <is>
          <t>2024-06-30</t>
        </is>
      </c>
      <c r="E55" s="18" t="inlineStr">
        <is>
          <t>2024-09-30</t>
        </is>
      </c>
      <c r="F55" s="18" t="inlineStr">
        <is>
          <t>2024-12-31</t>
        </is>
      </c>
      <c r="G55" s="18" t="inlineStr">
        <is>
          <t>2025-03-31</t>
        </is>
      </c>
      <c r="H55" s="18" t="inlineStr">
        <is>
          <t>2025-06-30</t>
        </is>
      </c>
      <c r="I55" s="18" t="inlineStr">
        <is>
          <t>2025-09-30</t>
        </is>
      </c>
      <c r="J55" s="18" t="inlineStr">
        <is>
          <t>2025-12-31</t>
        </is>
      </c>
    </row>
    <row r="56" ht="16" customHeight="1">
      <c r="A56" s="96" t="inlineStr"/>
      <c r="B56" s="66" t="inlineStr">
        <is>
          <t>Revenue ($M)</t>
        </is>
      </c>
      <c r="C56" s="97" t="n">
        <v>6.892</v>
      </c>
      <c r="D56" s="97" t="n">
        <v>8.914</v>
      </c>
      <c r="E56" s="97" t="n">
        <v>9.67</v>
      </c>
      <c r="F56" s="97" t="n">
        <v>9.816000000000001</v>
      </c>
      <c r="G56" s="97" t="n">
        <v>14.04</v>
      </c>
      <c r="H56" s="97" t="n">
        <v>19.942</v>
      </c>
      <c r="I56" s="97" t="n">
        <v>18.662</v>
      </c>
      <c r="J56" s="97" t="n">
        <v>14.386</v>
      </c>
    </row>
    <row r="57" ht="16" customHeight="1">
      <c r="A57" s="96" t="inlineStr"/>
      <c r="B57" s="94" t="inlineStr">
        <is>
          <t>Gross Margin %</t>
        </is>
      </c>
      <c r="C57" s="71" t="n">
        <v>0.33</v>
      </c>
      <c r="D57" s="71" t="n">
        <v>0.386</v>
      </c>
      <c r="E57" s="71" t="n">
        <v>0.373</v>
      </c>
      <c r="F57" s="71" t="n">
        <v>0.397</v>
      </c>
      <c r="G57" s="71" t="n">
        <v>0.439</v>
      </c>
      <c r="H57" s="71" t="n">
        <v>0.456</v>
      </c>
      <c r="I57" s="71" t="n">
        <v>0.441</v>
      </c>
      <c r="J57" s="71" t="n">
        <v>0.411</v>
      </c>
    </row>
    <row r="58" ht="16" customHeight="1">
      <c r="A58" s="96" t="inlineStr"/>
      <c r="B58" s="26" t="inlineStr">
        <is>
          <t>QoQ Rev Growth</t>
        </is>
      </c>
      <c r="C58" s="49" t="n"/>
      <c r="D58" s="75" t="n">
        <v>0.2933836331979106</v>
      </c>
      <c r="E58" s="75" t="n">
        <v>0.08481041059008301</v>
      </c>
      <c r="F58" s="75" t="n">
        <v>0.01509824198552223</v>
      </c>
      <c r="G58" s="75" t="n">
        <v>0.4303178484107579</v>
      </c>
      <c r="H58" s="75" t="n">
        <v>0.4203703703703704</v>
      </c>
      <c r="I58" s="75" t="n">
        <v>-0.06418613980543576</v>
      </c>
      <c r="J58" s="75" t="n">
        <v>-0.2291287107491158</v>
      </c>
    </row>
    <row r="59" ht="16" customHeight="1">
      <c r="A59" s="96" t="inlineStr"/>
      <c r="B59" s="20" t="inlineStr">
        <is>
          <t>YoY Rev Growth</t>
        </is>
      </c>
      <c r="C59" s="47" t="n"/>
      <c r="D59" s="47" t="n"/>
      <c r="E59" s="47" t="n"/>
      <c r="F59" s="47" t="n"/>
      <c r="G59" s="71" t="n">
        <v>1.037144515380151</v>
      </c>
      <c r="H59" s="71" t="n">
        <v>1.237155037020417</v>
      </c>
      <c r="I59" s="71" t="n">
        <v>0.9298862461220269</v>
      </c>
      <c r="J59" s="71" t="n">
        <v>0.4655664221678892</v>
      </c>
    </row>
    <row r="60" ht="8" customHeight="1"/>
    <row r="61" ht="18" customHeight="1">
      <c r="A61" s="94" t="inlineStr">
        <is>
          <t>TAYD  —  Taylor Devices, Inc.</t>
        </is>
      </c>
      <c r="C61" s="37" t="inlineStr">
        <is>
          <t>Nano Cap</t>
        </is>
      </c>
      <c r="D61" s="74" t="inlineStr">
        <is>
          <t>Mkt Cap: $171M</t>
        </is>
      </c>
      <c r="E61" s="95" t="n"/>
      <c r="F61" s="95" t="n"/>
      <c r="G61" s="95" t="n"/>
      <c r="H61" s="95" t="n"/>
      <c r="I61" s="95" t="n"/>
      <c r="J61" s="95" t="n"/>
      <c r="K61" s="95" t="n"/>
    </row>
    <row r="62" ht="16" customHeight="1">
      <c r="A62" s="96" t="inlineStr"/>
      <c r="B62" s="18" t="inlineStr">
        <is>
          <t>Quarter</t>
        </is>
      </c>
      <c r="C62" s="18" t="inlineStr">
        <is>
          <t>2024-05-31</t>
        </is>
      </c>
      <c r="D62" s="18" t="inlineStr">
        <is>
          <t>2024-08-31</t>
        </is>
      </c>
      <c r="E62" s="18" t="inlineStr">
        <is>
          <t>2024-11-30</t>
        </is>
      </c>
      <c r="F62" s="18" t="inlineStr">
        <is>
          <t>2025-02-28</t>
        </is>
      </c>
      <c r="G62" s="18" t="inlineStr">
        <is>
          <t>2025-05-31</t>
        </is>
      </c>
      <c r="H62" s="18" t="inlineStr">
        <is>
          <t>2025-08-31</t>
        </is>
      </c>
      <c r="I62" s="18" t="inlineStr">
        <is>
          <t>2025-11-30</t>
        </is>
      </c>
      <c r="J62" s="18" t="inlineStr">
        <is>
          <t>2026-02-28</t>
        </is>
      </c>
    </row>
    <row r="63" ht="16" customHeight="1">
      <c r="A63" s="96" t="inlineStr"/>
      <c r="B63" s="66" t="inlineStr">
        <is>
          <t>Revenue ($M)</t>
        </is>
      </c>
      <c r="C63" s="97" t="n">
        <v>12.065211</v>
      </c>
      <c r="D63" s="97" t="n">
        <v>11.617856</v>
      </c>
      <c r="E63" s="97" t="n">
        <v>3.8861</v>
      </c>
      <c r="F63" s="97" t="n">
        <v>10.564834</v>
      </c>
      <c r="G63" s="97" t="n">
        <v>15.561154</v>
      </c>
      <c r="H63" s="97" t="n">
        <v>9.91835</v>
      </c>
      <c r="I63" s="97" t="n">
        <v>11.603472</v>
      </c>
      <c r="J63" s="97" t="n">
        <v>11.173201</v>
      </c>
    </row>
    <row r="64" ht="16" customHeight="1">
      <c r="A64" s="96" t="inlineStr"/>
      <c r="B64" s="94" t="inlineStr">
        <is>
          <t>Gross Margin %</t>
        </is>
      </c>
      <c r="C64" s="71" t="n">
        <v>0.488</v>
      </c>
      <c r="D64" s="71" t="n">
        <v>0.474</v>
      </c>
      <c r="E64" s="71" t="n">
        <v>1</v>
      </c>
      <c r="F64" s="71" t="n">
        <v>0.429</v>
      </c>
      <c r="G64" s="71" t="n">
        <v>0.486</v>
      </c>
      <c r="H64" s="71" t="n">
        <v>0.448</v>
      </c>
      <c r="I64" s="71" t="n">
        <v>0.47</v>
      </c>
      <c r="J64" s="71" t="n">
        <v>0.402</v>
      </c>
    </row>
    <row r="65" ht="16" customHeight="1">
      <c r="A65" s="96" t="inlineStr"/>
      <c r="B65" s="26" t="inlineStr">
        <is>
          <t>QoQ Rev Growth</t>
        </is>
      </c>
      <c r="C65" s="49" t="n"/>
      <c r="D65" s="75" t="n">
        <v>-0.03707809171343957</v>
      </c>
      <c r="E65" s="75" t="n">
        <v>-0.665506268970798</v>
      </c>
      <c r="F65" s="75" t="n">
        <v>1.718621239803402</v>
      </c>
      <c r="G65" s="75" t="n">
        <v>0.4729198773970325</v>
      </c>
      <c r="H65" s="75" t="n">
        <v>-0.3626211783521968</v>
      </c>
      <c r="I65" s="75" t="n">
        <v>0.1698994288364496</v>
      </c>
      <c r="J65" s="75" t="n">
        <v>-0.03708122879083088</v>
      </c>
    </row>
    <row r="66" ht="16" customHeight="1">
      <c r="A66" s="96" t="inlineStr"/>
      <c r="B66" s="20" t="inlineStr">
        <is>
          <t>YoY Rev Growth</t>
        </is>
      </c>
      <c r="C66" s="47" t="n"/>
      <c r="D66" s="47" t="n"/>
      <c r="E66" s="47" t="n"/>
      <c r="F66" s="47" t="n"/>
      <c r="G66" s="71" t="n">
        <v>0.2897539877255358</v>
      </c>
      <c r="H66" s="71" t="n">
        <v>-0.1462839615157909</v>
      </c>
      <c r="I66" s="71" t="n">
        <v>1.985891253441754</v>
      </c>
      <c r="J66" s="71" t="n">
        <v>0.05758415134587065</v>
      </c>
    </row>
    <row r="67" ht="8" customHeight="1"/>
    <row r="68" ht="18" customHeight="1">
      <c r="A68" s="94" t="inlineStr">
        <is>
          <t>LAW  —  CS Disco, Inc.</t>
        </is>
      </c>
      <c r="C68" s="37" t="inlineStr">
        <is>
          <t>Nano Cap</t>
        </is>
      </c>
      <c r="D68" s="74" t="inlineStr">
        <is>
          <t>Mkt Cap: $242M</t>
        </is>
      </c>
      <c r="E68" s="95" t="n"/>
      <c r="F68" s="95" t="n"/>
      <c r="G68" s="95" t="n"/>
      <c r="H68" s="95" t="n"/>
      <c r="I68" s="95" t="n"/>
      <c r="J68" s="95" t="n"/>
      <c r="K68" s="95" t="n"/>
    </row>
    <row r="69" ht="16" customHeight="1">
      <c r="A69" s="96" t="inlineStr"/>
      <c r="B69" s="18" t="inlineStr">
        <is>
          <t>Quarter</t>
        </is>
      </c>
      <c r="C69" s="18" t="inlineStr">
        <is>
          <t>2024-06-30</t>
        </is>
      </c>
      <c r="D69" s="18" t="inlineStr">
        <is>
          <t>2024-09-30</t>
        </is>
      </c>
      <c r="E69" s="18" t="inlineStr">
        <is>
          <t>2024-12-31</t>
        </is>
      </c>
      <c r="F69" s="18" t="inlineStr">
        <is>
          <t>2025-03-31</t>
        </is>
      </c>
      <c r="G69" s="18" t="inlineStr">
        <is>
          <t>2025-06-30</t>
        </is>
      </c>
      <c r="H69" s="18" t="inlineStr">
        <is>
          <t>2025-09-30</t>
        </is>
      </c>
      <c r="I69" s="18" t="inlineStr">
        <is>
          <t>2025-12-31</t>
        </is>
      </c>
      <c r="J69" s="18" t="inlineStr">
        <is>
          <t>2026-03-31</t>
        </is>
      </c>
    </row>
    <row r="70" ht="16" customHeight="1">
      <c r="A70" s="96" t="inlineStr"/>
      <c r="B70" s="66" t="inlineStr">
        <is>
          <t>Revenue ($M)</t>
        </is>
      </c>
      <c r="C70" s="97" t="n">
        <v>36.005</v>
      </c>
      <c r="D70" s="97" t="n">
        <v>36.266</v>
      </c>
      <c r="E70" s="97" t="n">
        <v>36.999</v>
      </c>
      <c r="F70" s="97" t="n">
        <v>36.653</v>
      </c>
      <c r="G70" s="97" t="n">
        <v>38.106</v>
      </c>
      <c r="H70" s="97" t="n">
        <v>40.919</v>
      </c>
      <c r="I70" s="97" t="n">
        <v>41.171</v>
      </c>
      <c r="J70" s="97" t="n">
        <v>41.882</v>
      </c>
    </row>
    <row r="71" ht="16" customHeight="1">
      <c r="A71" s="96" t="inlineStr"/>
      <c r="B71" s="94" t="inlineStr">
        <is>
          <t>Gross Margin %</t>
        </is>
      </c>
      <c r="C71" s="71" t="n">
        <v>0.742</v>
      </c>
      <c r="D71" s="71" t="n">
        <v>0.731</v>
      </c>
      <c r="E71" s="71" t="n">
        <v>0.742</v>
      </c>
      <c r="F71" s="71" t="n">
        <v>0.741</v>
      </c>
      <c r="G71" s="71" t="n">
        <v>0.746</v>
      </c>
      <c r="H71" s="71" t="n">
        <v>0.755</v>
      </c>
      <c r="I71" s="71" t="n">
        <v>0.7509999999999999</v>
      </c>
      <c r="J71" s="71" t="n">
        <v>0.742</v>
      </c>
    </row>
    <row r="72" ht="16" customHeight="1">
      <c r="A72" s="96" t="inlineStr"/>
      <c r="B72" s="26" t="inlineStr">
        <is>
          <t>QoQ Rev Growth</t>
        </is>
      </c>
      <c r="C72" s="49" t="n"/>
      <c r="D72" s="75" t="n">
        <v>0.00724899319538953</v>
      </c>
      <c r="E72" s="75" t="n">
        <v>0.02021176859868748</v>
      </c>
      <c r="F72" s="75" t="n">
        <v>-0.009351604097408038</v>
      </c>
      <c r="G72" s="75" t="n">
        <v>0.03964204839985813</v>
      </c>
      <c r="H72" s="75" t="n">
        <v>0.07382039573820395</v>
      </c>
      <c r="I72" s="75" t="n">
        <v>0.006158508272440675</v>
      </c>
      <c r="J72" s="75" t="n">
        <v>0.01726943722523135</v>
      </c>
    </row>
    <row r="73" ht="16" customHeight="1">
      <c r="A73" s="96" t="inlineStr"/>
      <c r="B73" s="20" t="inlineStr">
        <is>
          <t>YoY Rev Growth</t>
        </is>
      </c>
      <c r="C73" s="47" t="n"/>
      <c r="D73" s="47" t="n"/>
      <c r="E73" s="47" t="n"/>
      <c r="F73" s="47" t="n"/>
      <c r="G73" s="71" t="n">
        <v>0.05835300652687127</v>
      </c>
      <c r="H73" s="71" t="n">
        <v>0.12830199084542</v>
      </c>
      <c r="I73" s="71" t="n">
        <v>0.1127598043190357</v>
      </c>
      <c r="J73" s="71" t="n">
        <v>0.1426622650260552</v>
      </c>
    </row>
    <row r="74" ht="8" customHeight="1"/>
    <row r="75" ht="22" customHeight="1">
      <c r="A75" s="16" t="inlineStr">
        <is>
          <t xml:space="preserve">  Small Cap</t>
        </is>
      </c>
      <c r="B75" s="17" t="n"/>
      <c r="C75" s="17" t="n"/>
      <c r="D75" s="17" t="n"/>
      <c r="E75" s="17" t="n"/>
      <c r="F75" s="17" t="n"/>
      <c r="G75" s="17" t="n"/>
      <c r="H75" s="17" t="n"/>
      <c r="I75" s="17" t="n"/>
      <c r="J75" s="17" t="n"/>
      <c r="K75" s="17" t="n"/>
    </row>
    <row r="76" ht="18" customHeight="1">
      <c r="A76" s="94" t="inlineStr">
        <is>
          <t>EVLV  —  Evolv Technologies Holdings, Inc.</t>
        </is>
      </c>
      <c r="C76" s="37" t="inlineStr">
        <is>
          <t>Small Cap</t>
        </is>
      </c>
      <c r="D76" s="74" t="inlineStr">
        <is>
          <t>Mkt Cap: $1063M</t>
        </is>
      </c>
      <c r="E76" s="95" t="n"/>
      <c r="F76" s="95" t="n"/>
      <c r="G76" s="95" t="n"/>
      <c r="H76" s="95" t="n"/>
      <c r="I76" s="95" t="n"/>
      <c r="J76" s="95" t="n"/>
      <c r="K76" s="95" t="n"/>
    </row>
    <row r="77" ht="16" customHeight="1">
      <c r="A77" s="96" t="inlineStr"/>
      <c r="B77" s="18" t="inlineStr">
        <is>
          <t>Quarter</t>
        </is>
      </c>
      <c r="C77" s="18" t="inlineStr">
        <is>
          <t>2024-06-30</t>
        </is>
      </c>
      <c r="D77" s="18" t="inlineStr">
        <is>
          <t>2024-09-30</t>
        </is>
      </c>
      <c r="E77" s="18" t="inlineStr">
        <is>
          <t>2024-12-31</t>
        </is>
      </c>
      <c r="F77" s="18" t="inlineStr">
        <is>
          <t>2025-03-31</t>
        </is>
      </c>
      <c r="G77" s="18" t="inlineStr">
        <is>
          <t>2025-06-30</t>
        </is>
      </c>
      <c r="H77" s="18" t="inlineStr">
        <is>
          <t>2025-09-30</t>
        </is>
      </c>
      <c r="I77" s="18" t="inlineStr">
        <is>
          <t>2025-12-31</t>
        </is>
      </c>
      <c r="J77" s="18" t="inlineStr">
        <is>
          <t>2026-03-31</t>
        </is>
      </c>
    </row>
    <row r="78" ht="16" customHeight="1">
      <c r="A78" s="96" t="inlineStr"/>
      <c r="B78" s="66" t="inlineStr">
        <is>
          <t>Revenue ($M)</t>
        </is>
      </c>
      <c r="C78" s="97" t="n">
        <v>25.54</v>
      </c>
      <c r="D78" s="97" t="n">
        <v>27.36</v>
      </c>
      <c r="E78" s="97" t="n">
        <v>29.1</v>
      </c>
      <c r="F78" s="97" t="n">
        <v>32.007</v>
      </c>
      <c r="G78" s="97" t="n">
        <v>32.544</v>
      </c>
      <c r="H78" s="97" t="n">
        <v>42.85</v>
      </c>
      <c r="I78" s="97" t="n">
        <v>38.504</v>
      </c>
      <c r="J78" s="97" t="n">
        <v>46.328</v>
      </c>
    </row>
    <row r="79" ht="16" customHeight="1">
      <c r="A79" s="96" t="inlineStr"/>
      <c r="B79" s="94" t="inlineStr">
        <is>
          <t>Gross Margin %</t>
        </is>
      </c>
      <c r="C79" s="71" t="n">
        <v>0.5670000000000001</v>
      </c>
      <c r="D79" s="71" t="n">
        <v>0.578</v>
      </c>
      <c r="E79" s="71" t="n">
        <v>0.575</v>
      </c>
      <c r="F79" s="71" t="n">
        <v>0.598</v>
      </c>
      <c r="G79" s="71" t="n">
        <v>0.498</v>
      </c>
      <c r="H79" s="71" t="n">
        <v>0.4970000000000001</v>
      </c>
      <c r="I79" s="71" t="n">
        <v>0.484</v>
      </c>
      <c r="J79" s="71" t="n">
        <v>0.514</v>
      </c>
    </row>
    <row r="80" ht="16" customHeight="1">
      <c r="A80" s="96" t="inlineStr"/>
      <c r="B80" s="26" t="inlineStr">
        <is>
          <t>QoQ Rev Growth</t>
        </is>
      </c>
      <c r="C80" s="49" t="n"/>
      <c r="D80" s="75" t="n">
        <v>0.07126076742364917</v>
      </c>
      <c r="E80" s="75" t="n">
        <v>0.06359649122807018</v>
      </c>
      <c r="F80" s="75" t="n">
        <v>0.09989690721649484</v>
      </c>
      <c r="G80" s="75" t="n">
        <v>0.01677757990439591</v>
      </c>
      <c r="H80" s="75" t="n">
        <v>0.3166789577187807</v>
      </c>
      <c r="I80" s="75" t="n">
        <v>-0.1014235705950992</v>
      </c>
      <c r="J80" s="75" t="n">
        <v>0.203199667567006</v>
      </c>
    </row>
    <row r="81" ht="16" customHeight="1">
      <c r="A81" s="96" t="inlineStr"/>
      <c r="B81" s="20" t="inlineStr">
        <is>
          <t>YoY Rev Growth</t>
        </is>
      </c>
      <c r="C81" s="47" t="n"/>
      <c r="D81" s="47" t="n"/>
      <c r="E81" s="47" t="n"/>
      <c r="F81" s="47" t="n"/>
      <c r="G81" s="71" t="n">
        <v>0.2742364917776038</v>
      </c>
      <c r="H81" s="71" t="n">
        <v>0.5661549707602339</v>
      </c>
      <c r="I81" s="71" t="n">
        <v>0.3231615120274914</v>
      </c>
      <c r="J81" s="71" t="n">
        <v>0.4474333739494485</v>
      </c>
    </row>
    <row r="82" ht="8" customHeight="1"/>
    <row r="83" ht="18" customHeight="1">
      <c r="A83" s="94" t="inlineStr">
        <is>
          <t>PKE  —  Park Aerospace Corp.</t>
        </is>
      </c>
      <c r="C83" s="37" t="inlineStr">
        <is>
          <t>Small Cap</t>
        </is>
      </c>
      <c r="D83" s="74" t="inlineStr">
        <is>
          <t>Mkt Cap: $678M</t>
        </is>
      </c>
      <c r="E83" s="95" t="n"/>
      <c r="F83" s="95" t="n"/>
      <c r="G83" s="95" t="n"/>
      <c r="H83" s="95" t="n"/>
      <c r="I83" s="95" t="n"/>
      <c r="J83" s="95" t="n"/>
      <c r="K83" s="95" t="n"/>
    </row>
    <row r="84" ht="16" customHeight="1">
      <c r="A84" s="96" t="inlineStr"/>
      <c r="B84" s="18" t="inlineStr">
        <is>
          <t>Quarter</t>
        </is>
      </c>
      <c r="C84" s="18" t="inlineStr">
        <is>
          <t>2024-06-02</t>
        </is>
      </c>
      <c r="D84" s="18" t="inlineStr">
        <is>
          <t>2024-09-01</t>
        </is>
      </c>
      <c r="E84" s="18" t="inlineStr">
        <is>
          <t>2024-12-01</t>
        </is>
      </c>
      <c r="F84" s="18" t="inlineStr">
        <is>
          <t>2025-02-28</t>
        </is>
      </c>
      <c r="G84" s="18" t="inlineStr">
        <is>
          <t>2025-06-01</t>
        </is>
      </c>
      <c r="H84" s="18" t="inlineStr">
        <is>
          <t>2025-08-31</t>
        </is>
      </c>
      <c r="I84" s="18" t="inlineStr">
        <is>
          <t>2025-11-30</t>
        </is>
      </c>
      <c r="J84" s="18" t="inlineStr">
        <is>
          <t>2026-03-01</t>
        </is>
      </c>
    </row>
    <row r="85" ht="16" customHeight="1">
      <c r="A85" s="96" t="inlineStr"/>
      <c r="B85" s="66" t="inlineStr">
        <is>
          <t>Revenue ($M)</t>
        </is>
      </c>
      <c r="C85" s="97" t="n">
        <v>13.97</v>
      </c>
      <c r="D85" s="97" t="n">
        <v>16.709</v>
      </c>
      <c r="E85" s="97" t="n">
        <v>14.408</v>
      </c>
      <c r="F85" s="97" t="n">
        <v>16.939</v>
      </c>
      <c r="G85" s="97" t="n">
        <v>15.4</v>
      </c>
      <c r="H85" s="97" t="n">
        <v>16.381</v>
      </c>
      <c r="I85" s="97" t="n">
        <v>17.333</v>
      </c>
      <c r="J85" s="97" t="n">
        <v>24.187</v>
      </c>
    </row>
    <row r="86" ht="16" customHeight="1">
      <c r="A86" s="96" t="inlineStr"/>
      <c r="B86" s="94" t="inlineStr">
        <is>
          <t>Gross Margin %</t>
        </is>
      </c>
      <c r="C86" s="71" t="n">
        <v>0.293</v>
      </c>
      <c r="D86" s="71" t="n">
        <v>0.285</v>
      </c>
      <c r="E86" s="71" t="n">
        <v>0.266</v>
      </c>
      <c r="F86" s="71" t="n">
        <v>0.293</v>
      </c>
      <c r="G86" s="71" t="n">
        <v>0.306</v>
      </c>
      <c r="H86" s="71" t="n">
        <v>0.312</v>
      </c>
      <c r="I86" s="71" t="n">
        <v>0.341</v>
      </c>
      <c r="J86" s="71" t="n">
        <v>0.287</v>
      </c>
    </row>
    <row r="87" ht="16" customHeight="1">
      <c r="A87" s="96" t="inlineStr"/>
      <c r="B87" s="26" t="inlineStr">
        <is>
          <t>QoQ Rev Growth</t>
        </is>
      </c>
      <c r="C87" s="49" t="n"/>
      <c r="D87" s="75" t="n">
        <v>0.1960629921259842</v>
      </c>
      <c r="E87" s="75" t="n">
        <v>-0.1377102160512299</v>
      </c>
      <c r="F87" s="75" t="n">
        <v>0.1756662965019434</v>
      </c>
      <c r="G87" s="75" t="n">
        <v>-0.09085542239801642</v>
      </c>
      <c r="H87" s="75" t="n">
        <v>0.0637012987012987</v>
      </c>
      <c r="I87" s="75" t="n">
        <v>0.05811611012758684</v>
      </c>
      <c r="J87" s="75" t="n">
        <v>0.3954306813592569</v>
      </c>
    </row>
    <row r="88" ht="16" customHeight="1">
      <c r="A88" s="96" t="inlineStr"/>
      <c r="B88" s="20" t="inlineStr">
        <is>
          <t>YoY Rev Growth</t>
        </is>
      </c>
      <c r="C88" s="47" t="n"/>
      <c r="D88" s="47" t="n"/>
      <c r="E88" s="47" t="n"/>
      <c r="F88" s="47" t="n"/>
      <c r="G88" s="71" t="n">
        <v>0.1023622047244094</v>
      </c>
      <c r="H88" s="71" t="n">
        <v>-0.01963013944580765</v>
      </c>
      <c r="I88" s="71" t="n">
        <v>0.2030122154358689</v>
      </c>
      <c r="J88" s="71" t="n">
        <v>0.4278883050947517</v>
      </c>
    </row>
    <row r="89" ht="8" customHeight="1"/>
    <row r="90" ht="18" customHeight="1">
      <c r="A90" s="94" t="inlineStr">
        <is>
          <t>DSP  —  Viant Technology Inc.</t>
        </is>
      </c>
      <c r="C90" s="37" t="inlineStr">
        <is>
          <t>Small Cap</t>
        </is>
      </c>
      <c r="D90" s="74" t="inlineStr">
        <is>
          <t>Mkt Cap: $795M</t>
        </is>
      </c>
      <c r="E90" s="95" t="n"/>
      <c r="F90" s="95" t="n"/>
      <c r="G90" s="95" t="n"/>
      <c r="H90" s="95" t="n"/>
      <c r="I90" s="95" t="n"/>
      <c r="J90" s="95" t="n"/>
      <c r="K90" s="95" t="n"/>
    </row>
    <row r="91" ht="16" customHeight="1">
      <c r="A91" s="96" t="inlineStr"/>
      <c r="B91" s="18" t="inlineStr">
        <is>
          <t>Quarter</t>
        </is>
      </c>
      <c r="C91" s="18" t="inlineStr">
        <is>
          <t>2024-06-30</t>
        </is>
      </c>
      <c r="D91" s="18" t="inlineStr">
        <is>
          <t>2024-09-30</t>
        </is>
      </c>
      <c r="E91" s="18" t="inlineStr">
        <is>
          <t>2024-12-31</t>
        </is>
      </c>
      <c r="F91" s="18" t="inlineStr">
        <is>
          <t>2025-03-31</t>
        </is>
      </c>
      <c r="G91" s="18" t="inlineStr">
        <is>
          <t>2025-06-30</t>
        </is>
      </c>
      <c r="H91" s="18" t="inlineStr">
        <is>
          <t>2025-09-30</t>
        </is>
      </c>
      <c r="I91" s="18" t="inlineStr">
        <is>
          <t>2025-12-31</t>
        </is>
      </c>
      <c r="J91" s="18" t="inlineStr">
        <is>
          <t>2026-03-31</t>
        </is>
      </c>
    </row>
    <row r="92" ht="16" customHeight="1">
      <c r="A92" s="96" t="inlineStr"/>
      <c r="B92" s="66" t="inlineStr">
        <is>
          <t>Revenue ($M)</t>
        </is>
      </c>
      <c r="C92" s="97" t="n">
        <v>65.866</v>
      </c>
      <c r="D92" s="97" t="n">
        <v>79.922</v>
      </c>
      <c r="E92" s="97" t="n">
        <v>90.054</v>
      </c>
      <c r="F92" s="97" t="n">
        <v>70.642</v>
      </c>
      <c r="G92" s="97" t="n">
        <v>77.85299999999999</v>
      </c>
      <c r="H92" s="97" t="n">
        <v>85.58199999999999</v>
      </c>
      <c r="I92" s="97" t="n">
        <v>110.124</v>
      </c>
      <c r="J92" s="97" t="n">
        <v>88.538</v>
      </c>
    </row>
    <row r="93" ht="16" customHeight="1">
      <c r="A93" s="96" t="inlineStr"/>
      <c r="B93" s="94" t="inlineStr">
        <is>
          <t>Gross Margin %</t>
        </is>
      </c>
      <c r="C93" s="71" t="n">
        <v>0.467</v>
      </c>
      <c r="D93" s="71" t="n">
        <v>0.442</v>
      </c>
      <c r="E93" s="71" t="n">
        <v>0.472</v>
      </c>
      <c r="F93" s="71" t="n">
        <v>0.433</v>
      </c>
      <c r="G93" s="71" t="n">
        <v>0.461</v>
      </c>
      <c r="H93" s="71" t="n">
        <v>0.466</v>
      </c>
      <c r="I93" s="71" t="n">
        <v>0.466</v>
      </c>
      <c r="J93" s="71" t="n">
        <v>0.835</v>
      </c>
    </row>
    <row r="94" ht="16" customHeight="1">
      <c r="A94" s="96" t="inlineStr"/>
      <c r="B94" s="26" t="inlineStr">
        <is>
          <t>QoQ Rev Growth</t>
        </is>
      </c>
      <c r="C94" s="49" t="n"/>
      <c r="D94" s="75" t="n">
        <v>0.2134029696656849</v>
      </c>
      <c r="E94" s="75" t="n">
        <v>0.1267736042641575</v>
      </c>
      <c r="F94" s="75" t="n">
        <v>-0.2155595531569947</v>
      </c>
      <c r="G94" s="75" t="n">
        <v>0.1020780838594604</v>
      </c>
      <c r="H94" s="75" t="n">
        <v>0.0992768422539915</v>
      </c>
      <c r="I94" s="75" t="n">
        <v>0.2867659087191232</v>
      </c>
      <c r="J94" s="75" t="n">
        <v>-0.1960154008208928</v>
      </c>
    </row>
    <row r="95" ht="16" customHeight="1">
      <c r="A95" s="96" t="inlineStr"/>
      <c r="B95" s="20" t="inlineStr">
        <is>
          <t>YoY Rev Growth</t>
        </is>
      </c>
      <c r="C95" s="47" t="n"/>
      <c r="D95" s="47" t="n"/>
      <c r="E95" s="47" t="n"/>
      <c r="F95" s="47" t="n"/>
      <c r="G95" s="71" t="n">
        <v>0.1819907084079798</v>
      </c>
      <c r="H95" s="71" t="n">
        <v>0.07081904857235805</v>
      </c>
      <c r="I95" s="71" t="n">
        <v>0.2228662802318609</v>
      </c>
      <c r="J95" s="71" t="n">
        <v>0.2533337108235894</v>
      </c>
    </row>
    <row r="96" ht="8" customHeight="1"/>
    <row r="97" ht="18" customHeight="1">
      <c r="A97" s="94" t="inlineStr">
        <is>
          <t>CMCO  —  Columbus McKinnon Corporation</t>
        </is>
      </c>
      <c r="C97" s="37" t="inlineStr">
        <is>
          <t>Small Cap</t>
        </is>
      </c>
      <c r="D97" s="74" t="inlineStr">
        <is>
          <t>Mkt Cap: $370M</t>
        </is>
      </c>
      <c r="E97" s="95" t="n"/>
      <c r="F97" s="95" t="n"/>
      <c r="G97" s="95" t="n"/>
      <c r="H97" s="95" t="n"/>
      <c r="I97" s="95" t="n"/>
      <c r="J97" s="95" t="n"/>
      <c r="K97" s="95" t="n"/>
    </row>
    <row r="98" ht="16" customHeight="1">
      <c r="A98" s="96" t="inlineStr"/>
      <c r="B98" s="18" t="inlineStr">
        <is>
          <t>Quarter</t>
        </is>
      </c>
      <c r="C98" s="18" t="inlineStr">
        <is>
          <t>2024-06-30</t>
        </is>
      </c>
      <c r="D98" s="18" t="inlineStr">
        <is>
          <t>2024-09-30</t>
        </is>
      </c>
      <c r="E98" s="18" t="inlineStr">
        <is>
          <t>2024-12-31</t>
        </is>
      </c>
      <c r="F98" s="18" t="inlineStr">
        <is>
          <t>2025-03-31</t>
        </is>
      </c>
      <c r="G98" s="18" t="inlineStr">
        <is>
          <t>2025-06-30</t>
        </is>
      </c>
      <c r="H98" s="18" t="inlineStr">
        <is>
          <t>2025-09-30</t>
        </is>
      </c>
      <c r="I98" s="18" t="inlineStr">
        <is>
          <t>2025-12-31</t>
        </is>
      </c>
      <c r="J98" s="18" t="inlineStr">
        <is>
          <t>2026-03-31</t>
        </is>
      </c>
    </row>
    <row r="99" ht="16" customHeight="1">
      <c r="A99" s="96" t="inlineStr"/>
      <c r="B99" s="66" t="inlineStr">
        <is>
          <t>Revenue ($M)</t>
        </is>
      </c>
      <c r="C99" s="97" t="n">
        <v>239.726</v>
      </c>
      <c r="D99" s="97" t="n">
        <v>242.274</v>
      </c>
      <c r="E99" s="97" t="n">
        <v>234.138</v>
      </c>
      <c r="F99" s="97" t="n">
        <v>246.889</v>
      </c>
      <c r="G99" s="97" t="n">
        <v>235.92</v>
      </c>
      <c r="H99" s="97" t="n">
        <v>261.047</v>
      </c>
      <c r="I99" s="97" t="n">
        <v>258.654999</v>
      </c>
      <c r="J99" s="97" t="n">
        <v>437.829</v>
      </c>
    </row>
    <row r="100" ht="16" customHeight="1">
      <c r="A100" s="96" t="inlineStr"/>
      <c r="B100" s="94" t="inlineStr">
        <is>
          <t>Gross Margin %</t>
        </is>
      </c>
      <c r="C100" s="71" t="n">
        <v>0.371</v>
      </c>
      <c r="D100" s="71" t="n">
        <v>0.309</v>
      </c>
      <c r="E100" s="71" t="n">
        <v>0.351</v>
      </c>
      <c r="F100" s="71" t="n">
        <v>0.323</v>
      </c>
      <c r="G100" s="71" t="n">
        <v>0.327</v>
      </c>
      <c r="H100" s="71" t="n">
        <v>0.345</v>
      </c>
      <c r="I100" s="71" t="n">
        <v>0.319</v>
      </c>
      <c r="J100" s="71" t="n">
        <v>0.25</v>
      </c>
    </row>
    <row r="101" ht="16" customHeight="1">
      <c r="A101" s="96" t="inlineStr"/>
      <c r="B101" s="26" t="inlineStr">
        <is>
          <t>QoQ Rev Growth</t>
        </is>
      </c>
      <c r="C101" s="49" t="n"/>
      <c r="D101" s="75" t="n">
        <v>0.01062880121472014</v>
      </c>
      <c r="E101" s="75" t="n">
        <v>-0.03358181232819039</v>
      </c>
      <c r="F101" s="75" t="n">
        <v>0.05445933594717645</v>
      </c>
      <c r="G101" s="75" t="n">
        <v>-0.04442887289429662</v>
      </c>
      <c r="H101" s="75" t="n">
        <v>0.1065064428619871</v>
      </c>
      <c r="I101" s="75" t="n">
        <v>-0.009163104728267323</v>
      </c>
      <c r="J101" s="75" t="n">
        <v>0.6927142397893497</v>
      </c>
    </row>
    <row r="102" ht="16" customHeight="1">
      <c r="A102" s="96" t="inlineStr"/>
      <c r="B102" s="20" t="inlineStr">
        <is>
          <t>YoY Rev Growth</t>
        </is>
      </c>
      <c r="C102" s="47" t="n"/>
      <c r="D102" s="47" t="n"/>
      <c r="E102" s="47" t="n"/>
      <c r="F102" s="47" t="n"/>
      <c r="G102" s="71" t="n">
        <v>-0.0158764589573096</v>
      </c>
      <c r="H102" s="71" t="n">
        <v>0.07748664734969497</v>
      </c>
      <c r="I102" s="71" t="n">
        <v>0.104711746918484</v>
      </c>
      <c r="J102" s="71" t="n">
        <v>0.7733839903762419</v>
      </c>
    </row>
    <row r="103" ht="8" customHeight="1"/>
    <row r="104" ht="18" customHeight="1">
      <c r="A104" s="94" t="inlineStr">
        <is>
          <t>ARLO  —  Arlo Technologies, Inc.</t>
        </is>
      </c>
      <c r="C104" s="37" t="inlineStr">
        <is>
          <t>Small Cap</t>
        </is>
      </c>
      <c r="D104" s="74" t="inlineStr">
        <is>
          <t>Mkt Cap: $1390M</t>
        </is>
      </c>
      <c r="E104" s="95" t="n"/>
      <c r="F104" s="95" t="n"/>
      <c r="G104" s="95" t="n"/>
      <c r="H104" s="95" t="n"/>
      <c r="I104" s="95" t="n"/>
      <c r="J104" s="95" t="n"/>
      <c r="K104" s="95" t="n"/>
    </row>
    <row r="105" ht="16" customHeight="1">
      <c r="A105" s="96" t="inlineStr"/>
      <c r="B105" s="18" t="inlineStr">
        <is>
          <t>Quarter</t>
        </is>
      </c>
      <c r="C105" s="18" t="inlineStr">
        <is>
          <t>2024-06-30</t>
        </is>
      </c>
      <c r="D105" s="18" t="inlineStr">
        <is>
          <t>2024-09-29</t>
        </is>
      </c>
      <c r="E105" s="18" t="inlineStr">
        <is>
          <t>2024-12-31</t>
        </is>
      </c>
      <c r="F105" s="18" t="inlineStr">
        <is>
          <t>2025-03-30</t>
        </is>
      </c>
      <c r="G105" s="18" t="inlineStr">
        <is>
          <t>2025-06-29</t>
        </is>
      </c>
      <c r="H105" s="18" t="inlineStr">
        <is>
          <t>2025-09-28</t>
        </is>
      </c>
      <c r="I105" s="18" t="inlineStr">
        <is>
          <t>2025-12-31</t>
        </is>
      </c>
      <c r="J105" s="18" t="inlineStr">
        <is>
          <t>2026-03-29</t>
        </is>
      </c>
    </row>
    <row r="106" ht="16" customHeight="1">
      <c r="A106" s="96" t="inlineStr"/>
      <c r="B106" s="66" t="inlineStr">
        <is>
          <t>Revenue ($M)</t>
        </is>
      </c>
      <c r="C106" s="97" t="n">
        <v>127.447</v>
      </c>
      <c r="D106" s="97" t="n">
        <v>137.667</v>
      </c>
      <c r="E106" s="97" t="n">
        <v>121.572</v>
      </c>
      <c r="F106" s="97" t="n">
        <v>119.066</v>
      </c>
      <c r="G106" s="97" t="n">
        <v>129.405</v>
      </c>
      <c r="H106" s="97" t="n">
        <v>139.529</v>
      </c>
      <c r="I106" s="97" t="n">
        <v>141.297</v>
      </c>
      <c r="J106" s="97" t="n">
        <v>150.382</v>
      </c>
    </row>
    <row r="107" ht="16" customHeight="1">
      <c r="A107" s="96" t="inlineStr"/>
      <c r="B107" s="94" t="inlineStr">
        <is>
          <t>Gross Margin %</t>
        </is>
      </c>
      <c r="C107" s="71" t="n">
        <v>0.368</v>
      </c>
      <c r="D107" s="71" t="n">
        <v>0.352</v>
      </c>
      <c r="E107" s="71" t="n">
        <v>0.369</v>
      </c>
      <c r="F107" s="71" t="n">
        <v>0.4429999999999999</v>
      </c>
      <c r="G107" s="71" t="n">
        <v>0.449</v>
      </c>
      <c r="H107" s="71" t="n">
        <v>0.405</v>
      </c>
      <c r="I107" s="71" t="n">
        <v>0.464</v>
      </c>
      <c r="J107" s="71" t="n">
        <v>0.483</v>
      </c>
    </row>
    <row r="108" ht="16" customHeight="1">
      <c r="A108" s="96" t="inlineStr"/>
      <c r="B108" s="26" t="inlineStr">
        <is>
          <t>QoQ Rev Growth</t>
        </is>
      </c>
      <c r="C108" s="49" t="n"/>
      <c r="D108" s="75" t="n">
        <v>0.0801901967092203</v>
      </c>
      <c r="E108" s="75" t="n">
        <v>-0.1169125498485476</v>
      </c>
      <c r="F108" s="75" t="n">
        <v>-0.02061329911492778</v>
      </c>
      <c r="G108" s="75" t="n">
        <v>0.08683419280063158</v>
      </c>
      <c r="H108" s="75" t="n">
        <v>0.07823499864765658</v>
      </c>
      <c r="I108" s="75" t="n">
        <v>0.01267120096897419</v>
      </c>
      <c r="J108" s="75" t="n">
        <v>0.06429718960770575</v>
      </c>
    </row>
    <row r="109" ht="16" customHeight="1">
      <c r="A109" s="96" t="inlineStr"/>
      <c r="B109" s="20" t="inlineStr">
        <is>
          <t>YoY Rev Growth</t>
        </is>
      </c>
      <c r="C109" s="47" t="n"/>
      <c r="D109" s="47" t="n"/>
      <c r="E109" s="47" t="n"/>
      <c r="F109" s="47" t="n"/>
      <c r="G109" s="71" t="n">
        <v>0.01536324903685454</v>
      </c>
      <c r="H109" s="71" t="n">
        <v>0.01352539097968286</v>
      </c>
      <c r="I109" s="71" t="n">
        <v>0.1622495311420393</v>
      </c>
      <c r="J109" s="71" t="n">
        <v>0.2630137906707204</v>
      </c>
    </row>
    <row r="110" ht="8" customHeight="1"/>
    <row r="111" ht="18" customHeight="1">
      <c r="A111" s="94" t="inlineStr">
        <is>
          <t>NSSC  —  Napco Security Technologies, Inc.</t>
        </is>
      </c>
      <c r="C111" s="37" t="inlineStr">
        <is>
          <t>Small Cap</t>
        </is>
      </c>
      <c r="D111" s="74" t="inlineStr">
        <is>
          <t>Mkt Cap: $1249M</t>
        </is>
      </c>
      <c r="E111" s="95" t="n"/>
      <c r="F111" s="95" t="n"/>
      <c r="G111" s="95" t="n"/>
      <c r="H111" s="95" t="n"/>
      <c r="I111" s="95" t="n"/>
      <c r="J111" s="95" t="n"/>
      <c r="K111" s="95" t="n"/>
    </row>
    <row r="112" ht="16" customHeight="1">
      <c r="A112" s="96" t="inlineStr"/>
      <c r="B112" s="18" t="inlineStr">
        <is>
          <t>Quarter</t>
        </is>
      </c>
      <c r="C112" s="18" t="inlineStr">
        <is>
          <t>2024-06-30</t>
        </is>
      </c>
      <c r="D112" s="18" t="inlineStr">
        <is>
          <t>2024-09-30</t>
        </is>
      </c>
      <c r="E112" s="18" t="inlineStr">
        <is>
          <t>2024-12-31</t>
        </is>
      </c>
      <c r="F112" s="18" t="inlineStr">
        <is>
          <t>2025-03-31</t>
        </is>
      </c>
      <c r="G112" s="18" t="inlineStr">
        <is>
          <t>2025-06-30</t>
        </is>
      </c>
      <c r="H112" s="18" t="inlineStr">
        <is>
          <t>2025-09-30</t>
        </is>
      </c>
      <c r="I112" s="18" t="inlineStr">
        <is>
          <t>2025-12-31</t>
        </is>
      </c>
      <c r="J112" s="18" t="inlineStr">
        <is>
          <t>2026-03-31</t>
        </is>
      </c>
    </row>
    <row r="113" ht="16" customHeight="1">
      <c r="A113" s="96" t="inlineStr"/>
      <c r="B113" s="66" t="inlineStr">
        <is>
          <t>Revenue ($M)</t>
        </is>
      </c>
      <c r="C113" s="97" t="n">
        <v>50.33</v>
      </c>
      <c r="D113" s="97" t="n">
        <v>44.003</v>
      </c>
      <c r="E113" s="97" t="n">
        <v>42.933</v>
      </c>
      <c r="F113" s="97" t="n">
        <v>43.961</v>
      </c>
      <c r="G113" s="97" t="n">
        <v>50.724</v>
      </c>
      <c r="H113" s="97" t="n">
        <v>49.168</v>
      </c>
      <c r="I113" s="97" t="n">
        <v>48.172</v>
      </c>
      <c r="J113" s="97" t="n">
        <v>49.167</v>
      </c>
    </row>
    <row r="114" ht="16" customHeight="1">
      <c r="A114" s="96" t="inlineStr"/>
      <c r="B114" s="94" t="inlineStr">
        <is>
          <t>Gross Margin %</t>
        </is>
      </c>
      <c r="C114" s="71" t="n">
        <v>0.5529999999999999</v>
      </c>
      <c r="D114" s="71" t="n">
        <v>0.5589999999999999</v>
      </c>
      <c r="E114" s="71" t="n">
        <v>0.57</v>
      </c>
      <c r="F114" s="71" t="n">
        <v>0.5720000000000001</v>
      </c>
      <c r="G114" s="71" t="n">
        <v>0.528</v>
      </c>
      <c r="H114" s="71" t="n">
        <v>0.5660000000000001</v>
      </c>
      <c r="I114" s="71" t="n">
        <v>0.586</v>
      </c>
      <c r="J114" s="71" t="n">
        <v>0.6</v>
      </c>
    </row>
    <row r="115" ht="16" customHeight="1">
      <c r="A115" s="96" t="inlineStr"/>
      <c r="B115" s="26" t="inlineStr">
        <is>
          <t>QoQ Rev Growth</t>
        </is>
      </c>
      <c r="C115" s="49" t="n"/>
      <c r="D115" s="75" t="n">
        <v>-0.1257103119411881</v>
      </c>
      <c r="E115" s="75" t="n">
        <v>-0.02431652387337227</v>
      </c>
      <c r="F115" s="75" t="n">
        <v>0.02394428528171803</v>
      </c>
      <c r="G115" s="75" t="n">
        <v>0.1538409044380246</v>
      </c>
      <c r="H115" s="75" t="n">
        <v>-0.03067581421023579</v>
      </c>
      <c r="I115" s="75" t="n">
        <v>-0.02025707777416206</v>
      </c>
      <c r="J115" s="75" t="n">
        <v>0.02065515237067176</v>
      </c>
    </row>
    <row r="116" ht="16" customHeight="1">
      <c r="A116" s="96" t="inlineStr"/>
      <c r="B116" s="20" t="inlineStr">
        <is>
          <t>YoY Rev Growth</t>
        </is>
      </c>
      <c r="C116" s="47" t="n"/>
      <c r="D116" s="47" t="n"/>
      <c r="E116" s="47" t="n"/>
      <c r="F116" s="47" t="n"/>
      <c r="G116" s="71" t="n">
        <v>0.007828333002185574</v>
      </c>
      <c r="H116" s="71" t="n">
        <v>0.117378360566325</v>
      </c>
      <c r="I116" s="71" t="n">
        <v>0.1220273449328023</v>
      </c>
      <c r="J116" s="71" t="n">
        <v>0.1184231477900867</v>
      </c>
    </row>
    <row r="117" ht="8" customHeight="1"/>
    <row r="118" ht="18" customHeight="1">
      <c r="A118" s="94" t="inlineStr">
        <is>
          <t>SLP  —  Simulations Plus, Inc.</t>
        </is>
      </c>
      <c r="C118" s="37" t="inlineStr">
        <is>
          <t>Small Cap</t>
        </is>
      </c>
      <c r="D118" s="74" t="inlineStr">
        <is>
          <t>Mkt Cap: $321M</t>
        </is>
      </c>
      <c r="E118" s="95" t="n"/>
      <c r="F118" s="95" t="n"/>
      <c r="G118" s="95" t="n"/>
      <c r="H118" s="95" t="n"/>
      <c r="I118" s="95" t="n"/>
      <c r="J118" s="95" t="n"/>
      <c r="K118" s="95" t="n"/>
    </row>
    <row r="119" ht="16" customHeight="1">
      <c r="A119" s="96" t="inlineStr"/>
      <c r="B119" s="18" t="inlineStr">
        <is>
          <t>Quarter</t>
        </is>
      </c>
      <c r="C119" s="18" t="inlineStr">
        <is>
          <t>2024-05-31</t>
        </is>
      </c>
      <c r="D119" s="18" t="inlineStr">
        <is>
          <t>2024-08-31</t>
        </is>
      </c>
      <c r="E119" s="18" t="inlineStr">
        <is>
          <t>2024-11-30</t>
        </is>
      </c>
      <c r="F119" s="18" t="inlineStr">
        <is>
          <t>2025-02-28</t>
        </is>
      </c>
      <c r="G119" s="18" t="inlineStr">
        <is>
          <t>2025-05-31</t>
        </is>
      </c>
      <c r="H119" s="18" t="inlineStr">
        <is>
          <t>2025-08-31</t>
        </is>
      </c>
      <c r="I119" s="18" t="inlineStr">
        <is>
          <t>2025-11-30</t>
        </is>
      </c>
      <c r="J119" s="18" t="inlineStr">
        <is>
          <t>2026-02-28</t>
        </is>
      </c>
    </row>
    <row r="120" ht="16" customHeight="1">
      <c r="A120" s="96" t="inlineStr"/>
      <c r="B120" s="66" t="inlineStr">
        <is>
          <t>Revenue ($M)</t>
        </is>
      </c>
      <c r="C120" s="97" t="n">
        <v>18.544</v>
      </c>
      <c r="D120" s="97" t="n">
        <v>18.664</v>
      </c>
      <c r="E120" s="97" t="n">
        <v>18.924</v>
      </c>
      <c r="F120" s="97" t="n">
        <v>22.432</v>
      </c>
      <c r="G120" s="97" t="n">
        <v>20.363</v>
      </c>
      <c r="H120" s="97" t="n">
        <v>17.46</v>
      </c>
      <c r="I120" s="97" t="n">
        <v>18.421</v>
      </c>
      <c r="J120" s="97" t="n">
        <v>24.291</v>
      </c>
    </row>
    <row r="121" ht="16" customHeight="1">
      <c r="A121" s="96" t="inlineStr"/>
      <c r="B121" s="94" t="inlineStr">
        <is>
          <t>Gross Margin %</t>
        </is>
      </c>
      <c r="C121" s="71" t="n">
        <v>0.715</v>
      </c>
      <c r="D121" s="71" t="n">
        <v>0.366</v>
      </c>
      <c r="E121" s="71" t="n">
        <v>0.54</v>
      </c>
      <c r="F121" s="71" t="n">
        <v>0.585</v>
      </c>
      <c r="G121" s="71" t="n">
        <v>0.64</v>
      </c>
      <c r="H121" s="71" t="n">
        <v>0.5639999999999999</v>
      </c>
      <c r="I121" s="71" t="n">
        <v>0.591</v>
      </c>
      <c r="J121" s="71" t="n">
        <v>0.665</v>
      </c>
    </row>
    <row r="122" ht="16" customHeight="1">
      <c r="A122" s="96" t="inlineStr"/>
      <c r="B122" s="26" t="inlineStr">
        <is>
          <t>QoQ Rev Growth</t>
        </is>
      </c>
      <c r="C122" s="49" t="n"/>
      <c r="D122" s="75" t="n">
        <v>0.006471095772217429</v>
      </c>
      <c r="E122" s="75" t="n">
        <v>0.01393056150878697</v>
      </c>
      <c r="F122" s="75" t="n">
        <v>0.1853730712322976</v>
      </c>
      <c r="G122" s="75" t="n">
        <v>-0.09223430813124109</v>
      </c>
      <c r="H122" s="75" t="n">
        <v>-0.142562490792123</v>
      </c>
      <c r="I122" s="75" t="n">
        <v>0.05504009163802978</v>
      </c>
      <c r="J122" s="75" t="n">
        <v>0.3186580533087238</v>
      </c>
    </row>
    <row r="123" ht="16" customHeight="1">
      <c r="A123" s="96" t="inlineStr"/>
      <c r="B123" s="20" t="inlineStr">
        <is>
          <t>YoY Rev Growth</t>
        </is>
      </c>
      <c r="C123" s="47" t="n"/>
      <c r="D123" s="47" t="n"/>
      <c r="E123" s="47" t="n"/>
      <c r="F123" s="47" t="n"/>
      <c r="G123" s="71" t="n">
        <v>0.09809102674719586</v>
      </c>
      <c r="H123" s="71" t="n">
        <v>-0.06450921560222889</v>
      </c>
      <c r="I123" s="71" t="n">
        <v>-0.02658000422743606</v>
      </c>
      <c r="J123" s="71" t="n">
        <v>0.08287268188302425</v>
      </c>
    </row>
    <row r="124" ht="8" customHeight="1"/>
    <row r="125" ht="18" customHeight="1">
      <c r="A125" s="94" t="inlineStr">
        <is>
          <t>ADTN  —  ADTRAN Holdings, Inc.</t>
        </is>
      </c>
      <c r="C125" s="37" t="inlineStr">
        <is>
          <t>Small Cap</t>
        </is>
      </c>
      <c r="D125" s="74" t="inlineStr">
        <is>
          <t>Mkt Cap: $1243M</t>
        </is>
      </c>
      <c r="E125" s="95" t="n"/>
      <c r="F125" s="95" t="n"/>
      <c r="G125" s="95" t="n"/>
      <c r="H125" s="95" t="n"/>
      <c r="I125" s="95" t="n"/>
      <c r="J125" s="95" t="n"/>
      <c r="K125" s="95" t="n"/>
    </row>
    <row r="126" ht="16" customHeight="1">
      <c r="A126" s="96" t="inlineStr"/>
      <c r="B126" s="18" t="inlineStr">
        <is>
          <t>Quarter</t>
        </is>
      </c>
      <c r="C126" s="18" t="inlineStr">
        <is>
          <t>2024-06-30</t>
        </is>
      </c>
      <c r="D126" s="18" t="inlineStr">
        <is>
          <t>2024-09-30</t>
        </is>
      </c>
      <c r="E126" s="18" t="inlineStr">
        <is>
          <t>2024-12-31</t>
        </is>
      </c>
      <c r="F126" s="18" t="inlineStr">
        <is>
          <t>2025-03-31</t>
        </is>
      </c>
      <c r="G126" s="18" t="inlineStr">
        <is>
          <t>2025-06-30</t>
        </is>
      </c>
      <c r="H126" s="18" t="inlineStr">
        <is>
          <t>2025-09-30</t>
        </is>
      </c>
      <c r="I126" s="18" t="inlineStr">
        <is>
          <t>2025-12-31</t>
        </is>
      </c>
      <c r="J126" s="18" t="inlineStr">
        <is>
          <t>2026-03-31</t>
        </is>
      </c>
    </row>
    <row r="127" ht="16" customHeight="1">
      <c r="A127" s="96" t="inlineStr"/>
      <c r="B127" s="66" t="inlineStr">
        <is>
          <t>Revenue ($M)</t>
        </is>
      </c>
      <c r="C127" s="97" t="n">
        <v>225.991</v>
      </c>
      <c r="D127" s="97" t="n">
        <v>227.704</v>
      </c>
      <c r="E127" s="97" t="n">
        <v>242.852</v>
      </c>
      <c r="F127" s="97" t="n">
        <v>247.744</v>
      </c>
      <c r="G127" s="97" t="n">
        <v>265.068</v>
      </c>
      <c r="H127" s="97" t="n">
        <v>279.435</v>
      </c>
      <c r="I127" s="97" t="n">
        <v>291.56</v>
      </c>
      <c r="J127" s="97" t="n">
        <v>286.086</v>
      </c>
    </row>
    <row r="128" ht="16" customHeight="1">
      <c r="A128" s="96" t="inlineStr"/>
      <c r="B128" s="94" t="inlineStr">
        <is>
          <t>Gross Margin %</t>
        </is>
      </c>
      <c r="C128" s="71" t="n">
        <v>0.361</v>
      </c>
      <c r="D128" s="71" t="n">
        <v>0.374</v>
      </c>
      <c r="E128" s="71" t="n">
        <v>0.376</v>
      </c>
      <c r="F128" s="71" t="n">
        <v>0.384</v>
      </c>
      <c r="G128" s="71" t="n">
        <v>0.373</v>
      </c>
      <c r="H128" s="71" t="n">
        <v>0.383</v>
      </c>
      <c r="I128" s="71" t="n">
        <v>0.39</v>
      </c>
      <c r="J128" s="71" t="n">
        <v>0.395</v>
      </c>
    </row>
    <row r="129" ht="16" customHeight="1">
      <c r="A129" s="96" t="inlineStr"/>
      <c r="B129" s="26" t="inlineStr">
        <is>
          <t>QoQ Rev Growth</t>
        </is>
      </c>
      <c r="C129" s="49" t="n"/>
      <c r="D129" s="75" t="n">
        <v>0.007579947874030382</v>
      </c>
      <c r="E129" s="75" t="n">
        <v>0.06652496223166919</v>
      </c>
      <c r="F129" s="75" t="n">
        <v>0.02014395598965625</v>
      </c>
      <c r="G129" s="75" t="n">
        <v>0.06992702144148799</v>
      </c>
      <c r="H129" s="75" t="n">
        <v>0.05420118611073385</v>
      </c>
      <c r="I129" s="75" t="n">
        <v>0.04339112852720668</v>
      </c>
      <c r="J129" s="75" t="n">
        <v>-0.01877486623679517</v>
      </c>
    </row>
    <row r="130" ht="16" customHeight="1">
      <c r="A130" s="96" t="inlineStr"/>
      <c r="B130" s="20" t="inlineStr">
        <is>
          <t>YoY Rev Growth</t>
        </is>
      </c>
      <c r="C130" s="47" t="n"/>
      <c r="D130" s="47" t="n"/>
      <c r="E130" s="47" t="n"/>
      <c r="F130" s="47" t="n"/>
      <c r="G130" s="71" t="n">
        <v>0.1729139656004</v>
      </c>
      <c r="H130" s="71" t="n">
        <v>0.2271852931876471</v>
      </c>
      <c r="I130" s="71" t="n">
        <v>0.2005666002338873</v>
      </c>
      <c r="J130" s="71" t="n">
        <v>0.1547645957117024</v>
      </c>
    </row>
    <row r="131" ht="8" customHeight="1"/>
    <row r="132" ht="18" customHeight="1">
      <c r="A132" s="94" t="inlineStr">
        <is>
          <t>WYFI  —  WhiteFiber, Inc. Ordinary Shares</t>
        </is>
      </c>
      <c r="C132" s="37" t="inlineStr">
        <is>
          <t>Small Cap</t>
        </is>
      </c>
      <c r="D132" s="74" t="inlineStr">
        <is>
          <t>Mkt Cap: $899M</t>
        </is>
      </c>
      <c r="E132" s="95" t="n"/>
      <c r="F132" s="95" t="n"/>
      <c r="G132" s="95" t="n"/>
      <c r="H132" s="95" t="n"/>
      <c r="I132" s="95" t="n"/>
      <c r="J132" s="95" t="n"/>
      <c r="K132" s="95" t="n"/>
    </row>
    <row r="133" ht="16" customHeight="1">
      <c r="A133" s="96" t="inlineStr"/>
      <c r="B133" s="18" t="inlineStr">
        <is>
          <t>Quarter</t>
        </is>
      </c>
      <c r="C133" s="18" t="inlineStr">
        <is>
          <t>2024-06-30</t>
        </is>
      </c>
      <c r="D133" s="18" t="inlineStr">
        <is>
          <t>2024-09-30</t>
        </is>
      </c>
      <c r="E133" s="18" t="inlineStr">
        <is>
          <t>2024-12-31</t>
        </is>
      </c>
      <c r="F133" s="18" t="inlineStr">
        <is>
          <t>2025-03-31</t>
        </is>
      </c>
      <c r="G133" s="18" t="inlineStr">
        <is>
          <t>2025-06-30</t>
        </is>
      </c>
      <c r="H133" s="18" t="inlineStr">
        <is>
          <t>2025-09-30</t>
        </is>
      </c>
      <c r="I133" s="18" t="inlineStr">
        <is>
          <t>2025-12-31</t>
        </is>
      </c>
      <c r="J133" s="18" t="inlineStr">
        <is>
          <t>2026-03-31</t>
        </is>
      </c>
    </row>
    <row r="134" ht="16" customHeight="1">
      <c r="A134" s="96" t="inlineStr"/>
      <c r="B134" s="66" t="inlineStr">
        <is>
          <t>Revenue ($M)</t>
        </is>
      </c>
      <c r="C134" s="97" t="n">
        <v>12.589701</v>
      </c>
      <c r="D134" s="97" t="n">
        <v>11.959051</v>
      </c>
      <c r="E134" s="97" t="n">
        <v>14.921153</v>
      </c>
      <c r="F134" s="97" t="n">
        <v>16.767516</v>
      </c>
      <c r="G134" s="97" t="n">
        <v>18.662249</v>
      </c>
      <c r="H134" s="97" t="n">
        <v>20.179766</v>
      </c>
      <c r="I134" s="97" t="n">
        <v>23.560975</v>
      </c>
      <c r="J134" s="97" t="n">
        <v>21.923451</v>
      </c>
    </row>
    <row r="135" ht="16" customHeight="1">
      <c r="A135" s="96" t="inlineStr"/>
      <c r="B135" s="94" t="inlineStr">
        <is>
          <t>Gross Margin %</t>
        </is>
      </c>
      <c r="C135" s="71" t="n">
        <v>0.292</v>
      </c>
      <c r="D135" s="71" t="n">
        <v>0.182</v>
      </c>
      <c r="E135" s="71" t="n">
        <v>0.197</v>
      </c>
      <c r="F135" s="71" t="n">
        <v>0.603</v>
      </c>
      <c r="G135" s="71" t="n">
        <v>0.614</v>
      </c>
      <c r="H135" s="71" t="n">
        <v>0.654</v>
      </c>
      <c r="I135" s="71" t="n">
        <v>0.608</v>
      </c>
      <c r="J135" s="71" t="n">
        <v>0.602</v>
      </c>
    </row>
    <row r="136" ht="16" customHeight="1">
      <c r="A136" s="96" t="inlineStr"/>
      <c r="B136" s="26" t="inlineStr">
        <is>
          <t>QoQ Rev Growth</t>
        </is>
      </c>
      <c r="C136" s="49" t="n"/>
      <c r="D136" s="75" t="n">
        <v>-0.05009253198308681</v>
      </c>
      <c r="E136" s="75" t="n">
        <v>0.2476870447328973</v>
      </c>
      <c r="F136" s="75" t="n">
        <v>0.1237413087313025</v>
      </c>
      <c r="G136" s="75" t="n">
        <v>0.1130002201876533</v>
      </c>
      <c r="H136" s="75" t="n">
        <v>0.0813147975895081</v>
      </c>
      <c r="I136" s="75" t="n">
        <v>0.1675544206013093</v>
      </c>
      <c r="J136" s="75" t="n">
        <v>-0.06950153803057811</v>
      </c>
    </row>
    <row r="137" ht="16" customHeight="1">
      <c r="A137" s="96" t="inlineStr"/>
      <c r="B137" s="20" t="inlineStr">
        <is>
          <t>YoY Rev Growth</t>
        </is>
      </c>
      <c r="C137" s="47" t="n"/>
      <c r="D137" s="47" t="n"/>
      <c r="E137" s="47" t="n"/>
      <c r="F137" s="47" t="n"/>
      <c r="G137" s="71" t="n">
        <v>0.4823425115497183</v>
      </c>
      <c r="H137" s="71" t="n">
        <v>0.687405296624289</v>
      </c>
      <c r="I137" s="71" t="n">
        <v>0.5790317946609086</v>
      </c>
      <c r="J137" s="71" t="n">
        <v>0.30749545728777</v>
      </c>
    </row>
    <row r="138" ht="8" customHeight="1"/>
    <row r="139" ht="18" customHeight="1">
      <c r="A139" s="94" t="inlineStr">
        <is>
          <t>BLFS  —  BioLife Solutions, Inc.</t>
        </is>
      </c>
      <c r="C139" s="37" t="inlineStr">
        <is>
          <t>Small Cap</t>
        </is>
      </c>
      <c r="D139" s="74" t="inlineStr">
        <is>
          <t>Mkt Cap: $1302M</t>
        </is>
      </c>
      <c r="E139" s="95" t="n"/>
      <c r="F139" s="95" t="n"/>
      <c r="G139" s="95" t="n"/>
      <c r="H139" s="95" t="n"/>
      <c r="I139" s="95" t="n"/>
      <c r="J139" s="95" t="n"/>
      <c r="K139" s="95" t="n"/>
    </row>
    <row r="140" ht="16" customHeight="1">
      <c r="A140" s="96" t="inlineStr"/>
      <c r="B140" s="18" t="inlineStr">
        <is>
          <t>Quarter</t>
        </is>
      </c>
      <c r="C140" s="18" t="inlineStr">
        <is>
          <t>2024-06-30</t>
        </is>
      </c>
      <c r="D140" s="18" t="inlineStr">
        <is>
          <t>2024-09-30</t>
        </is>
      </c>
      <c r="E140" s="18" t="inlineStr">
        <is>
          <t>2024-12-31</t>
        </is>
      </c>
      <c r="F140" s="18" t="inlineStr">
        <is>
          <t>2025-03-31</t>
        </is>
      </c>
      <c r="G140" s="18" t="inlineStr">
        <is>
          <t>2025-06-30</t>
        </is>
      </c>
      <c r="H140" s="18" t="inlineStr">
        <is>
          <t>2025-09-30</t>
        </is>
      </c>
      <c r="I140" s="18" t="inlineStr">
        <is>
          <t>2025-12-31</t>
        </is>
      </c>
      <c r="J140" s="18" t="inlineStr">
        <is>
          <t>2026-03-31</t>
        </is>
      </c>
    </row>
    <row r="141" ht="16" customHeight="1">
      <c r="A141" s="96" t="inlineStr"/>
      <c r="B141" s="66" t="inlineStr">
        <is>
          <t>Revenue ($M)</t>
        </is>
      </c>
      <c r="C141" s="97" t="n">
        <v>19.715</v>
      </c>
      <c r="D141" s="97" t="n">
        <v>30.571</v>
      </c>
      <c r="E141" s="97" t="n">
        <v>-3.424</v>
      </c>
      <c r="F141" s="97" t="n">
        <v>23.941</v>
      </c>
      <c r="G141" s="97" t="n">
        <v>25.421</v>
      </c>
      <c r="H141" s="97" t="n">
        <v>28.067</v>
      </c>
      <c r="I141" s="97" t="n">
        <v>18.785</v>
      </c>
      <c r="J141" s="97" t="n">
        <v>27.5</v>
      </c>
    </row>
    <row r="142" ht="16" customHeight="1">
      <c r="A142" s="96" t="inlineStr"/>
      <c r="B142" s="94" t="inlineStr">
        <is>
          <t>Gross Margin %</t>
        </is>
      </c>
      <c r="C142" s="71" t="n">
        <v>0.67</v>
      </c>
      <c r="D142" s="71" t="n">
        <v>0.713</v>
      </c>
      <c r="E142" s="71" t="n">
        <v>0</v>
      </c>
      <c r="F142" s="71" t="n">
        <v>0.659</v>
      </c>
      <c r="G142" s="71" t="n">
        <v>0.6459999999999999</v>
      </c>
      <c r="H142" s="71" t="n">
        <v>0.614</v>
      </c>
      <c r="I142" s="71" t="n">
        <v>0.675</v>
      </c>
      <c r="J142" s="71" t="n">
        <v>0.633</v>
      </c>
    </row>
    <row r="143" ht="16" customHeight="1">
      <c r="A143" s="96" t="inlineStr"/>
      <c r="B143" s="26" t="inlineStr">
        <is>
          <t>QoQ Rev Growth</t>
        </is>
      </c>
      <c r="C143" s="49" t="n"/>
      <c r="D143" s="75" t="n">
        <v>0.5506467156987066</v>
      </c>
      <c r="E143" s="75" t="n">
        <v>-1.112001570115469</v>
      </c>
      <c r="F143" s="75" t="n">
        <v>7.992114485981308</v>
      </c>
      <c r="G143" s="75" t="n">
        <v>0.06181863748381438</v>
      </c>
      <c r="H143" s="75" t="n">
        <v>0.1040871720231305</v>
      </c>
      <c r="I143" s="75" t="n">
        <v>-0.3307086614173229</v>
      </c>
      <c r="J143" s="75" t="n">
        <v>0.463933989885547</v>
      </c>
    </row>
    <row r="144" ht="16" customHeight="1">
      <c r="A144" s="96" t="inlineStr"/>
      <c r="B144" s="20" t="inlineStr">
        <is>
          <t>YoY Rev Growth</t>
        </is>
      </c>
      <c r="C144" s="47" t="n"/>
      <c r="D144" s="47" t="n"/>
      <c r="E144" s="47" t="n"/>
      <c r="F144" s="47" t="n"/>
      <c r="G144" s="71" t="n">
        <v>0.2894242962211514</v>
      </c>
      <c r="H144" s="71" t="n">
        <v>-0.08190769029472376</v>
      </c>
      <c r="I144" s="71" t="n">
        <v>6.486273364485982</v>
      </c>
      <c r="J144" s="71" t="n">
        <v>0.1486571154087131</v>
      </c>
    </row>
    <row r="145" ht="8" customHeight="1"/>
    <row r="146" ht="22" customHeight="1">
      <c r="A146" s="16" t="inlineStr">
        <is>
          <t xml:space="preserve">  Breakout</t>
        </is>
      </c>
      <c r="B146" s="17" t="n"/>
      <c r="C146" s="17" t="n"/>
      <c r="D146" s="17" t="n"/>
      <c r="E146" s="17" t="n"/>
      <c r="F146" s="17" t="n"/>
      <c r="G146" s="17" t="n"/>
      <c r="H146" s="17" t="n"/>
      <c r="I146" s="17" t="n"/>
      <c r="J146" s="17" t="n"/>
      <c r="K146" s="17" t="n"/>
    </row>
    <row r="147" ht="18" customHeight="1">
      <c r="A147" s="94" t="inlineStr">
        <is>
          <t>KRMN  —  Karman Holdings Inc.</t>
        </is>
      </c>
      <c r="C147" s="37" t="inlineStr">
        <is>
          <t>Breakout</t>
        </is>
      </c>
      <c r="D147" s="74" t="inlineStr">
        <is>
          <t>Mkt Cap: $6552M</t>
        </is>
      </c>
      <c r="E147" s="95" t="n"/>
      <c r="F147" s="95" t="n"/>
      <c r="G147" s="95" t="n"/>
      <c r="H147" s="95" t="n"/>
      <c r="I147" s="95" t="n"/>
      <c r="J147" s="95" t="n"/>
      <c r="K147" s="95" t="n"/>
    </row>
    <row r="148" ht="16" customHeight="1">
      <c r="A148" s="96" t="inlineStr"/>
      <c r="B148" s="18" t="inlineStr">
        <is>
          <t>Quarter</t>
        </is>
      </c>
      <c r="C148" s="18" t="inlineStr">
        <is>
          <t>2024-06-30</t>
        </is>
      </c>
      <c r="D148" s="18" t="inlineStr">
        <is>
          <t>2024-09-30</t>
        </is>
      </c>
      <c r="E148" s="18" t="inlineStr">
        <is>
          <t>2024-12-31</t>
        </is>
      </c>
      <c r="F148" s="18" t="inlineStr">
        <is>
          <t>2025-03-31</t>
        </is>
      </c>
      <c r="G148" s="18" t="inlineStr">
        <is>
          <t>2025-06-30</t>
        </is>
      </c>
      <c r="H148" s="18" t="inlineStr">
        <is>
          <t>2025-09-30</t>
        </is>
      </c>
      <c r="I148" s="18" t="inlineStr">
        <is>
          <t>2025-12-31</t>
        </is>
      </c>
      <c r="J148" s="18" t="inlineStr">
        <is>
          <t>2026-03-31</t>
        </is>
      </c>
    </row>
    <row r="149" ht="16" customHeight="1">
      <c r="A149" s="96" t="inlineStr"/>
      <c r="B149" s="66" t="inlineStr">
        <is>
          <t>Revenue ($M)</t>
        </is>
      </c>
      <c r="C149" s="97" t="n">
        <v>85.039</v>
      </c>
      <c r="D149" s="97" t="n">
        <v>85.968</v>
      </c>
      <c r="E149" s="97" t="n">
        <v>91.23796900000001</v>
      </c>
      <c r="F149" s="97" t="n">
        <v>100.124</v>
      </c>
      <c r="G149" s="97" t="n">
        <v>115.097</v>
      </c>
      <c r="H149" s="97" t="n">
        <v>121.787</v>
      </c>
      <c r="I149" s="97" t="n">
        <v>134.492</v>
      </c>
      <c r="J149" s="97" t="n">
        <v>151.21</v>
      </c>
    </row>
    <row r="150" ht="16" customHeight="1">
      <c r="A150" s="96" t="inlineStr"/>
      <c r="B150" s="94" t="inlineStr">
        <is>
          <t>Gross Margin %</t>
        </is>
      </c>
      <c r="C150" s="71" t="n">
        <v>0.407</v>
      </c>
      <c r="D150" s="71" t="n">
        <v>0.393</v>
      </c>
      <c r="E150" s="71" t="n">
        <v>0.381</v>
      </c>
      <c r="F150" s="71" t="n">
        <v>0.394</v>
      </c>
      <c r="G150" s="71" t="n">
        <v>0.409</v>
      </c>
      <c r="H150" s="71" t="n">
        <v>0.41</v>
      </c>
      <c r="I150" s="71" t="n">
        <v>0.399</v>
      </c>
      <c r="J150" s="71" t="n">
        <v>0.422</v>
      </c>
    </row>
    <row r="151" ht="16" customHeight="1">
      <c r="A151" s="96" t="inlineStr"/>
      <c r="B151" s="26" t="inlineStr">
        <is>
          <t>QoQ Rev Growth</t>
        </is>
      </c>
      <c r="C151" s="49" t="n"/>
      <c r="D151" s="75" t="n">
        <v>0.01092439939321958</v>
      </c>
      <c r="E151" s="75" t="n">
        <v>0.06130151916992369</v>
      </c>
      <c r="F151" s="75" t="n">
        <v>0.09739400270955177</v>
      </c>
      <c r="G151" s="75" t="n">
        <v>0.1495445647397227</v>
      </c>
      <c r="H151" s="75" t="n">
        <v>0.05812488596575063</v>
      </c>
      <c r="I151" s="75" t="n">
        <v>0.1043214793040308</v>
      </c>
      <c r="J151" s="75" t="n">
        <v>0.1243047913630551</v>
      </c>
    </row>
    <row r="152" ht="16" customHeight="1">
      <c r="A152" s="96" t="inlineStr"/>
      <c r="B152" s="20" t="inlineStr">
        <is>
          <t>YoY Rev Growth</t>
        </is>
      </c>
      <c r="C152" s="47" t="n"/>
      <c r="D152" s="47" t="n"/>
      <c r="E152" s="47" t="n"/>
      <c r="F152" s="47" t="n"/>
      <c r="G152" s="71" t="n">
        <v>0.3534613530262585</v>
      </c>
      <c r="H152" s="71" t="n">
        <v>0.4166550344314163</v>
      </c>
      <c r="I152" s="71" t="n">
        <v>0.4740792838122032</v>
      </c>
      <c r="J152" s="71" t="n">
        <v>0.5102273181255244</v>
      </c>
    </row>
    <row r="153" ht="8" customHeight="1"/>
    <row r="154" ht="18" customHeight="1">
      <c r="A154" s="94" t="inlineStr">
        <is>
          <t>IPGP  —  IPG Photonics Corporation</t>
        </is>
      </c>
      <c r="C154" s="37" t="inlineStr">
        <is>
          <t>Breakout</t>
        </is>
      </c>
      <c r="D154" s="74" t="inlineStr">
        <is>
          <t>Mkt Cap: $4557M</t>
        </is>
      </c>
      <c r="E154" s="95" t="n"/>
      <c r="F154" s="95" t="n"/>
      <c r="G154" s="95" t="n"/>
      <c r="H154" s="95" t="n"/>
      <c r="I154" s="95" t="n"/>
      <c r="J154" s="95" t="n"/>
      <c r="K154" s="95" t="n"/>
    </row>
    <row r="155" ht="16" customHeight="1">
      <c r="A155" s="96" t="inlineStr"/>
      <c r="B155" s="18" t="inlineStr">
        <is>
          <t>Quarter</t>
        </is>
      </c>
      <c r="C155" s="18" t="inlineStr">
        <is>
          <t>2024-06-30</t>
        </is>
      </c>
      <c r="D155" s="18" t="inlineStr">
        <is>
          <t>2024-09-30</t>
        </is>
      </c>
      <c r="E155" s="18" t="inlineStr">
        <is>
          <t>2024-12-31</t>
        </is>
      </c>
      <c r="F155" s="18" t="inlineStr">
        <is>
          <t>2025-03-31</t>
        </is>
      </c>
      <c r="G155" s="18" t="inlineStr">
        <is>
          <t>2025-06-30</t>
        </is>
      </c>
      <c r="H155" s="18" t="inlineStr">
        <is>
          <t>2025-09-30</t>
        </is>
      </c>
      <c r="I155" s="18" t="inlineStr">
        <is>
          <t>2025-12-31</t>
        </is>
      </c>
      <c r="J155" s="18" t="inlineStr">
        <is>
          <t>2026-03-31</t>
        </is>
      </c>
    </row>
    <row r="156" ht="16" customHeight="1">
      <c r="A156" s="96" t="inlineStr"/>
      <c r="B156" s="66" t="inlineStr">
        <is>
          <t>Revenue ($M)</t>
        </is>
      </c>
      <c r="C156" s="97" t="n">
        <v>257.645</v>
      </c>
      <c r="D156" s="97" t="n">
        <v>233.143</v>
      </c>
      <c r="E156" s="97" t="n">
        <v>234.337</v>
      </c>
      <c r="F156" s="97" t="n">
        <v>227.793</v>
      </c>
      <c r="G156" s="97" t="n">
        <v>250.721</v>
      </c>
      <c r="H156" s="97" t="n">
        <v>250.792</v>
      </c>
      <c r="I156" s="97" t="n">
        <v>274.471</v>
      </c>
      <c r="J156" s="97" t="n">
        <v>265.497</v>
      </c>
    </row>
    <row r="157" ht="16" customHeight="1">
      <c r="A157" s="96" t="inlineStr"/>
      <c r="B157" s="94" t="inlineStr">
        <is>
          <t>Gross Margin %</t>
        </is>
      </c>
      <c r="C157" s="71" t="n">
        <v>0.373</v>
      </c>
      <c r="D157" s="71" t="n">
        <v>0.232</v>
      </c>
      <c r="E157" s="71" t="n">
        <v>0.386</v>
      </c>
      <c r="F157" s="71" t="n">
        <v>0.394</v>
      </c>
      <c r="G157" s="71" t="n">
        <v>0.373</v>
      </c>
      <c r="H157" s="71" t="n">
        <v>0.395</v>
      </c>
      <c r="I157" s="71" t="n">
        <v>0.361</v>
      </c>
      <c r="J157" s="71" t="n">
        <v>0.375</v>
      </c>
    </row>
    <row r="158" ht="16" customHeight="1">
      <c r="A158" s="96" t="inlineStr"/>
      <c r="B158" s="26" t="inlineStr">
        <is>
          <t>QoQ Rev Growth</t>
        </is>
      </c>
      <c r="C158" s="49" t="n"/>
      <c r="D158" s="75" t="n">
        <v>-0.09509984668827262</v>
      </c>
      <c r="E158" s="75" t="n">
        <v>0.005121320391347799</v>
      </c>
      <c r="F158" s="75" t="n">
        <v>-0.02792559433636174</v>
      </c>
      <c r="G158" s="75" t="n">
        <v>0.1006527856431058</v>
      </c>
      <c r="H158" s="75" t="n">
        <v>0.0002831832993646324</v>
      </c>
      <c r="I158" s="75" t="n">
        <v>0.09441688730103033</v>
      </c>
      <c r="J158" s="75" t="n">
        <v>-0.03269562175967589</v>
      </c>
    </row>
    <row r="159" ht="16" customHeight="1">
      <c r="A159" s="96" t="inlineStr"/>
      <c r="B159" s="20" t="inlineStr">
        <is>
          <t>YoY Rev Growth</t>
        </is>
      </c>
      <c r="C159" s="47" t="n"/>
      <c r="D159" s="47" t="n"/>
      <c r="E159" s="47" t="n"/>
      <c r="F159" s="47" t="n"/>
      <c r="G159" s="71" t="n">
        <v>-0.02687418735081216</v>
      </c>
      <c r="H159" s="71" t="n">
        <v>0.07570032126205806</v>
      </c>
      <c r="I159" s="71" t="n">
        <v>0.1712661679546977</v>
      </c>
      <c r="J159" s="71" t="n">
        <v>0.1655186946043118</v>
      </c>
    </row>
    <row r="160" ht="8" customHeight="1"/>
    <row r="161" ht="18" customHeight="1">
      <c r="A161" s="94" t="inlineStr">
        <is>
          <t>ESI  —  Element Solutions Inc</t>
        </is>
      </c>
      <c r="C161" s="37" t="inlineStr">
        <is>
          <t>Breakout</t>
        </is>
      </c>
      <c r="D161" s="74" t="inlineStr">
        <is>
          <t>Mkt Cap: $9705M</t>
        </is>
      </c>
      <c r="E161" s="95" t="n"/>
      <c r="F161" s="95" t="n"/>
      <c r="G161" s="95" t="n"/>
      <c r="H161" s="95" t="n"/>
      <c r="I161" s="95" t="n"/>
      <c r="J161" s="95" t="n"/>
      <c r="K161" s="95" t="n"/>
    </row>
    <row r="162" ht="16" customHeight="1">
      <c r="A162" s="96" t="inlineStr"/>
      <c r="B162" s="18" t="inlineStr">
        <is>
          <t>Quarter</t>
        </is>
      </c>
      <c r="C162" s="18" t="inlineStr">
        <is>
          <t>2024-06-30</t>
        </is>
      </c>
      <c r="D162" s="18" t="inlineStr">
        <is>
          <t>2024-09-30</t>
        </is>
      </c>
      <c r="E162" s="18" t="inlineStr">
        <is>
          <t>2024-12-31</t>
        </is>
      </c>
      <c r="F162" s="18" t="inlineStr">
        <is>
          <t>2025-03-31</t>
        </is>
      </c>
      <c r="G162" s="18" t="inlineStr">
        <is>
          <t>2025-06-30</t>
        </is>
      </c>
      <c r="H162" s="18" t="inlineStr">
        <is>
          <t>2025-09-30</t>
        </is>
      </c>
      <c r="I162" s="18" t="inlineStr">
        <is>
          <t>2025-12-31</t>
        </is>
      </c>
      <c r="J162" s="18" t="inlineStr">
        <is>
          <t>2026-03-31</t>
        </is>
      </c>
    </row>
    <row r="163" ht="16" customHeight="1">
      <c r="A163" s="96" t="inlineStr"/>
      <c r="B163" s="66" t="inlineStr">
        <is>
          <t>Revenue ($M)</t>
        </is>
      </c>
      <c r="C163" s="97" t="n">
        <v>612.7</v>
      </c>
      <c r="D163" s="97" t="n">
        <v>645</v>
      </c>
      <c r="E163" s="97" t="n">
        <v>624.2</v>
      </c>
      <c r="F163" s="97" t="n">
        <v>593.7</v>
      </c>
      <c r="G163" s="97" t="n">
        <v>625.2</v>
      </c>
      <c r="H163" s="97" t="n">
        <v>656.1</v>
      </c>
      <c r="I163" s="97" t="n">
        <v>676.2</v>
      </c>
      <c r="J163" s="97" t="n">
        <v>840</v>
      </c>
    </row>
    <row r="164" ht="16" customHeight="1">
      <c r="A164" s="96" t="inlineStr"/>
      <c r="B164" s="94" t="inlineStr">
        <is>
          <t>Gross Margin %</t>
        </is>
      </c>
      <c r="C164" s="71" t="n">
        <v>0.436</v>
      </c>
      <c r="D164" s="71" t="n">
        <v>0.415</v>
      </c>
      <c r="E164" s="71" t="n">
        <v>0.41</v>
      </c>
      <c r="F164" s="71" t="n">
        <v>0.422</v>
      </c>
      <c r="G164" s="71" t="n">
        <v>0.426</v>
      </c>
      <c r="H164" s="71" t="n">
        <v>0.422</v>
      </c>
      <c r="I164" s="71" t="n">
        <v>0.409</v>
      </c>
      <c r="J164" s="71" t="n">
        <v>0.384</v>
      </c>
    </row>
    <row r="165" ht="16" customHeight="1">
      <c r="A165" s="96" t="inlineStr"/>
      <c r="B165" s="26" t="inlineStr">
        <is>
          <t>QoQ Rev Growth</t>
        </is>
      </c>
      <c r="C165" s="49" t="n"/>
      <c r="D165" s="75" t="n">
        <v>0.05271748000652848</v>
      </c>
      <c r="E165" s="75" t="n">
        <v>-0.03224806201550388</v>
      </c>
      <c r="F165" s="75" t="n">
        <v>-0.04886254405639218</v>
      </c>
      <c r="G165" s="75" t="n">
        <v>0.05305709954522486</v>
      </c>
      <c r="H165" s="75" t="n">
        <v>0.04942418426103647</v>
      </c>
      <c r="I165" s="75" t="n">
        <v>0.03063557384545039</v>
      </c>
      <c r="J165" s="75" t="n">
        <v>0.2422360248447205</v>
      </c>
    </row>
    <row r="166" ht="16" customHeight="1">
      <c r="A166" s="96" t="inlineStr"/>
      <c r="B166" s="20" t="inlineStr">
        <is>
          <t>YoY Rev Growth</t>
        </is>
      </c>
      <c r="C166" s="47" t="n"/>
      <c r="D166" s="47" t="n"/>
      <c r="E166" s="47" t="n"/>
      <c r="F166" s="47" t="n"/>
      <c r="G166" s="71" t="n">
        <v>0.02040150155051412</v>
      </c>
      <c r="H166" s="71" t="n">
        <v>0.01720930232558139</v>
      </c>
      <c r="I166" s="71" t="n">
        <v>0.08330663248958667</v>
      </c>
      <c r="J166" s="71" t="n">
        <v>0.414855987872663</v>
      </c>
    </row>
    <row r="167" ht="8" customHeight="1"/>
    <row r="168" ht="18" customHeight="1">
      <c r="A168" s="94" t="inlineStr">
        <is>
          <t>AMBA  —  Ambarella, Inc.</t>
        </is>
      </c>
      <c r="C168" s="37" t="inlineStr">
        <is>
          <t>Breakout</t>
        </is>
      </c>
      <c r="D168" s="74" t="inlineStr">
        <is>
          <t>Mkt Cap: $2786M</t>
        </is>
      </c>
      <c r="E168" s="95" t="n"/>
      <c r="F168" s="95" t="n"/>
      <c r="G168" s="95" t="n"/>
      <c r="H168" s="95" t="n"/>
      <c r="I168" s="95" t="n"/>
      <c r="J168" s="95" t="n"/>
      <c r="K168" s="95" t="n"/>
    </row>
    <row r="169" ht="16" customHeight="1">
      <c r="A169" s="96" t="inlineStr"/>
      <c r="B169" s="18" t="inlineStr">
        <is>
          <t>Quarter</t>
        </is>
      </c>
      <c r="C169" s="18" t="inlineStr">
        <is>
          <t>2024-07-31</t>
        </is>
      </c>
      <c r="D169" s="18" t="inlineStr">
        <is>
          <t>2024-10-31</t>
        </is>
      </c>
      <c r="E169" s="18" t="inlineStr">
        <is>
          <t>2025-01-31</t>
        </is>
      </c>
      <c r="F169" s="18" t="inlineStr">
        <is>
          <t>2025-04-30</t>
        </is>
      </c>
      <c r="G169" s="18" t="inlineStr">
        <is>
          <t>2025-07-31</t>
        </is>
      </c>
      <c r="H169" s="18" t="inlineStr">
        <is>
          <t>2025-10-31</t>
        </is>
      </c>
      <c r="I169" s="18" t="inlineStr">
        <is>
          <t>2026-01-31</t>
        </is>
      </c>
      <c r="J169" s="18" t="inlineStr">
        <is>
          <t>2026-04-30</t>
        </is>
      </c>
    </row>
    <row r="170" ht="16" customHeight="1">
      <c r="A170" s="96" t="inlineStr"/>
      <c r="B170" s="66" t="inlineStr">
        <is>
          <t>Revenue ($M)</t>
        </is>
      </c>
      <c r="C170" s="97" t="n">
        <v>63.724</v>
      </c>
      <c r="D170" s="97" t="n">
        <v>82.65300000000001</v>
      </c>
      <c r="E170" s="97" t="n">
        <v>84.015</v>
      </c>
      <c r="F170" s="97" t="n">
        <v>85.872</v>
      </c>
      <c r="G170" s="97" t="n">
        <v>95.511</v>
      </c>
      <c r="H170" s="97" t="n">
        <v>108.452</v>
      </c>
      <c r="I170" s="97" t="n">
        <v>100.867</v>
      </c>
      <c r="J170" s="97" t="n">
        <v>100.357</v>
      </c>
    </row>
    <row r="171" ht="16" customHeight="1">
      <c r="A171" s="96" t="inlineStr"/>
      <c r="B171" s="94" t="inlineStr">
        <is>
          <t>Gross Margin %</t>
        </is>
      </c>
      <c r="C171" s="71" t="n">
        <v>0.589</v>
      </c>
      <c r="D171" s="71" t="n">
        <v>0.591</v>
      </c>
      <c r="E171" s="71" t="n">
        <v>0.596</v>
      </c>
      <c r="F171" s="71" t="n">
        <v>0.5870000000000001</v>
      </c>
      <c r="G171" s="71" t="n">
        <v>0.5760000000000001</v>
      </c>
      <c r="H171" s="71" t="n">
        <v>0.584</v>
      </c>
      <c r="I171" s="71" t="n">
        <v>0.579</v>
      </c>
      <c r="J171" s="71" t="n">
        <v>0.591</v>
      </c>
    </row>
    <row r="172" ht="16" customHeight="1">
      <c r="A172" s="96" t="inlineStr"/>
      <c r="B172" s="26" t="inlineStr">
        <is>
          <t>QoQ Rev Growth</t>
        </is>
      </c>
      <c r="C172" s="49" t="n"/>
      <c r="D172" s="75" t="n">
        <v>0.2970466386290879</v>
      </c>
      <c r="E172" s="75" t="n">
        <v>0.01647853072483757</v>
      </c>
      <c r="F172" s="75" t="n">
        <v>0.02210319585788252</v>
      </c>
      <c r="G172" s="75" t="n">
        <v>0.1122484628283957</v>
      </c>
      <c r="H172" s="75" t="n">
        <v>0.135492246966318</v>
      </c>
      <c r="I172" s="75" t="n">
        <v>-0.06993877475749641</v>
      </c>
      <c r="J172" s="75" t="n">
        <v>-0.005056163066215908</v>
      </c>
    </row>
    <row r="173" ht="16" customHeight="1">
      <c r="A173" s="96" t="inlineStr"/>
      <c r="B173" s="20" t="inlineStr">
        <is>
          <t>YoY Rev Growth</t>
        </is>
      </c>
      <c r="C173" s="47" t="n"/>
      <c r="D173" s="47" t="n"/>
      <c r="E173" s="47" t="n"/>
      <c r="F173" s="47" t="n"/>
      <c r="G173" s="71" t="n">
        <v>0.4988230494005398</v>
      </c>
      <c r="H173" s="71" t="n">
        <v>0.3121362805947758</v>
      </c>
      <c r="I173" s="71" t="n">
        <v>0.2005832291852645</v>
      </c>
      <c r="J173" s="71" t="n">
        <v>0.1686812930873859</v>
      </c>
    </row>
    <row r="174" ht="8" customHeight="1"/>
    <row r="175" ht="18" customHeight="1">
      <c r="A175" s="94" t="inlineStr">
        <is>
          <t>RUN  —  Sunrun Inc.</t>
        </is>
      </c>
      <c r="C175" s="37" t="inlineStr">
        <is>
          <t>Breakout</t>
        </is>
      </c>
      <c r="D175" s="74" t="inlineStr">
        <is>
          <t>Mkt Cap: $3186M</t>
        </is>
      </c>
      <c r="E175" s="95" t="n"/>
      <c r="F175" s="95" t="n"/>
      <c r="G175" s="95" t="n"/>
      <c r="H175" s="95" t="n"/>
      <c r="I175" s="95" t="n"/>
      <c r="J175" s="95" t="n"/>
      <c r="K175" s="95" t="n"/>
    </row>
    <row r="176" ht="16" customHeight="1">
      <c r="A176" s="96" t="inlineStr"/>
      <c r="B176" s="18" t="inlineStr">
        <is>
          <t>Quarter</t>
        </is>
      </c>
      <c r="C176" s="18" t="inlineStr">
        <is>
          <t>2024-06-30</t>
        </is>
      </c>
      <c r="D176" s="18" t="inlineStr">
        <is>
          <t>2024-09-30</t>
        </is>
      </c>
      <c r="E176" s="18" t="inlineStr">
        <is>
          <t>2024-12-31</t>
        </is>
      </c>
      <c r="F176" s="18" t="inlineStr">
        <is>
          <t>2025-03-31</t>
        </is>
      </c>
      <c r="G176" s="18" t="inlineStr">
        <is>
          <t>2025-06-30</t>
        </is>
      </c>
      <c r="H176" s="18" t="inlineStr">
        <is>
          <t>2025-09-30</t>
        </is>
      </c>
      <c r="I176" s="18" t="inlineStr">
        <is>
          <t>2025-12-31</t>
        </is>
      </c>
      <c r="J176" s="18" t="inlineStr">
        <is>
          <t>2026-03-31</t>
        </is>
      </c>
    </row>
    <row r="177" ht="16" customHeight="1">
      <c r="A177" s="96" t="inlineStr"/>
      <c r="B177" s="66" t="inlineStr">
        <is>
          <t>Revenue ($M)</t>
        </is>
      </c>
      <c r="C177" s="97" t="n">
        <v>523.866</v>
      </c>
      <c r="D177" s="97" t="n">
        <v>537.173</v>
      </c>
      <c r="E177" s="97" t="n">
        <v>518.492</v>
      </c>
      <c r="F177" s="97" t="n">
        <v>504.271</v>
      </c>
      <c r="G177" s="97" t="n">
        <v>569.336</v>
      </c>
      <c r="H177" s="97" t="n">
        <v>724.557</v>
      </c>
      <c r="I177" s="97" t="n">
        <v>1158.833</v>
      </c>
      <c r="J177" s="97" t="n">
        <v>722.231</v>
      </c>
    </row>
    <row r="178" ht="16" customHeight="1">
      <c r="A178" s="96" t="inlineStr"/>
      <c r="B178" s="94" t="inlineStr">
        <is>
          <t>Gross Margin %</t>
        </is>
      </c>
      <c r="C178" s="71" t="n">
        <v>0.181</v>
      </c>
      <c r="D178" s="71" t="n">
        <v>0.193</v>
      </c>
      <c r="E178" s="71" t="n">
        <v>0.188</v>
      </c>
      <c r="F178" s="71" t="n">
        <v>0.196</v>
      </c>
      <c r="G178" s="71" t="n">
        <v>0.166</v>
      </c>
      <c r="H178" s="71" t="n">
        <v>0.336</v>
      </c>
      <c r="I178" s="71" t="n">
        <v>0.353</v>
      </c>
      <c r="J178" s="71" t="n">
        <v>0.304</v>
      </c>
    </row>
    <row r="179" ht="16" customHeight="1">
      <c r="A179" s="96" t="inlineStr"/>
      <c r="B179" s="26" t="inlineStr">
        <is>
          <t>QoQ Rev Growth</t>
        </is>
      </c>
      <c r="C179" s="49" t="n"/>
      <c r="D179" s="75" t="n">
        <v>0.0254015339800636</v>
      </c>
      <c r="E179" s="75" t="n">
        <v>-0.0347765058928874</v>
      </c>
      <c r="F179" s="75" t="n">
        <v>-0.02742761701241292</v>
      </c>
      <c r="G179" s="75" t="n">
        <v>0.1290278441552261</v>
      </c>
      <c r="H179" s="75" t="n">
        <v>0.2726351398822488</v>
      </c>
      <c r="I179" s="75" t="n">
        <v>0.5993676135900972</v>
      </c>
      <c r="J179" s="75" t="n">
        <v>-0.3767600681029967</v>
      </c>
    </row>
    <row r="180" ht="16" customHeight="1">
      <c r="A180" s="96" t="inlineStr"/>
      <c r="B180" s="20" t="inlineStr">
        <is>
          <t>YoY Rev Growth</t>
        </is>
      </c>
      <c r="C180" s="47" t="n"/>
      <c r="D180" s="47" t="n"/>
      <c r="E180" s="47" t="n"/>
      <c r="F180" s="47" t="n"/>
      <c r="G180" s="71" t="n">
        <v>0.0867970053410605</v>
      </c>
      <c r="H180" s="71" t="n">
        <v>0.3488336159859114</v>
      </c>
      <c r="I180" s="71" t="n">
        <v>1.235006518904824</v>
      </c>
      <c r="J180" s="71" t="n">
        <v>0.4322279091996169</v>
      </c>
    </row>
    <row r="181" ht="8" customHeight="1"/>
    <row r="182" ht="18" customHeight="1">
      <c r="A182" s="94" t="inlineStr">
        <is>
          <t>FELE  —  Franklin Electric Co., Inc.</t>
        </is>
      </c>
      <c r="C182" s="37" t="inlineStr">
        <is>
          <t>Breakout</t>
        </is>
      </c>
      <c r="D182" s="74" t="inlineStr">
        <is>
          <t>Mkt Cap: $4355M</t>
        </is>
      </c>
      <c r="E182" s="95" t="n"/>
      <c r="F182" s="95" t="n"/>
      <c r="G182" s="95" t="n"/>
      <c r="H182" s="95" t="n"/>
      <c r="I182" s="95" t="n"/>
      <c r="J182" s="95" t="n"/>
      <c r="K182" s="95" t="n"/>
    </row>
    <row r="183" ht="16" customHeight="1">
      <c r="A183" s="96" t="inlineStr"/>
      <c r="B183" s="18" t="inlineStr">
        <is>
          <t>Quarter</t>
        </is>
      </c>
      <c r="C183" s="18" t="inlineStr">
        <is>
          <t>2024-06-30</t>
        </is>
      </c>
      <c r="D183" s="18" t="inlineStr">
        <is>
          <t>2024-09-30</t>
        </is>
      </c>
      <c r="E183" s="18" t="inlineStr">
        <is>
          <t>2024-12-31</t>
        </is>
      </c>
      <c r="F183" s="18" t="inlineStr">
        <is>
          <t>2025-03-31</t>
        </is>
      </c>
      <c r="G183" s="18" t="inlineStr">
        <is>
          <t>2025-06-30</t>
        </is>
      </c>
      <c r="H183" s="18" t="inlineStr">
        <is>
          <t>2025-09-30</t>
        </is>
      </c>
      <c r="I183" s="18" t="inlineStr">
        <is>
          <t>2025-12-31</t>
        </is>
      </c>
      <c r="J183" s="18" t="inlineStr">
        <is>
          <t>2026-03-31</t>
        </is>
      </c>
    </row>
    <row r="184" ht="16" customHeight="1">
      <c r="A184" s="96" t="inlineStr"/>
      <c r="B184" s="66" t="inlineStr">
        <is>
          <t>Revenue ($M)</t>
        </is>
      </c>
      <c r="C184" s="97" t="n">
        <v>543.258</v>
      </c>
      <c r="D184" s="97" t="n">
        <v>531.438</v>
      </c>
      <c r="E184" s="97" t="n">
        <v>485.745</v>
      </c>
      <c r="F184" s="97" t="n">
        <v>455.247</v>
      </c>
      <c r="G184" s="97" t="n">
        <v>587.434</v>
      </c>
      <c r="H184" s="97" t="n">
        <v>581.7140000000001</v>
      </c>
      <c r="I184" s="97" t="n">
        <v>506.855</v>
      </c>
      <c r="J184" s="97" t="n">
        <v>500.437</v>
      </c>
    </row>
    <row r="185" ht="16" customHeight="1">
      <c r="A185" s="96" t="inlineStr"/>
      <c r="B185" s="94" t="inlineStr">
        <is>
          <t>Gross Margin %</t>
        </is>
      </c>
      <c r="C185" s="71" t="n">
        <v>0.368</v>
      </c>
      <c r="D185" s="71" t="n">
        <v>0.357</v>
      </c>
      <c r="E185" s="71" t="n">
        <v>0.338</v>
      </c>
      <c r="F185" s="71" t="n">
        <v>0.36</v>
      </c>
      <c r="G185" s="71" t="n">
        <v>0.361</v>
      </c>
      <c r="H185" s="71" t="n">
        <v>0.359</v>
      </c>
      <c r="I185" s="71" t="n">
        <v>0.338</v>
      </c>
      <c r="J185" s="71" t="n">
        <v>0.35</v>
      </c>
    </row>
    <row r="186" ht="16" customHeight="1">
      <c r="A186" s="96" t="inlineStr"/>
      <c r="B186" s="26" t="inlineStr">
        <is>
          <t>QoQ Rev Growth</t>
        </is>
      </c>
      <c r="C186" s="49" t="n"/>
      <c r="D186" s="75" t="n">
        <v>-0.02175761792739361</v>
      </c>
      <c r="E186" s="75" t="n">
        <v>-0.08597992616260033</v>
      </c>
      <c r="F186" s="75" t="n">
        <v>-0.062786029706945</v>
      </c>
      <c r="G186" s="75" t="n">
        <v>0.2903632533547723</v>
      </c>
      <c r="H186" s="75" t="n">
        <v>-0.009737264101158598</v>
      </c>
      <c r="I186" s="75" t="n">
        <v>-0.1286869492568513</v>
      </c>
      <c r="J186" s="75" t="n">
        <v>-0.01266239851634096</v>
      </c>
    </row>
    <row r="187" ht="16" customHeight="1">
      <c r="A187" s="96" t="inlineStr"/>
      <c r="B187" s="20" t="inlineStr">
        <is>
          <t>YoY Rev Growth</t>
        </is>
      </c>
      <c r="C187" s="47" t="n"/>
      <c r="D187" s="47" t="n"/>
      <c r="E187" s="47" t="n"/>
      <c r="F187" s="47" t="n"/>
      <c r="G187" s="71" t="n">
        <v>0.0813167960711117</v>
      </c>
      <c r="H187" s="71" t="n">
        <v>0.0946036978913815</v>
      </c>
      <c r="I187" s="71" t="n">
        <v>0.04345901656218798</v>
      </c>
      <c r="J187" s="71" t="n">
        <v>0.09926479471583557</v>
      </c>
    </row>
    <row r="188" ht="8" customHeight="1"/>
    <row r="189" ht="18" customHeight="1">
      <c r="A189" s="94" t="inlineStr">
        <is>
          <t>PATH  —  UiPath Inc.</t>
        </is>
      </c>
      <c r="C189" s="37" t="inlineStr">
        <is>
          <t>Breakout</t>
        </is>
      </c>
      <c r="D189" s="74" t="inlineStr">
        <is>
          <t>Mkt Cap: $5979M</t>
        </is>
      </c>
      <c r="E189" s="95" t="n"/>
      <c r="F189" s="95" t="n"/>
      <c r="G189" s="95" t="n"/>
      <c r="H189" s="95" t="n"/>
      <c r="I189" s="95" t="n"/>
      <c r="J189" s="95" t="n"/>
      <c r="K189" s="95" t="n"/>
    </row>
    <row r="190" ht="16" customHeight="1">
      <c r="A190" s="96" t="inlineStr"/>
      <c r="B190" s="18" t="inlineStr">
        <is>
          <t>Quarter</t>
        </is>
      </c>
      <c r="C190" s="18" t="inlineStr">
        <is>
          <t>2024-07-31</t>
        </is>
      </c>
      <c r="D190" s="18" t="inlineStr">
        <is>
          <t>2024-10-31</t>
        </is>
      </c>
      <c r="E190" s="18" t="inlineStr">
        <is>
          <t>2025-01-31</t>
        </is>
      </c>
      <c r="F190" s="18" t="inlineStr">
        <is>
          <t>2025-04-30</t>
        </is>
      </c>
      <c r="G190" s="18" t="inlineStr">
        <is>
          <t>2025-07-31</t>
        </is>
      </c>
      <c r="H190" s="18" t="inlineStr">
        <is>
          <t>2025-10-31</t>
        </is>
      </c>
      <c r="I190" s="18" t="inlineStr">
        <is>
          <t>2026-01-31</t>
        </is>
      </c>
      <c r="J190" s="18" t="inlineStr">
        <is>
          <t>2026-04-30</t>
        </is>
      </c>
    </row>
    <row r="191" ht="16" customHeight="1">
      <c r="A191" s="96" t="inlineStr"/>
      <c r="B191" s="66" t="inlineStr">
        <is>
          <t>Revenue ($M)</t>
        </is>
      </c>
      <c r="C191" s="97" t="n">
        <v>316.253</v>
      </c>
      <c r="D191" s="97" t="n">
        <v>354.653</v>
      </c>
      <c r="E191" s="97" t="n">
        <v>423.646</v>
      </c>
      <c r="F191" s="97" t="n">
        <v>356.624</v>
      </c>
      <c r="G191" s="97" t="n">
        <v>361.728</v>
      </c>
      <c r="H191" s="97" t="n">
        <v>411.113</v>
      </c>
      <c r="I191" s="97" t="n">
        <v>481.107</v>
      </c>
      <c r="J191" s="97" t="n">
        <v>418.382</v>
      </c>
    </row>
    <row r="192" ht="16" customHeight="1">
      <c r="A192" s="96" t="inlineStr"/>
      <c r="B192" s="94" t="inlineStr">
        <is>
          <t>Gross Margin %</t>
        </is>
      </c>
      <c r="C192" s="71" t="n">
        <v>0.8</v>
      </c>
      <c r="D192" s="71" t="n">
        <v>0.82</v>
      </c>
      <c r="E192" s="71" t="n">
        <v>0.848</v>
      </c>
      <c r="F192" s="71" t="n">
        <v>0.821</v>
      </c>
      <c r="G192" s="71" t="n">
        <v>0.8220000000000001</v>
      </c>
      <c r="H192" s="71" t="n">
        <v>0.833</v>
      </c>
      <c r="I192" s="71" t="n">
        <v>0.8490000000000001</v>
      </c>
      <c r="J192" s="71" t="n">
        <v>0.8109999999999999</v>
      </c>
    </row>
    <row r="193" ht="16" customHeight="1">
      <c r="A193" s="96" t="inlineStr"/>
      <c r="B193" s="26" t="inlineStr">
        <is>
          <t>QoQ Rev Growth</t>
        </is>
      </c>
      <c r="C193" s="49" t="n"/>
      <c r="D193" s="75" t="n">
        <v>0.1214217730740894</v>
      </c>
      <c r="E193" s="75" t="n">
        <v>0.1945366315807282</v>
      </c>
      <c r="F193" s="75" t="n">
        <v>-0.158202839162886</v>
      </c>
      <c r="G193" s="75" t="n">
        <v>0.01431199246264974</v>
      </c>
      <c r="H193" s="75" t="n">
        <v>0.1365252344302902</v>
      </c>
      <c r="I193" s="75" t="n">
        <v>0.1702548934234626</v>
      </c>
      <c r="J193" s="75" t="n">
        <v>-0.1303764027544808</v>
      </c>
    </row>
    <row r="194" ht="16" customHeight="1">
      <c r="A194" s="96" t="inlineStr"/>
      <c r="B194" s="20" t="inlineStr">
        <is>
          <t>YoY Rev Growth</t>
        </is>
      </c>
      <c r="C194" s="47" t="n"/>
      <c r="D194" s="47" t="n"/>
      <c r="E194" s="47" t="n"/>
      <c r="F194" s="47" t="n"/>
      <c r="G194" s="71" t="n">
        <v>0.1437931023579223</v>
      </c>
      <c r="H194" s="71" t="n">
        <v>0.1591978638274595</v>
      </c>
      <c r="I194" s="71" t="n">
        <v>0.1356344684005042</v>
      </c>
      <c r="J194" s="71" t="n">
        <v>0.1731739871685585</v>
      </c>
    </row>
    <row r="195" ht="8" customHeight="1"/>
    <row r="196" ht="18" customHeight="1">
      <c r="A196" s="94" t="inlineStr">
        <is>
          <t>BRC  —  Brady Corporation</t>
        </is>
      </c>
      <c r="C196" s="37" t="inlineStr">
        <is>
          <t>Breakout</t>
        </is>
      </c>
      <c r="D196" s="74" t="inlineStr">
        <is>
          <t>Mkt Cap: $4176M</t>
        </is>
      </c>
      <c r="E196" s="95" t="n"/>
      <c r="F196" s="95" t="n"/>
      <c r="G196" s="95" t="n"/>
      <c r="H196" s="95" t="n"/>
      <c r="I196" s="95" t="n"/>
      <c r="J196" s="95" t="n"/>
      <c r="K196" s="95" t="n"/>
    </row>
    <row r="197" ht="16" customHeight="1">
      <c r="A197" s="96" t="inlineStr"/>
      <c r="B197" s="18" t="inlineStr">
        <is>
          <t>Quarter</t>
        </is>
      </c>
      <c r="C197" s="18" t="inlineStr">
        <is>
          <t>2024-07-31</t>
        </is>
      </c>
      <c r="D197" s="18" t="inlineStr">
        <is>
          <t>2024-10-31</t>
        </is>
      </c>
      <c r="E197" s="18" t="inlineStr">
        <is>
          <t>2025-01-31</t>
        </is>
      </c>
      <c r="F197" s="18" t="inlineStr">
        <is>
          <t>2025-04-30</t>
        </is>
      </c>
      <c r="G197" s="18" t="inlineStr">
        <is>
          <t>2025-07-31</t>
        </is>
      </c>
      <c r="H197" s="18" t="inlineStr">
        <is>
          <t>2025-10-31</t>
        </is>
      </c>
      <c r="I197" s="18" t="inlineStr">
        <is>
          <t>2026-01-31</t>
        </is>
      </c>
      <c r="J197" s="18" t="inlineStr">
        <is>
          <t>2026-04-30</t>
        </is>
      </c>
    </row>
    <row r="198" ht="16" customHeight="1">
      <c r="A198" s="96" t="inlineStr"/>
      <c r="B198" s="66" t="inlineStr">
        <is>
          <t>Revenue ($M)</t>
        </is>
      </c>
      <c r="C198" s="97" t="n">
        <v>343.402</v>
      </c>
      <c r="D198" s="97" t="n">
        <v>377.065</v>
      </c>
      <c r="E198" s="97" t="n">
        <v>356.675</v>
      </c>
      <c r="F198" s="97" t="n">
        <v>382.59</v>
      </c>
      <c r="G198" s="97" t="n">
        <v>397.275</v>
      </c>
      <c r="H198" s="97" t="n">
        <v>405.287</v>
      </c>
      <c r="I198" s="97" t="n">
        <v>384.137</v>
      </c>
      <c r="J198" s="97" t="n">
        <v>435.237</v>
      </c>
    </row>
    <row r="199" ht="16" customHeight="1">
      <c r="A199" s="96" t="inlineStr"/>
      <c r="B199" s="94" t="inlineStr">
        <is>
          <t>Gross Margin %</t>
        </is>
      </c>
      <c r="C199" s="71" t="n">
        <v>0.516</v>
      </c>
      <c r="D199" s="71" t="n">
        <v>0.503</v>
      </c>
      <c r="E199" s="71" t="n">
        <v>0.493</v>
      </c>
      <c r="F199" s="71" t="n">
        <v>0.51</v>
      </c>
      <c r="G199" s="71" t="n">
        <v>0.504</v>
      </c>
      <c r="H199" s="71" t="n">
        <v>0.515</v>
      </c>
      <c r="I199" s="71" t="n">
        <v>0.506</v>
      </c>
      <c r="J199" s="71" t="n">
        <v>0.518</v>
      </c>
    </row>
    <row r="200" ht="16" customHeight="1">
      <c r="A200" s="96" t="inlineStr"/>
      <c r="B200" s="26" t="inlineStr">
        <is>
          <t>QoQ Rev Growth</t>
        </is>
      </c>
      <c r="C200" s="49" t="n"/>
      <c r="D200" s="75" t="n">
        <v>0.09802796722208956</v>
      </c>
      <c r="E200" s="75" t="n">
        <v>-0.05407555726466259</v>
      </c>
      <c r="F200" s="75" t="n">
        <v>0.07265718090698815</v>
      </c>
      <c r="G200" s="75" t="n">
        <v>0.03838312553908884</v>
      </c>
      <c r="H200" s="75" t="n">
        <v>0.02016739034673715</v>
      </c>
      <c r="I200" s="75" t="n">
        <v>-0.05218524156955442</v>
      </c>
      <c r="J200" s="75" t="n">
        <v>0.1330254570634956</v>
      </c>
    </row>
    <row r="201" ht="16" customHeight="1">
      <c r="A201" s="96" t="inlineStr"/>
      <c r="B201" s="20" t="inlineStr">
        <is>
          <t>YoY Rev Growth</t>
        </is>
      </c>
      <c r="C201" s="47" t="n"/>
      <c r="D201" s="47" t="n"/>
      <c r="E201" s="47" t="n"/>
      <c r="F201" s="47" t="n"/>
      <c r="G201" s="71" t="n">
        <v>0.1568802744305508</v>
      </c>
      <c r="H201" s="71" t="n">
        <v>0.07484651187461047</v>
      </c>
      <c r="I201" s="71" t="n">
        <v>0.07699446274619752</v>
      </c>
      <c r="J201" s="71" t="n">
        <v>0.1376068376068376</v>
      </c>
    </row>
    <row r="202" ht="8" customHeight="1"/>
    <row r="203" ht="18" customHeight="1">
      <c r="A203" s="94" t="inlineStr">
        <is>
          <t>ALGM  —  Allegro MicroSystems, Inc.</t>
        </is>
      </c>
      <c r="C203" s="37" t="inlineStr">
        <is>
          <t>Breakout</t>
        </is>
      </c>
      <c r="D203" s="74" t="inlineStr">
        <is>
          <t>Mkt Cap: $8639M</t>
        </is>
      </c>
      <c r="E203" s="95" t="n"/>
      <c r="F203" s="95" t="n"/>
      <c r="G203" s="95" t="n"/>
      <c r="H203" s="95" t="n"/>
      <c r="I203" s="95" t="n"/>
      <c r="J203" s="95" t="n"/>
      <c r="K203" s="95" t="n"/>
    </row>
    <row r="204" ht="16" customHeight="1">
      <c r="A204" s="96" t="inlineStr"/>
      <c r="B204" s="18" t="inlineStr">
        <is>
          <t>Quarter</t>
        </is>
      </c>
      <c r="C204" s="18" t="inlineStr">
        <is>
          <t>2024-06-28</t>
        </is>
      </c>
      <c r="D204" s="18" t="inlineStr">
        <is>
          <t>2024-09-27</t>
        </is>
      </c>
      <c r="E204" s="18" t="inlineStr">
        <is>
          <t>2024-12-27</t>
        </is>
      </c>
      <c r="F204" s="18" t="inlineStr">
        <is>
          <t>2025-03-28</t>
        </is>
      </c>
      <c r="G204" s="18" t="inlineStr">
        <is>
          <t>2025-06-27</t>
        </is>
      </c>
      <c r="H204" s="18" t="inlineStr">
        <is>
          <t>2025-09-26</t>
        </is>
      </c>
      <c r="I204" s="18" t="inlineStr">
        <is>
          <t>2025-12-26</t>
        </is>
      </c>
      <c r="J204" s="18" t="inlineStr">
        <is>
          <t>2026-03-27</t>
        </is>
      </c>
    </row>
    <row r="205" ht="16" customHeight="1">
      <c r="A205" s="96" t="inlineStr"/>
      <c r="B205" s="66" t="inlineStr">
        <is>
          <t>Revenue ($M)</t>
        </is>
      </c>
      <c r="C205" s="97" t="n">
        <v>166.919</v>
      </c>
      <c r="D205" s="97" t="n">
        <v>187.391</v>
      </c>
      <c r="E205" s="97" t="n">
        <v>177.872</v>
      </c>
      <c r="F205" s="97" t="n">
        <v>192.824</v>
      </c>
      <c r="G205" s="97" t="n">
        <v>203.405</v>
      </c>
      <c r="H205" s="97" t="n">
        <v>214.294</v>
      </c>
      <c r="I205" s="97" t="n">
        <v>229.21</v>
      </c>
      <c r="J205" s="97" t="n">
        <v>243.187</v>
      </c>
    </row>
    <row r="206" ht="16" customHeight="1">
      <c r="A206" s="96" t="inlineStr"/>
      <c r="B206" s="94" t="inlineStr">
        <is>
          <t>Gross Margin %</t>
        </is>
      </c>
      <c r="C206" s="71" t="n">
        <v>0.448</v>
      </c>
      <c r="D206" s="71" t="n">
        <v>0.457</v>
      </c>
      <c r="E206" s="71" t="n">
        <v>0.457</v>
      </c>
      <c r="F206" s="71" t="n">
        <v>0.414</v>
      </c>
      <c r="G206" s="71" t="n">
        <v>0.449</v>
      </c>
      <c r="H206" s="71" t="n">
        <v>0.463</v>
      </c>
      <c r="I206" s="71" t="n">
        <v>0.467</v>
      </c>
      <c r="J206" s="71" t="n">
        <v>0.471</v>
      </c>
    </row>
    <row r="207" ht="16" customHeight="1">
      <c r="A207" s="96" t="inlineStr"/>
      <c r="B207" s="26" t="inlineStr">
        <is>
          <t>QoQ Rev Growth</t>
        </is>
      </c>
      <c r="C207" s="49" t="n"/>
      <c r="D207" s="75" t="n">
        <v>0.1226463134813892</v>
      </c>
      <c r="E207" s="75" t="n">
        <v>-0.05079753029761301</v>
      </c>
      <c r="F207" s="75" t="n">
        <v>0.08406044796257983</v>
      </c>
      <c r="G207" s="75" t="n">
        <v>0.05487387462141642</v>
      </c>
      <c r="H207" s="75" t="n">
        <v>0.05353359061969962</v>
      </c>
      <c r="I207" s="75" t="n">
        <v>0.06960530859473434</v>
      </c>
      <c r="J207" s="75" t="n">
        <v>0.06097901487718686</v>
      </c>
    </row>
    <row r="208" ht="16" customHeight="1">
      <c r="A208" s="96" t="inlineStr"/>
      <c r="B208" s="20" t="inlineStr">
        <is>
          <t>YoY Rev Growth</t>
        </is>
      </c>
      <c r="C208" s="47" t="n"/>
      <c r="D208" s="47" t="n"/>
      <c r="E208" s="47" t="n"/>
      <c r="F208" s="47" t="n"/>
      <c r="G208" s="71" t="n">
        <v>0.2185850622158053</v>
      </c>
      <c r="H208" s="71" t="n">
        <v>0.1435661264415047</v>
      </c>
      <c r="I208" s="71" t="n">
        <v>0.2886232796617793</v>
      </c>
      <c r="J208" s="71" t="n">
        <v>0.2611863668423018</v>
      </c>
    </row>
    <row r="209" ht="8" customHeight="1"/>
    <row r="210" ht="18" customHeight="1">
      <c r="A210" s="94" t="inlineStr">
        <is>
          <t>LYFT  —  Lyft, Inc.</t>
        </is>
      </c>
      <c r="C210" s="37" t="inlineStr">
        <is>
          <t>Breakout</t>
        </is>
      </c>
      <c r="D210" s="74" t="inlineStr">
        <is>
          <t>Mkt Cap: $5183M</t>
        </is>
      </c>
      <c r="E210" s="95" t="n"/>
      <c r="F210" s="95" t="n"/>
      <c r="G210" s="95" t="n"/>
      <c r="H210" s="95" t="n"/>
      <c r="I210" s="95" t="n"/>
      <c r="J210" s="95" t="n"/>
      <c r="K210" s="95" t="n"/>
    </row>
    <row r="211" ht="16" customHeight="1">
      <c r="A211" s="96" t="inlineStr"/>
      <c r="B211" s="18" t="inlineStr">
        <is>
          <t>Quarter</t>
        </is>
      </c>
      <c r="C211" s="18" t="inlineStr">
        <is>
          <t>2024-06-30</t>
        </is>
      </c>
      <c r="D211" s="18" t="inlineStr">
        <is>
          <t>2024-09-30</t>
        </is>
      </c>
      <c r="E211" s="18" t="inlineStr">
        <is>
          <t>2024-12-31</t>
        </is>
      </c>
      <c r="F211" s="18" t="inlineStr">
        <is>
          <t>2025-03-31</t>
        </is>
      </c>
      <c r="G211" s="18" t="inlineStr">
        <is>
          <t>2025-06-30</t>
        </is>
      </c>
      <c r="H211" s="18" t="inlineStr">
        <is>
          <t>2025-09-30</t>
        </is>
      </c>
      <c r="I211" s="18" t="inlineStr">
        <is>
          <t>2025-12-31</t>
        </is>
      </c>
      <c r="J211" s="18" t="inlineStr">
        <is>
          <t>2026-03-31</t>
        </is>
      </c>
    </row>
    <row r="212" ht="16" customHeight="1">
      <c r="A212" s="96" t="inlineStr"/>
      <c r="B212" s="66" t="inlineStr">
        <is>
          <t>Revenue ($M)</t>
        </is>
      </c>
      <c r="C212" s="97" t="n">
        <v>1435.846</v>
      </c>
      <c r="D212" s="97" t="n">
        <v>1522.692</v>
      </c>
      <c r="E212" s="97" t="n">
        <v>1550.277</v>
      </c>
      <c r="F212" s="97" t="n">
        <v>1450.172</v>
      </c>
      <c r="G212" s="97" t="n">
        <v>1588.183</v>
      </c>
      <c r="H212" s="97" t="n">
        <v>1685.195</v>
      </c>
      <c r="I212" s="97" t="n">
        <v>1592.711</v>
      </c>
      <c r="J212" s="97" t="n">
        <v>1650.489</v>
      </c>
    </row>
    <row r="213" ht="16" customHeight="1">
      <c r="A213" s="96" t="inlineStr"/>
      <c r="B213" s="94" t="inlineStr">
        <is>
          <t>Gross Margin %</t>
        </is>
      </c>
      <c r="C213" s="71" t="n">
        <v>0.429</v>
      </c>
      <c r="D213" s="71" t="n">
        <v>0.417</v>
      </c>
      <c r="E213" s="71" t="n">
        <v>0.436</v>
      </c>
      <c r="F213" s="71" t="n">
        <v>0.405</v>
      </c>
      <c r="G213" s="71" t="n">
        <v>0.411</v>
      </c>
      <c r="H213" s="71" t="n">
        <v>0.45</v>
      </c>
      <c r="I213" s="71" t="n">
        <v>0.39</v>
      </c>
      <c r="J213" s="71" t="n">
        <v>0.476</v>
      </c>
    </row>
    <row r="214" ht="16" customHeight="1">
      <c r="A214" s="96" t="inlineStr"/>
      <c r="B214" s="26" t="inlineStr">
        <is>
          <t>QoQ Rev Growth</t>
        </is>
      </c>
      <c r="C214" s="49" t="n"/>
      <c r="D214" s="75" t="n">
        <v>0.06048420234481971</v>
      </c>
      <c r="E214" s="75" t="n">
        <v>0.01811594202898551</v>
      </c>
      <c r="F214" s="75" t="n">
        <v>-0.06457233126725095</v>
      </c>
      <c r="G214" s="75" t="n">
        <v>0.095168711021865</v>
      </c>
      <c r="H214" s="75" t="n">
        <v>0.06108364086506404</v>
      </c>
      <c r="I214" s="75" t="n">
        <v>-0.05488029575212364</v>
      </c>
      <c r="J214" s="75" t="n">
        <v>0.03627651218582656</v>
      </c>
    </row>
    <row r="215" ht="16" customHeight="1">
      <c r="A215" s="96" t="inlineStr"/>
      <c r="B215" s="20" t="inlineStr">
        <is>
          <t>YoY Rev Growth</t>
        </is>
      </c>
      <c r="C215" s="47" t="n"/>
      <c r="D215" s="47" t="n"/>
      <c r="E215" s="47" t="n"/>
      <c r="F215" s="47" t="n"/>
      <c r="G215" s="71" t="n">
        <v>0.1060956397830965</v>
      </c>
      <c r="H215" s="71" t="n">
        <v>0.1067208601608204</v>
      </c>
      <c r="I215" s="71" t="n">
        <v>0.02737188257324336</v>
      </c>
      <c r="J215" s="71" t="n">
        <v>0.1381332697086966</v>
      </c>
    </row>
    <row r="216" ht="8" customHeight="1"/>
  </sheetData>
  <mergeCells count="35">
    <mergeCell ref="A182:B182"/>
    <mergeCell ref="A132:B132"/>
    <mergeCell ref="A61:B61"/>
    <mergeCell ref="A1:K1"/>
    <mergeCell ref="A168:B168"/>
    <mergeCell ref="A146:K146"/>
    <mergeCell ref="A54:B54"/>
    <mergeCell ref="A196:B196"/>
    <mergeCell ref="A90:B90"/>
    <mergeCell ref="A118:B118"/>
    <mergeCell ref="A189:B189"/>
    <mergeCell ref="A75:K75"/>
    <mergeCell ref="A154:B154"/>
    <mergeCell ref="A12:B12"/>
    <mergeCell ref="A26:B26"/>
    <mergeCell ref="A139:B139"/>
    <mergeCell ref="A210:B210"/>
    <mergeCell ref="A104:B104"/>
    <mergeCell ref="A175:B175"/>
    <mergeCell ref="A76:B76"/>
    <mergeCell ref="A33:B33"/>
    <mergeCell ref="A47:B47"/>
    <mergeCell ref="A5:B5"/>
    <mergeCell ref="A2:K2"/>
    <mergeCell ref="A203:B203"/>
    <mergeCell ref="A97:B97"/>
    <mergeCell ref="A125:B125"/>
    <mergeCell ref="A4:K4"/>
    <mergeCell ref="A147:B147"/>
    <mergeCell ref="A19:B19"/>
    <mergeCell ref="A68:B68"/>
    <mergeCell ref="A161:B161"/>
    <mergeCell ref="A111:B111"/>
    <mergeCell ref="A40:B40"/>
    <mergeCell ref="A83:B83"/>
  </mergeCells>
  <conditionalFormatting sqref="C8:J8">
    <cfRule type="colorScale" priority="1">
      <colorScale>
        <cfvo type="min"/>
        <cfvo type="max"/>
        <color rgb="00FFFFFF"/>
        <color rgb="002A9D8F"/>
      </colorScale>
    </cfRule>
  </conditionalFormatting>
  <conditionalFormatting sqref="D9:J9">
    <cfRule type="colorScale" priority="2">
      <colorScale>
        <cfvo type="min"/>
        <cfvo type="num" val="0"/>
        <cfvo type="max"/>
        <color rgb="00E76F51"/>
        <color rgb="00FFFFFF"/>
        <color rgb="002A9D8F"/>
      </colorScale>
    </cfRule>
  </conditionalFormatting>
  <conditionalFormatting sqref="C15:I15">
    <cfRule type="colorScale" priority="3">
      <colorScale>
        <cfvo type="min"/>
        <cfvo type="max"/>
        <color rgb="00FFFFFF"/>
        <color rgb="002A9D8F"/>
      </colorScale>
    </cfRule>
  </conditionalFormatting>
  <conditionalFormatting sqref="D16:I16">
    <cfRule type="colorScale" priority="4">
      <colorScale>
        <cfvo type="min"/>
        <cfvo type="num" val="0"/>
        <cfvo type="max"/>
        <color rgb="00E76F51"/>
        <color rgb="00FFFFFF"/>
        <color rgb="002A9D8F"/>
      </colorScale>
    </cfRule>
  </conditionalFormatting>
  <conditionalFormatting sqref="C22:J22">
    <cfRule type="colorScale" priority="5">
      <colorScale>
        <cfvo type="min"/>
        <cfvo type="max"/>
        <color rgb="00FFFFFF"/>
        <color rgb="002A9D8F"/>
      </colorScale>
    </cfRule>
  </conditionalFormatting>
  <conditionalFormatting sqref="D23:J23">
    <cfRule type="colorScale" priority="6">
      <colorScale>
        <cfvo type="min"/>
        <cfvo type="num" val="0"/>
        <cfvo type="max"/>
        <color rgb="00E76F51"/>
        <color rgb="00FFFFFF"/>
        <color rgb="002A9D8F"/>
      </colorScale>
    </cfRule>
  </conditionalFormatting>
  <conditionalFormatting sqref="C29:J29">
    <cfRule type="colorScale" priority="7">
      <colorScale>
        <cfvo type="min"/>
        <cfvo type="max"/>
        <color rgb="00FFFFFF"/>
        <color rgb="002A9D8F"/>
      </colorScale>
    </cfRule>
  </conditionalFormatting>
  <conditionalFormatting sqref="D30:J30">
    <cfRule type="colorScale" priority="8">
      <colorScale>
        <cfvo type="min"/>
        <cfvo type="num" val="0"/>
        <cfvo type="max"/>
        <color rgb="00E76F51"/>
        <color rgb="00FFFFFF"/>
        <color rgb="002A9D8F"/>
      </colorScale>
    </cfRule>
  </conditionalFormatting>
  <conditionalFormatting sqref="C36:J36">
    <cfRule type="colorScale" priority="9">
      <colorScale>
        <cfvo type="min"/>
        <cfvo type="max"/>
        <color rgb="00FFFFFF"/>
        <color rgb="002A9D8F"/>
      </colorScale>
    </cfRule>
  </conditionalFormatting>
  <conditionalFormatting sqref="D37:J37">
    <cfRule type="colorScale" priority="10">
      <colorScale>
        <cfvo type="min"/>
        <cfvo type="num" val="0"/>
        <cfvo type="max"/>
        <color rgb="00E76F51"/>
        <color rgb="00FFFFFF"/>
        <color rgb="002A9D8F"/>
      </colorScale>
    </cfRule>
  </conditionalFormatting>
  <conditionalFormatting sqref="C43:J43">
    <cfRule type="colorScale" priority="11">
      <colorScale>
        <cfvo type="min"/>
        <cfvo type="max"/>
        <color rgb="00FFFFFF"/>
        <color rgb="002A9D8F"/>
      </colorScale>
    </cfRule>
  </conditionalFormatting>
  <conditionalFormatting sqref="D44:J44">
    <cfRule type="colorScale" priority="12">
      <colorScale>
        <cfvo type="min"/>
        <cfvo type="num" val="0"/>
        <cfvo type="max"/>
        <color rgb="00E76F51"/>
        <color rgb="00FFFFFF"/>
        <color rgb="002A9D8F"/>
      </colorScale>
    </cfRule>
  </conditionalFormatting>
  <conditionalFormatting sqref="C50:J50">
    <cfRule type="colorScale" priority="13">
      <colorScale>
        <cfvo type="min"/>
        <cfvo type="max"/>
        <color rgb="00FFFFFF"/>
        <color rgb="002A9D8F"/>
      </colorScale>
    </cfRule>
  </conditionalFormatting>
  <conditionalFormatting sqref="D51:J51">
    <cfRule type="colorScale" priority="14">
      <colorScale>
        <cfvo type="min"/>
        <cfvo type="num" val="0"/>
        <cfvo type="max"/>
        <color rgb="00E76F51"/>
        <color rgb="00FFFFFF"/>
        <color rgb="002A9D8F"/>
      </colorScale>
    </cfRule>
  </conditionalFormatting>
  <conditionalFormatting sqref="C57:J57">
    <cfRule type="colorScale" priority="15">
      <colorScale>
        <cfvo type="min"/>
        <cfvo type="max"/>
        <color rgb="00FFFFFF"/>
        <color rgb="002A9D8F"/>
      </colorScale>
    </cfRule>
  </conditionalFormatting>
  <conditionalFormatting sqref="D58:J58">
    <cfRule type="colorScale" priority="16">
      <colorScale>
        <cfvo type="min"/>
        <cfvo type="num" val="0"/>
        <cfvo type="max"/>
        <color rgb="00E76F51"/>
        <color rgb="00FFFFFF"/>
        <color rgb="002A9D8F"/>
      </colorScale>
    </cfRule>
  </conditionalFormatting>
  <conditionalFormatting sqref="C64:J64">
    <cfRule type="colorScale" priority="17">
      <colorScale>
        <cfvo type="min"/>
        <cfvo type="max"/>
        <color rgb="00FFFFFF"/>
        <color rgb="002A9D8F"/>
      </colorScale>
    </cfRule>
  </conditionalFormatting>
  <conditionalFormatting sqref="D65:J65">
    <cfRule type="colorScale" priority="18">
      <colorScale>
        <cfvo type="min"/>
        <cfvo type="num" val="0"/>
        <cfvo type="max"/>
        <color rgb="00E76F51"/>
        <color rgb="00FFFFFF"/>
        <color rgb="002A9D8F"/>
      </colorScale>
    </cfRule>
  </conditionalFormatting>
  <conditionalFormatting sqref="C71:J71">
    <cfRule type="colorScale" priority="19">
      <colorScale>
        <cfvo type="min"/>
        <cfvo type="max"/>
        <color rgb="00FFFFFF"/>
        <color rgb="002A9D8F"/>
      </colorScale>
    </cfRule>
  </conditionalFormatting>
  <conditionalFormatting sqref="D72:J72">
    <cfRule type="colorScale" priority="20">
      <colorScale>
        <cfvo type="min"/>
        <cfvo type="num" val="0"/>
        <cfvo type="max"/>
        <color rgb="00E76F51"/>
        <color rgb="00FFFFFF"/>
        <color rgb="002A9D8F"/>
      </colorScale>
    </cfRule>
  </conditionalFormatting>
  <conditionalFormatting sqref="C79:J79">
    <cfRule type="colorScale" priority="21">
      <colorScale>
        <cfvo type="min"/>
        <cfvo type="max"/>
        <color rgb="00FFFFFF"/>
        <color rgb="002A9D8F"/>
      </colorScale>
    </cfRule>
  </conditionalFormatting>
  <conditionalFormatting sqref="D80:J80">
    <cfRule type="colorScale" priority="22">
      <colorScale>
        <cfvo type="min"/>
        <cfvo type="num" val="0"/>
        <cfvo type="max"/>
        <color rgb="00E76F51"/>
        <color rgb="00FFFFFF"/>
        <color rgb="002A9D8F"/>
      </colorScale>
    </cfRule>
  </conditionalFormatting>
  <conditionalFormatting sqref="C86:J86">
    <cfRule type="colorScale" priority="23">
      <colorScale>
        <cfvo type="min"/>
        <cfvo type="max"/>
        <color rgb="00FFFFFF"/>
        <color rgb="002A9D8F"/>
      </colorScale>
    </cfRule>
  </conditionalFormatting>
  <conditionalFormatting sqref="D87:J87">
    <cfRule type="colorScale" priority="24">
      <colorScale>
        <cfvo type="min"/>
        <cfvo type="num" val="0"/>
        <cfvo type="max"/>
        <color rgb="00E76F51"/>
        <color rgb="00FFFFFF"/>
        <color rgb="002A9D8F"/>
      </colorScale>
    </cfRule>
  </conditionalFormatting>
  <conditionalFormatting sqref="C93:J93">
    <cfRule type="colorScale" priority="25">
      <colorScale>
        <cfvo type="min"/>
        <cfvo type="max"/>
        <color rgb="00FFFFFF"/>
        <color rgb="002A9D8F"/>
      </colorScale>
    </cfRule>
  </conditionalFormatting>
  <conditionalFormatting sqref="D94:J94">
    <cfRule type="colorScale" priority="26">
      <colorScale>
        <cfvo type="min"/>
        <cfvo type="num" val="0"/>
        <cfvo type="max"/>
        <color rgb="00E76F51"/>
        <color rgb="00FFFFFF"/>
        <color rgb="002A9D8F"/>
      </colorScale>
    </cfRule>
  </conditionalFormatting>
  <conditionalFormatting sqref="C100:J100">
    <cfRule type="colorScale" priority="27">
      <colorScale>
        <cfvo type="min"/>
        <cfvo type="max"/>
        <color rgb="00FFFFFF"/>
        <color rgb="002A9D8F"/>
      </colorScale>
    </cfRule>
  </conditionalFormatting>
  <conditionalFormatting sqref="D101:J101">
    <cfRule type="colorScale" priority="28">
      <colorScale>
        <cfvo type="min"/>
        <cfvo type="num" val="0"/>
        <cfvo type="max"/>
        <color rgb="00E76F51"/>
        <color rgb="00FFFFFF"/>
        <color rgb="002A9D8F"/>
      </colorScale>
    </cfRule>
  </conditionalFormatting>
  <conditionalFormatting sqref="C107:J107">
    <cfRule type="colorScale" priority="29">
      <colorScale>
        <cfvo type="min"/>
        <cfvo type="max"/>
        <color rgb="00FFFFFF"/>
        <color rgb="002A9D8F"/>
      </colorScale>
    </cfRule>
  </conditionalFormatting>
  <conditionalFormatting sqref="D108:J108">
    <cfRule type="colorScale" priority="30">
      <colorScale>
        <cfvo type="min"/>
        <cfvo type="num" val="0"/>
        <cfvo type="max"/>
        <color rgb="00E76F51"/>
        <color rgb="00FFFFFF"/>
        <color rgb="002A9D8F"/>
      </colorScale>
    </cfRule>
  </conditionalFormatting>
  <conditionalFormatting sqref="C114:J114">
    <cfRule type="colorScale" priority="31">
      <colorScale>
        <cfvo type="min"/>
        <cfvo type="max"/>
        <color rgb="00FFFFFF"/>
        <color rgb="002A9D8F"/>
      </colorScale>
    </cfRule>
  </conditionalFormatting>
  <conditionalFormatting sqref="D115:J115">
    <cfRule type="colorScale" priority="32">
      <colorScale>
        <cfvo type="min"/>
        <cfvo type="num" val="0"/>
        <cfvo type="max"/>
        <color rgb="00E76F51"/>
        <color rgb="00FFFFFF"/>
        <color rgb="002A9D8F"/>
      </colorScale>
    </cfRule>
  </conditionalFormatting>
  <conditionalFormatting sqref="C121:J121">
    <cfRule type="colorScale" priority="33">
      <colorScale>
        <cfvo type="min"/>
        <cfvo type="max"/>
        <color rgb="00FFFFFF"/>
        <color rgb="002A9D8F"/>
      </colorScale>
    </cfRule>
  </conditionalFormatting>
  <conditionalFormatting sqref="D122:J122">
    <cfRule type="colorScale" priority="34">
      <colorScale>
        <cfvo type="min"/>
        <cfvo type="num" val="0"/>
        <cfvo type="max"/>
        <color rgb="00E76F51"/>
        <color rgb="00FFFFFF"/>
        <color rgb="002A9D8F"/>
      </colorScale>
    </cfRule>
  </conditionalFormatting>
  <conditionalFormatting sqref="C128:J128">
    <cfRule type="colorScale" priority="35">
      <colorScale>
        <cfvo type="min"/>
        <cfvo type="max"/>
        <color rgb="00FFFFFF"/>
        <color rgb="002A9D8F"/>
      </colorScale>
    </cfRule>
  </conditionalFormatting>
  <conditionalFormatting sqref="D129:J129">
    <cfRule type="colorScale" priority="36">
      <colorScale>
        <cfvo type="min"/>
        <cfvo type="num" val="0"/>
        <cfvo type="max"/>
        <color rgb="00E76F51"/>
        <color rgb="00FFFFFF"/>
        <color rgb="002A9D8F"/>
      </colorScale>
    </cfRule>
  </conditionalFormatting>
  <conditionalFormatting sqref="C135:J135">
    <cfRule type="colorScale" priority="37">
      <colorScale>
        <cfvo type="min"/>
        <cfvo type="max"/>
        <color rgb="00FFFFFF"/>
        <color rgb="002A9D8F"/>
      </colorScale>
    </cfRule>
  </conditionalFormatting>
  <conditionalFormatting sqref="D136:J136">
    <cfRule type="colorScale" priority="38">
      <colorScale>
        <cfvo type="min"/>
        <cfvo type="num" val="0"/>
        <cfvo type="max"/>
        <color rgb="00E76F51"/>
        <color rgb="00FFFFFF"/>
        <color rgb="002A9D8F"/>
      </colorScale>
    </cfRule>
  </conditionalFormatting>
  <conditionalFormatting sqref="C142:J142">
    <cfRule type="colorScale" priority="39">
      <colorScale>
        <cfvo type="min"/>
        <cfvo type="max"/>
        <color rgb="00FFFFFF"/>
        <color rgb="002A9D8F"/>
      </colorScale>
    </cfRule>
  </conditionalFormatting>
  <conditionalFormatting sqref="D143:J143">
    <cfRule type="colorScale" priority="40">
      <colorScale>
        <cfvo type="min"/>
        <cfvo type="num" val="0"/>
        <cfvo type="max"/>
        <color rgb="00E76F51"/>
        <color rgb="00FFFFFF"/>
        <color rgb="002A9D8F"/>
      </colorScale>
    </cfRule>
  </conditionalFormatting>
  <conditionalFormatting sqref="C150:J150">
    <cfRule type="colorScale" priority="41">
      <colorScale>
        <cfvo type="min"/>
        <cfvo type="max"/>
        <color rgb="00FFFFFF"/>
        <color rgb="002A9D8F"/>
      </colorScale>
    </cfRule>
  </conditionalFormatting>
  <conditionalFormatting sqref="D151:J151">
    <cfRule type="colorScale" priority="42">
      <colorScale>
        <cfvo type="min"/>
        <cfvo type="num" val="0"/>
        <cfvo type="max"/>
        <color rgb="00E76F51"/>
        <color rgb="00FFFFFF"/>
        <color rgb="002A9D8F"/>
      </colorScale>
    </cfRule>
  </conditionalFormatting>
  <conditionalFormatting sqref="C157:J157">
    <cfRule type="colorScale" priority="43">
      <colorScale>
        <cfvo type="min"/>
        <cfvo type="max"/>
        <color rgb="00FFFFFF"/>
        <color rgb="002A9D8F"/>
      </colorScale>
    </cfRule>
  </conditionalFormatting>
  <conditionalFormatting sqref="D158:J158">
    <cfRule type="colorScale" priority="44">
      <colorScale>
        <cfvo type="min"/>
        <cfvo type="num" val="0"/>
        <cfvo type="max"/>
        <color rgb="00E76F51"/>
        <color rgb="00FFFFFF"/>
        <color rgb="002A9D8F"/>
      </colorScale>
    </cfRule>
  </conditionalFormatting>
  <conditionalFormatting sqref="C164:J164">
    <cfRule type="colorScale" priority="45">
      <colorScale>
        <cfvo type="min"/>
        <cfvo type="max"/>
        <color rgb="00FFFFFF"/>
        <color rgb="002A9D8F"/>
      </colorScale>
    </cfRule>
  </conditionalFormatting>
  <conditionalFormatting sqref="D165:J165">
    <cfRule type="colorScale" priority="46">
      <colorScale>
        <cfvo type="min"/>
        <cfvo type="num" val="0"/>
        <cfvo type="max"/>
        <color rgb="00E76F51"/>
        <color rgb="00FFFFFF"/>
        <color rgb="002A9D8F"/>
      </colorScale>
    </cfRule>
  </conditionalFormatting>
  <conditionalFormatting sqref="C171:J171">
    <cfRule type="colorScale" priority="47">
      <colorScale>
        <cfvo type="min"/>
        <cfvo type="max"/>
        <color rgb="00FFFFFF"/>
        <color rgb="002A9D8F"/>
      </colorScale>
    </cfRule>
  </conditionalFormatting>
  <conditionalFormatting sqref="D172:J172">
    <cfRule type="colorScale" priority="48">
      <colorScale>
        <cfvo type="min"/>
        <cfvo type="num" val="0"/>
        <cfvo type="max"/>
        <color rgb="00E76F51"/>
        <color rgb="00FFFFFF"/>
        <color rgb="002A9D8F"/>
      </colorScale>
    </cfRule>
  </conditionalFormatting>
  <conditionalFormatting sqref="C178:J178">
    <cfRule type="colorScale" priority="49">
      <colorScale>
        <cfvo type="min"/>
        <cfvo type="max"/>
        <color rgb="00FFFFFF"/>
        <color rgb="002A9D8F"/>
      </colorScale>
    </cfRule>
  </conditionalFormatting>
  <conditionalFormatting sqref="D179:J179">
    <cfRule type="colorScale" priority="50">
      <colorScale>
        <cfvo type="min"/>
        <cfvo type="num" val="0"/>
        <cfvo type="max"/>
        <color rgb="00E76F51"/>
        <color rgb="00FFFFFF"/>
        <color rgb="002A9D8F"/>
      </colorScale>
    </cfRule>
  </conditionalFormatting>
  <conditionalFormatting sqref="C185:J185">
    <cfRule type="colorScale" priority="51">
      <colorScale>
        <cfvo type="min"/>
        <cfvo type="max"/>
        <color rgb="00FFFFFF"/>
        <color rgb="002A9D8F"/>
      </colorScale>
    </cfRule>
  </conditionalFormatting>
  <conditionalFormatting sqref="D186:J186">
    <cfRule type="colorScale" priority="52">
      <colorScale>
        <cfvo type="min"/>
        <cfvo type="num" val="0"/>
        <cfvo type="max"/>
        <color rgb="00E76F51"/>
        <color rgb="00FFFFFF"/>
        <color rgb="002A9D8F"/>
      </colorScale>
    </cfRule>
  </conditionalFormatting>
  <conditionalFormatting sqref="C192:J192">
    <cfRule type="colorScale" priority="53">
      <colorScale>
        <cfvo type="min"/>
        <cfvo type="max"/>
        <color rgb="00FFFFFF"/>
        <color rgb="002A9D8F"/>
      </colorScale>
    </cfRule>
  </conditionalFormatting>
  <conditionalFormatting sqref="D193:J193">
    <cfRule type="colorScale" priority="54">
      <colorScale>
        <cfvo type="min"/>
        <cfvo type="num" val="0"/>
        <cfvo type="max"/>
        <color rgb="00E76F51"/>
        <color rgb="00FFFFFF"/>
        <color rgb="002A9D8F"/>
      </colorScale>
    </cfRule>
  </conditionalFormatting>
  <conditionalFormatting sqref="C199:J199">
    <cfRule type="colorScale" priority="55">
      <colorScale>
        <cfvo type="min"/>
        <cfvo type="max"/>
        <color rgb="00FFFFFF"/>
        <color rgb="002A9D8F"/>
      </colorScale>
    </cfRule>
  </conditionalFormatting>
  <conditionalFormatting sqref="D200:J200">
    <cfRule type="colorScale" priority="56">
      <colorScale>
        <cfvo type="min"/>
        <cfvo type="num" val="0"/>
        <cfvo type="max"/>
        <color rgb="00E76F51"/>
        <color rgb="00FFFFFF"/>
        <color rgb="002A9D8F"/>
      </colorScale>
    </cfRule>
  </conditionalFormatting>
  <conditionalFormatting sqref="C206:J206">
    <cfRule type="colorScale" priority="57">
      <colorScale>
        <cfvo type="min"/>
        <cfvo type="max"/>
        <color rgb="00FFFFFF"/>
        <color rgb="002A9D8F"/>
      </colorScale>
    </cfRule>
  </conditionalFormatting>
  <conditionalFormatting sqref="D207:J207">
    <cfRule type="colorScale" priority="58">
      <colorScale>
        <cfvo type="min"/>
        <cfvo type="num" val="0"/>
        <cfvo type="max"/>
        <color rgb="00E76F51"/>
        <color rgb="00FFFFFF"/>
        <color rgb="002A9D8F"/>
      </colorScale>
    </cfRule>
  </conditionalFormatting>
  <conditionalFormatting sqref="C213:J213">
    <cfRule type="colorScale" priority="59">
      <colorScale>
        <cfvo type="min"/>
        <cfvo type="max"/>
        <color rgb="00FFFFFF"/>
        <color rgb="002A9D8F"/>
      </colorScale>
    </cfRule>
  </conditionalFormatting>
  <conditionalFormatting sqref="D214:J214">
    <cfRule type="colorScale" priority="60">
      <colorScale>
        <cfvo type="min"/>
        <cfvo type="num" val="0"/>
        <cfvo type="max"/>
        <color rgb="00E76F51"/>
        <color rgb="00FFFFFF"/>
        <color rgb="002A9D8F"/>
      </colorScale>
    </cfRule>
  </conditionalFormatting>
  <pageMargins left="0.75" right="0.75" top="1" bottom="1" header="0.5" footer="0.5"/>
  <pageSetup orientation="landscape" fitToWidth="1"/>
</worksheet>
</file>

<file path=xl/worksheets/sheet12.xml><?xml version="1.0" encoding="utf-8"?>
<worksheet xmlns="http://schemas.openxmlformats.org/spreadsheetml/2006/main">
  <sheetPr>
    <tabColor rgb="00C9A84C"/>
    <outlinePr summaryBelow="1" summaryRight="1"/>
    <pageSetUpPr fitToPage="1"/>
  </sheetPr>
  <dimension ref="A1:Q6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ht="28" customHeight="1">
      <c r="A1" s="15" t="inlineStr">
        <is>
          <t>THE FINGERPRINT — Pre-Run Profiles of 10x Stocks</t>
        </is>
      </c>
    </row>
    <row r="2" ht="20" customHeight="1"/>
    <row r="3" ht="20" customHeight="1">
      <c r="A3" s="31" t="inlineStr">
        <is>
          <t>Historical winners at their pre-run inflection point — the benchmark for scoring</t>
        </is>
      </c>
    </row>
    <row r="4" ht="8" customHeight="1"/>
    <row r="5" ht="22" customHeight="1">
      <c r="A5" s="16" t="inlineStr">
        <is>
          <t>REFERENCE STOCK PROFILES</t>
        </is>
      </c>
      <c r="B5" s="17" t="n"/>
      <c r="C5" s="17" t="n"/>
      <c r="D5" s="17" t="n"/>
      <c r="E5" s="17" t="n"/>
      <c r="F5" s="17" t="n"/>
      <c r="G5" s="17" t="n"/>
      <c r="H5" s="17" t="n"/>
      <c r="I5" s="17" t="n"/>
      <c r="J5" s="17" t="n"/>
      <c r="K5" s="17" t="n"/>
      <c r="L5" s="17" t="n"/>
      <c r="M5" s="17" t="n"/>
      <c r="N5" s="17" t="n"/>
      <c r="O5" s="17" t="n"/>
      <c r="P5" s="17" t="n"/>
      <c r="Q5" s="17" t="n"/>
    </row>
    <row r="6">
      <c r="A6" s="98" t="inlineStr">
        <is>
          <t>LITE  —  Lumentum Holdings</t>
        </is>
      </c>
      <c r="B6" s="80" t="n"/>
      <c r="C6" s="80" t="n"/>
      <c r="D6" s="80" t="n"/>
      <c r="E6" s="99" t="n"/>
      <c r="G6" s="98" t="inlineStr">
        <is>
          <t>COHR  —  Coherent Corp (formerly II-VI)</t>
        </is>
      </c>
      <c r="H6" s="80" t="n"/>
      <c r="I6" s="80" t="n"/>
      <c r="J6" s="80" t="n"/>
      <c r="K6" s="99" t="n"/>
      <c r="M6" s="98" t="inlineStr">
        <is>
          <t>AAOI  —  Applied Optoelectronics</t>
        </is>
      </c>
      <c r="N6" s="80" t="n"/>
      <c r="O6" s="80" t="n"/>
      <c r="P6" s="80" t="n"/>
      <c r="Q6" s="99" t="n"/>
    </row>
    <row r="7">
      <c r="A7" s="100" t="inlineStr">
        <is>
          <t>Run Period: 2017   ▲ 850%</t>
        </is>
      </c>
      <c r="B7" s="95" t="n"/>
      <c r="C7" s="95" t="n"/>
      <c r="D7" s="95" t="n"/>
      <c r="E7" s="101" t="n"/>
      <c r="G7" s="100" t="inlineStr">
        <is>
          <t>Run Period: 2016   ▲ 600%</t>
        </is>
      </c>
      <c r="H7" s="95" t="n"/>
      <c r="I7" s="95" t="n"/>
      <c r="J7" s="95" t="n"/>
      <c r="K7" s="101" t="n"/>
      <c r="M7" s="100" t="inlineStr">
        <is>
          <t>Run Period: 2017   ▲ 1,200%</t>
        </is>
      </c>
      <c r="N7" s="95" t="n"/>
      <c r="O7" s="95" t="n"/>
      <c r="P7" s="95" t="n"/>
      <c r="Q7" s="101" t="n"/>
    </row>
    <row r="8">
      <c r="A8" s="102" t="inlineStr">
        <is>
          <t>Market Cap</t>
        </is>
      </c>
      <c r="B8" s="94" t="inlineStr">
        <is>
          <t>$1200M</t>
        </is>
      </c>
      <c r="C8" s="95" t="n"/>
      <c r="D8" s="95" t="n"/>
      <c r="E8" s="101" t="n"/>
      <c r="G8" s="102" t="inlineStr">
        <is>
          <t>Market Cap</t>
        </is>
      </c>
      <c r="H8" s="94" t="inlineStr">
        <is>
          <t>$900M</t>
        </is>
      </c>
      <c r="I8" s="95" t="n"/>
      <c r="J8" s="95" t="n"/>
      <c r="K8" s="101" t="n"/>
      <c r="M8" s="102" t="inlineStr">
        <is>
          <t>Market Cap</t>
        </is>
      </c>
      <c r="N8" s="94" t="inlineStr">
        <is>
          <t>$300M</t>
        </is>
      </c>
      <c r="O8" s="95" t="n"/>
      <c r="P8" s="95" t="n"/>
      <c r="Q8" s="101" t="n"/>
    </row>
    <row r="9">
      <c r="A9" s="102" t="inlineStr">
        <is>
          <t>Revenue Growth</t>
        </is>
      </c>
      <c r="B9" s="94" t="inlineStr">
        <is>
          <t>38%</t>
        </is>
      </c>
      <c r="C9" s="95" t="n"/>
      <c r="D9" s="95" t="n"/>
      <c r="E9" s="101" t="n"/>
      <c r="G9" s="102" t="inlineStr">
        <is>
          <t>Revenue Growth</t>
        </is>
      </c>
      <c r="H9" s="94" t="inlineStr">
        <is>
          <t>22%</t>
        </is>
      </c>
      <c r="I9" s="95" t="n"/>
      <c r="J9" s="95" t="n"/>
      <c r="K9" s="101" t="n"/>
      <c r="M9" s="102" t="inlineStr">
        <is>
          <t>Revenue Growth</t>
        </is>
      </c>
      <c r="N9" s="94" t="inlineStr">
        <is>
          <t>95%</t>
        </is>
      </c>
      <c r="O9" s="95" t="n"/>
      <c r="P9" s="95" t="n"/>
      <c r="Q9" s="101" t="n"/>
    </row>
    <row r="10">
      <c r="A10" s="102" t="inlineStr">
        <is>
          <t>Gross Margin</t>
        </is>
      </c>
      <c r="B10" s="94" t="inlineStr">
        <is>
          <t>44%</t>
        </is>
      </c>
      <c r="C10" s="95" t="n"/>
      <c r="D10" s="95" t="n"/>
      <c r="E10" s="101" t="n"/>
      <c r="G10" s="102" t="inlineStr">
        <is>
          <t>Gross Margin</t>
        </is>
      </c>
      <c r="H10" s="94" t="inlineStr">
        <is>
          <t>50%</t>
        </is>
      </c>
      <c r="I10" s="95" t="n"/>
      <c r="J10" s="95" t="n"/>
      <c r="K10" s="101" t="n"/>
      <c r="M10" s="102" t="inlineStr">
        <is>
          <t>Gross Margin</t>
        </is>
      </c>
      <c r="N10" s="94" t="inlineStr">
        <is>
          <t>38%</t>
        </is>
      </c>
      <c r="O10" s="95" t="n"/>
      <c r="P10" s="95" t="n"/>
      <c r="Q10" s="101" t="n"/>
    </row>
    <row r="11">
      <c r="A11" s="102" t="inlineStr">
        <is>
          <t>Insider Ownership</t>
        </is>
      </c>
      <c r="B11" s="94" t="inlineStr">
        <is>
          <t>8%</t>
        </is>
      </c>
      <c r="C11" s="95" t="n"/>
      <c r="D11" s="95" t="n"/>
      <c r="E11" s="101" t="n"/>
      <c r="G11" s="102" t="inlineStr">
        <is>
          <t>Insider Ownership</t>
        </is>
      </c>
      <c r="H11" s="94" t="inlineStr">
        <is>
          <t>12%</t>
        </is>
      </c>
      <c r="I11" s="95" t="n"/>
      <c r="J11" s="95" t="n"/>
      <c r="K11" s="101" t="n"/>
      <c r="M11" s="102" t="inlineStr">
        <is>
          <t>Insider Ownership</t>
        </is>
      </c>
      <c r="N11" s="94" t="inlineStr">
        <is>
          <t>20%</t>
        </is>
      </c>
      <c r="O11" s="95" t="n"/>
      <c r="P11" s="95" t="n"/>
      <c r="Q11" s="101" t="n"/>
    </row>
    <row r="12">
      <c r="A12" s="102" t="inlineStr">
        <is>
          <t>Dilution 3yr</t>
        </is>
      </c>
      <c r="B12" s="94" t="inlineStr">
        <is>
          <t>4%</t>
        </is>
      </c>
      <c r="C12" s="95" t="n"/>
      <c r="D12" s="95" t="n"/>
      <c r="E12" s="101" t="n"/>
      <c r="G12" s="102" t="inlineStr">
        <is>
          <t>Dilution 3yr</t>
        </is>
      </c>
      <c r="H12" s="94" t="inlineStr">
        <is>
          <t>6%</t>
        </is>
      </c>
      <c r="I12" s="95" t="n"/>
      <c r="J12" s="95" t="n"/>
      <c r="K12" s="101" t="n"/>
      <c r="M12" s="102" t="inlineStr">
        <is>
          <t>Dilution 3yr</t>
        </is>
      </c>
      <c r="N12" s="94" t="inlineStr">
        <is>
          <t>3%</t>
        </is>
      </c>
      <c r="O12" s="95" t="n"/>
      <c r="P12" s="95" t="n"/>
      <c r="Q12" s="101" t="n"/>
    </row>
    <row r="13">
      <c r="A13" s="103" t="inlineStr">
        <is>
          <t>Data center optical interconnects</t>
        </is>
      </c>
      <c r="B13" s="95" t="n"/>
      <c r="C13" s="95" t="n"/>
      <c r="D13" s="95" t="n"/>
      <c r="E13" s="101" t="n"/>
      <c r="G13" s="103" t="inlineStr">
        <is>
          <t>Optical networking + vertical integration</t>
        </is>
      </c>
      <c r="H13" s="95" t="n"/>
      <c r="I13" s="95" t="n"/>
      <c r="J13" s="95" t="n"/>
      <c r="K13" s="101" t="n"/>
      <c r="M13" s="103" t="inlineStr">
        <is>
          <t>Hyperscaler data center buildout</t>
        </is>
      </c>
      <c r="N13" s="95" t="n"/>
      <c r="O13" s="95" t="n"/>
      <c r="P13" s="95" t="n"/>
      <c r="Q13" s="101" t="n"/>
    </row>
    <row r="19">
      <c r="A19" s="98" t="inlineStr">
        <is>
          <t>KTOS  —  Kratos Defense &amp; Security</t>
        </is>
      </c>
      <c r="B19" s="80" t="n"/>
      <c r="C19" s="80" t="n"/>
      <c r="D19" s="80" t="n"/>
      <c r="E19" s="99" t="n"/>
      <c r="G19" s="98" t="inlineStr">
        <is>
          <t>RKLB  —  Rocket Lab USA</t>
        </is>
      </c>
      <c r="H19" s="80" t="n"/>
      <c r="I19" s="80" t="n"/>
      <c r="J19" s="80" t="n"/>
      <c r="K19" s="99" t="n"/>
      <c r="M19" s="98" t="inlineStr">
        <is>
          <t>MVIS  —  MicroVision</t>
        </is>
      </c>
      <c r="N19" s="80" t="n"/>
      <c r="O19" s="80" t="n"/>
      <c r="P19" s="80" t="n"/>
      <c r="Q19" s="99" t="n"/>
    </row>
    <row r="20">
      <c r="A20" s="100" t="inlineStr">
        <is>
          <t>Run Period: 2019   ▲ 500%</t>
        </is>
      </c>
      <c r="B20" s="95" t="n"/>
      <c r="C20" s="95" t="n"/>
      <c r="D20" s="95" t="n"/>
      <c r="E20" s="101" t="n"/>
      <c r="G20" s="100" t="inlineStr">
        <is>
          <t>Run Period: 2023   ▲ 400%</t>
        </is>
      </c>
      <c r="H20" s="95" t="n"/>
      <c r="I20" s="95" t="n"/>
      <c r="J20" s="95" t="n"/>
      <c r="K20" s="101" t="n"/>
      <c r="M20" s="100" t="inlineStr">
        <is>
          <t>Run Period: 2021   ▲ 700%</t>
        </is>
      </c>
      <c r="N20" s="95" t="n"/>
      <c r="O20" s="95" t="n"/>
      <c r="P20" s="95" t="n"/>
      <c r="Q20" s="101" t="n"/>
    </row>
    <row r="21">
      <c r="A21" s="102" t="inlineStr">
        <is>
          <t>Market Cap</t>
        </is>
      </c>
      <c r="B21" s="94" t="inlineStr">
        <is>
          <t>$700M</t>
        </is>
      </c>
      <c r="C21" s="95" t="n"/>
      <c r="D21" s="95" t="n"/>
      <c r="E21" s="101" t="n"/>
      <c r="G21" s="102" t="inlineStr">
        <is>
          <t>Market Cap</t>
        </is>
      </c>
      <c r="H21" s="94" t="inlineStr">
        <is>
          <t>$1200M</t>
        </is>
      </c>
      <c r="I21" s="95" t="n"/>
      <c r="J21" s="95" t="n"/>
      <c r="K21" s="101" t="n"/>
      <c r="M21" s="102" t="inlineStr">
        <is>
          <t>Market Cap</t>
        </is>
      </c>
      <c r="N21" s="94" t="inlineStr">
        <is>
          <t>$150M</t>
        </is>
      </c>
      <c r="O21" s="95" t="n"/>
      <c r="P21" s="95" t="n"/>
      <c r="Q21" s="101" t="n"/>
    </row>
    <row r="22">
      <c r="A22" s="102" t="inlineStr">
        <is>
          <t>Revenue Growth</t>
        </is>
      </c>
      <c r="B22" s="94" t="inlineStr">
        <is>
          <t>18%</t>
        </is>
      </c>
      <c r="C22" s="95" t="n"/>
      <c r="D22" s="95" t="n"/>
      <c r="E22" s="101" t="n"/>
      <c r="G22" s="102" t="inlineStr">
        <is>
          <t>Revenue Growth</t>
        </is>
      </c>
      <c r="H22" s="94" t="inlineStr">
        <is>
          <t>55%</t>
        </is>
      </c>
      <c r="I22" s="95" t="n"/>
      <c r="J22" s="95" t="n"/>
      <c r="K22" s="101" t="n"/>
      <c r="M22" s="102" t="inlineStr">
        <is>
          <t>Revenue Growth</t>
        </is>
      </c>
      <c r="N22" s="94" t="inlineStr">
        <is>
          <t>12%</t>
        </is>
      </c>
      <c r="O22" s="95" t="n"/>
      <c r="P22" s="95" t="n"/>
      <c r="Q22" s="101" t="n"/>
    </row>
    <row r="23">
      <c r="A23" s="102" t="inlineStr">
        <is>
          <t>Gross Margin</t>
        </is>
      </c>
      <c r="B23" s="94" t="inlineStr">
        <is>
          <t>25%</t>
        </is>
      </c>
      <c r="C23" s="95" t="n"/>
      <c r="D23" s="95" t="n"/>
      <c r="E23" s="101" t="n"/>
      <c r="G23" s="102" t="inlineStr">
        <is>
          <t>Gross Margin</t>
        </is>
      </c>
      <c r="H23" s="94" t="inlineStr">
        <is>
          <t>28%</t>
        </is>
      </c>
      <c r="I23" s="95" t="n"/>
      <c r="J23" s="95" t="n"/>
      <c r="K23" s="101" t="n"/>
      <c r="M23" s="102" t="inlineStr">
        <is>
          <t>Gross Margin</t>
        </is>
      </c>
      <c r="N23" s="94" t="inlineStr">
        <is>
          <t>35%</t>
        </is>
      </c>
      <c r="O23" s="95" t="n"/>
      <c r="P23" s="95" t="n"/>
      <c r="Q23" s="101" t="n"/>
    </row>
    <row r="24">
      <c r="A24" s="102" t="inlineStr">
        <is>
          <t>Insider Ownership</t>
        </is>
      </c>
      <c r="B24" s="94" t="inlineStr">
        <is>
          <t>5%</t>
        </is>
      </c>
      <c r="C24" s="95" t="n"/>
      <c r="D24" s="95" t="n"/>
      <c r="E24" s="101" t="n"/>
      <c r="G24" s="102" t="inlineStr">
        <is>
          <t>Insider Ownership</t>
        </is>
      </c>
      <c r="H24" s="94" t="inlineStr">
        <is>
          <t>30%</t>
        </is>
      </c>
      <c r="I24" s="95" t="n"/>
      <c r="J24" s="95" t="n"/>
      <c r="K24" s="101" t="n"/>
      <c r="M24" s="102" t="inlineStr">
        <is>
          <t>Insider Ownership</t>
        </is>
      </c>
      <c r="N24" s="94" t="inlineStr">
        <is>
          <t>6%</t>
        </is>
      </c>
      <c r="O24" s="95" t="n"/>
      <c r="P24" s="95" t="n"/>
      <c r="Q24" s="101" t="n"/>
    </row>
    <row r="25">
      <c r="A25" s="102" t="inlineStr">
        <is>
          <t>Dilution 3yr</t>
        </is>
      </c>
      <c r="B25" s="94" t="inlineStr">
        <is>
          <t>8%</t>
        </is>
      </c>
      <c r="C25" s="95" t="n"/>
      <c r="D25" s="95" t="n"/>
      <c r="E25" s="101" t="n"/>
      <c r="G25" s="102" t="inlineStr">
        <is>
          <t>Dilution 3yr</t>
        </is>
      </c>
      <c r="H25" s="94" t="inlineStr">
        <is>
          <t>15%</t>
        </is>
      </c>
      <c r="I25" s="95" t="n"/>
      <c r="J25" s="95" t="n"/>
      <c r="K25" s="101" t="n"/>
      <c r="M25" s="102" t="inlineStr">
        <is>
          <t>Dilution 3yr</t>
        </is>
      </c>
      <c r="N25" s="94" t="inlineStr">
        <is>
          <t>25%</t>
        </is>
      </c>
      <c r="O25" s="95" t="n"/>
      <c r="P25" s="95" t="n"/>
      <c r="Q25" s="101" t="n"/>
    </row>
    <row r="26">
      <c r="A26" s="103" t="inlineStr">
        <is>
          <t>Drone warfare + affordable attritable aircraft</t>
        </is>
      </c>
      <c r="B26" s="95" t="n"/>
      <c r="C26" s="95" t="n"/>
      <c r="D26" s="95" t="n"/>
      <c r="E26" s="101" t="n"/>
      <c r="G26" s="103" t="inlineStr">
        <is>
          <t>Small sat launch + space systems vertical integration</t>
        </is>
      </c>
      <c r="H26" s="95" t="n"/>
      <c r="I26" s="95" t="n"/>
      <c r="J26" s="95" t="n"/>
      <c r="K26" s="101" t="n"/>
      <c r="M26" s="103" t="inlineStr">
        <is>
          <t>Autonomous vehicle sensor infrastructure</t>
        </is>
      </c>
      <c r="N26" s="95" t="n"/>
      <c r="O26" s="95" t="n"/>
      <c r="P26" s="95" t="n"/>
      <c r="Q26" s="101" t="n"/>
    </row>
    <row r="34" ht="22" customHeight="1">
      <c r="A34" s="16" t="inlineStr">
        <is>
          <t>COMPARATIVE RADAR — All Reference Stocks</t>
        </is>
      </c>
      <c r="B34" s="17" t="n"/>
      <c r="C34" s="17" t="n"/>
      <c r="D34" s="17" t="n"/>
      <c r="E34" s="17" t="n"/>
      <c r="F34" s="17" t="n"/>
      <c r="G34" s="17" t="n"/>
      <c r="H34" s="17" t="n"/>
      <c r="I34" s="17" t="n"/>
      <c r="J34" s="17" t="n"/>
      <c r="K34" s="17" t="n"/>
      <c r="L34" s="17" t="n"/>
      <c r="M34" s="17" t="n"/>
      <c r="N34" s="17" t="n"/>
      <c r="O34" s="17" t="n"/>
      <c r="P34" s="17" t="n"/>
      <c r="Q34" s="17" t="n"/>
    </row>
    <row r="35">
      <c r="A35" t="inlineStr">
        <is>
          <t>Metric</t>
        </is>
      </c>
      <c r="B35" t="inlineStr">
        <is>
          <t>LITE</t>
        </is>
      </c>
      <c r="C35" t="inlineStr">
        <is>
          <t>COHR</t>
        </is>
      </c>
      <c r="D35" t="inlineStr">
        <is>
          <t>AAOI</t>
        </is>
      </c>
      <c r="E35" t="inlineStr">
        <is>
          <t>KTOS</t>
        </is>
      </c>
      <c r="F35" t="inlineStr">
        <is>
          <t>RKLB</t>
        </is>
      </c>
      <c r="G35" t="inlineStr">
        <is>
          <t>MVIS</t>
        </is>
      </c>
    </row>
    <row r="36">
      <c r="A36" t="inlineStr">
        <is>
          <t>Revenue Growth</t>
        </is>
      </c>
      <c r="B36" t="n">
        <v>40</v>
      </c>
      <c r="C36" t="n">
        <v>23.15789473684211</v>
      </c>
      <c r="D36" t="n">
        <v>100</v>
      </c>
      <c r="E36" t="n">
        <v>18.94736842105263</v>
      </c>
      <c r="F36" t="n">
        <v>57.89473684210526</v>
      </c>
      <c r="G36" t="n">
        <v>12.63157894736842</v>
      </c>
    </row>
    <row r="37">
      <c r="A37" t="inlineStr">
        <is>
          <t>Gross Margin</t>
        </is>
      </c>
      <c r="B37" t="n">
        <v>88</v>
      </c>
      <c r="C37" t="n">
        <v>100</v>
      </c>
      <c r="D37" t="n">
        <v>76</v>
      </c>
      <c r="E37" t="n">
        <v>50</v>
      </c>
      <c r="F37" t="n">
        <v>56</v>
      </c>
      <c r="G37" t="n">
        <v>70</v>
      </c>
    </row>
    <row r="38">
      <c r="A38" t="inlineStr">
        <is>
          <t>Insider %</t>
        </is>
      </c>
      <c r="B38" t="n">
        <v>26.66666666666667</v>
      </c>
      <c r="C38" t="n">
        <v>40</v>
      </c>
      <c r="D38" t="n">
        <v>66.66666666666667</v>
      </c>
      <c r="E38" t="n">
        <v>16.66666666666667</v>
      </c>
      <c r="F38" t="n">
        <v>100</v>
      </c>
      <c r="G38" t="n">
        <v>20</v>
      </c>
    </row>
    <row r="39">
      <c r="A39" t="inlineStr">
        <is>
          <t>Low Dilution</t>
        </is>
      </c>
      <c r="B39" t="n">
        <v>84</v>
      </c>
      <c r="C39" t="n">
        <v>76</v>
      </c>
      <c r="D39" t="n">
        <v>88</v>
      </c>
      <c r="E39" t="n">
        <v>68</v>
      </c>
      <c r="F39" t="n">
        <v>40</v>
      </c>
      <c r="G39" t="n">
        <v>0</v>
      </c>
    </row>
    <row r="40">
      <c r="A40" t="inlineStr">
        <is>
          <t>Mkt Cap Score</t>
        </is>
      </c>
      <c r="B40" t="n">
        <v>0</v>
      </c>
      <c r="C40" t="n">
        <v>25</v>
      </c>
      <c r="D40" t="n">
        <v>75</v>
      </c>
      <c r="E40" t="n">
        <v>41.66666666666666</v>
      </c>
      <c r="F40" t="n">
        <v>0</v>
      </c>
      <c r="G40" t="n">
        <v>87.5</v>
      </c>
    </row>
    <row r="60" ht="22" customHeight="1">
      <c r="A60" s="16" t="inlineStr">
        <is>
          <t>DERIVED IDEAL RANGES</t>
        </is>
      </c>
      <c r="B60" s="17" t="n"/>
      <c r="C60" s="17" t="n"/>
      <c r="D60" s="17" t="n"/>
      <c r="E60" s="17" t="n"/>
      <c r="F60" s="17" t="n"/>
      <c r="G60" s="17" t="n"/>
      <c r="H60" s="17" t="n"/>
      <c r="I60" s="17" t="n"/>
      <c r="J60" s="17" t="n"/>
    </row>
    <row r="61" ht="18" customHeight="1">
      <c r="A61" s="18" t="inlineStr">
        <is>
          <t>Metric</t>
        </is>
      </c>
      <c r="B61" s="18" t="inlineStr">
        <is>
          <t>Min</t>
        </is>
      </c>
      <c r="C61" s="18" t="inlineStr">
        <is>
          <t>Median</t>
        </is>
      </c>
      <c r="D61" s="18" t="inlineStr">
        <is>
          <t>Max</t>
        </is>
      </c>
      <c r="E61" s="18" t="inlineStr">
        <is>
          <t>Screener Threshold</t>
        </is>
      </c>
      <c r="F61" s="18" t="inlineStr">
        <is>
          <t>Status</t>
        </is>
      </c>
    </row>
    <row r="62" ht="16" customHeight="1">
      <c r="A62" s="94" t="inlineStr">
        <is>
          <t>Revenue Growth %</t>
        </is>
      </c>
      <c r="B62" s="35" t="n">
        <v>12</v>
      </c>
      <c r="C62" s="35" t="n">
        <v>30</v>
      </c>
      <c r="D62" s="35" t="n">
        <v>95</v>
      </c>
      <c r="E62" s="20" t="inlineStr">
        <is>
          <t>5% (floor)</t>
        </is>
      </c>
      <c r="F62" s="104" t="inlineStr">
        <is>
          <t>✓ Aligned</t>
        </is>
      </c>
    </row>
    <row r="63" ht="16" customHeight="1">
      <c r="A63" s="66" t="inlineStr">
        <is>
          <t>Gross Margin %</t>
        </is>
      </c>
      <c r="B63" s="41" t="n">
        <v>25</v>
      </c>
      <c r="C63" s="41" t="n">
        <v>36.5</v>
      </c>
      <c r="D63" s="41" t="n">
        <v>50</v>
      </c>
      <c r="E63" s="26" t="inlineStr">
        <is>
          <t>20% (floor)</t>
        </is>
      </c>
      <c r="F63" s="104" t="inlineStr">
        <is>
          <t>✓ Aligned</t>
        </is>
      </c>
    </row>
    <row r="64" ht="16" customHeight="1">
      <c r="A64" s="94" t="inlineStr">
        <is>
          <t>Insider Ownership %</t>
        </is>
      </c>
      <c r="B64" s="35" t="n">
        <v>5</v>
      </c>
      <c r="C64" s="35" t="n">
        <v>10</v>
      </c>
      <c r="D64" s="35" t="n">
        <v>30</v>
      </c>
      <c r="E64" s="20" t="inlineStr">
        <is>
          <t>N/A</t>
        </is>
      </c>
      <c r="F64" s="105" t="inlineStr">
        <is>
          <t>⚠ Loose</t>
        </is>
      </c>
    </row>
    <row r="65" ht="16" customHeight="1">
      <c r="A65" s="66" t="inlineStr">
        <is>
          <t>Dilution 3yr %</t>
        </is>
      </c>
      <c r="B65" s="41" t="n">
        <v>3</v>
      </c>
      <c r="C65" s="41" t="n">
        <v>7</v>
      </c>
      <c r="D65" s="41" t="n">
        <v>25</v>
      </c>
      <c r="E65" s="26" t="inlineStr">
        <is>
          <t>30% (ceiling)</t>
        </is>
      </c>
      <c r="F65" s="104" t="inlineStr">
        <is>
          <t>✓ Aligned</t>
        </is>
      </c>
    </row>
  </sheetData>
  <mergeCells count="53">
    <mergeCell ref="H22:K22"/>
    <mergeCell ref="B9:E9"/>
    <mergeCell ref="A34:Q34"/>
    <mergeCell ref="N9:Q9"/>
    <mergeCell ref="H12:K12"/>
    <mergeCell ref="B24:E24"/>
    <mergeCell ref="H24:K24"/>
    <mergeCell ref="N24:Q24"/>
    <mergeCell ref="A6:E6"/>
    <mergeCell ref="H23:K23"/>
    <mergeCell ref="G7:K7"/>
    <mergeCell ref="M20:Q20"/>
    <mergeCell ref="H8:K8"/>
    <mergeCell ref="A7:E7"/>
    <mergeCell ref="N11:Q11"/>
    <mergeCell ref="B25:E25"/>
    <mergeCell ref="G13:K13"/>
    <mergeCell ref="G19:K19"/>
    <mergeCell ref="G6:K6"/>
    <mergeCell ref="M13:Q13"/>
    <mergeCell ref="H10:K10"/>
    <mergeCell ref="B22:E22"/>
    <mergeCell ref="M7:Q7"/>
    <mergeCell ref="N25:Q25"/>
    <mergeCell ref="A60:J60"/>
    <mergeCell ref="A26:E26"/>
    <mergeCell ref="H9:K9"/>
    <mergeCell ref="A3:Q3"/>
    <mergeCell ref="N22:Q22"/>
    <mergeCell ref="B12:E12"/>
    <mergeCell ref="M6:Q6"/>
    <mergeCell ref="H25:K25"/>
    <mergeCell ref="B21:E21"/>
    <mergeCell ref="N21:Q21"/>
    <mergeCell ref="B11:E11"/>
    <mergeCell ref="N12:Q12"/>
    <mergeCell ref="H21:K21"/>
    <mergeCell ref="A5:Q5"/>
    <mergeCell ref="A1:Q2"/>
    <mergeCell ref="G26:K26"/>
    <mergeCell ref="M26:Q26"/>
    <mergeCell ref="B23:E23"/>
    <mergeCell ref="N23:Q23"/>
    <mergeCell ref="B8:E8"/>
    <mergeCell ref="A20:E20"/>
    <mergeCell ref="N8:Q8"/>
    <mergeCell ref="G20:K20"/>
    <mergeCell ref="H11:K11"/>
    <mergeCell ref="A19:E19"/>
    <mergeCell ref="A13:E13"/>
    <mergeCell ref="M19:Q19"/>
    <mergeCell ref="B10:E10"/>
    <mergeCell ref="N10:Q10"/>
  </mergeCells>
  <pageMargins left="0.75" right="0.75" top="1" bottom="1" header="0.5" footer="0.5"/>
  <pageSetup orientation="landscape" fitToWidth="1"/>
  <drawing xmlns:r="http://schemas.openxmlformats.org/officeDocument/2006/relationships" r:id="rId1"/>
</worksheet>
</file>

<file path=xl/worksheets/sheet13.xml><?xml version="1.0" encoding="utf-8"?>
<worksheet xmlns="http://schemas.openxmlformats.org/spreadsheetml/2006/main">
  <sheetPr>
    <tabColor rgb="001B2A3B"/>
    <outlinePr summaryBelow="1" summaryRight="1"/>
    <pageSetUpPr fitToPage="1"/>
  </sheetPr>
  <dimension ref="A1:C62"/>
  <sheetViews>
    <sheetView showGridLines="0" workbookViewId="0">
      <pane ySplit="3" topLeftCell="A4" activePane="bottomLeft" state="frozen"/>
      <selection pane="bottomLeft" activeCell="A1" sqref="A1"/>
    </sheetView>
  </sheetViews>
  <sheetFormatPr baseColWidth="8" defaultRowHeight="15"/>
  <cols>
    <col width="3" customWidth="1" min="1" max="1"/>
    <col width="28" customWidth="1" min="2" max="2"/>
    <col width="55" customWidth="1" min="3" max="3"/>
  </cols>
  <sheetData>
    <row r="1" ht="28" customHeight="1">
      <c r="A1" s="30" t="inlineStr">
        <is>
          <t>SCREENING METHODOLOGY</t>
        </is>
      </c>
      <c r="B1" s="11" t="n"/>
      <c r="C1" s="11" t="n"/>
    </row>
    <row r="2" ht="22" customHeight="1">
      <c r="A2" s="31" t="inlineStr">
        <is>
          <t>Technical documentation for the structural growth equity screener</t>
        </is>
      </c>
      <c r="B2" s="12" t="n"/>
      <c r="C2" s="12" t="n"/>
    </row>
    <row r="3" ht="8" customHeight="1"/>
    <row r="4" ht="22" customHeight="1">
      <c r="B4" s="16" t="inlineStr">
        <is>
          <t>Screening Universe</t>
        </is>
      </c>
      <c r="C4" s="17" t="n"/>
    </row>
    <row r="5" ht="16" customHeight="1">
      <c r="B5" s="106" t="inlineStr"/>
      <c r="C5" s="50" t="inlineStr">
        <is>
          <t>US-listed equities across three market cap tiers:</t>
        </is>
      </c>
    </row>
    <row r="6" ht="16" customHeight="1">
      <c r="B6" s="106" t="inlineStr"/>
      <c r="C6" s="50" t="inlineStr">
        <is>
          <t xml:space="preserve">  Nano Cap: $50M–$300M (highest risk, highest upside)</t>
        </is>
      </c>
    </row>
    <row r="7" ht="16" customHeight="1">
      <c r="B7" s="106" t="inlineStr"/>
      <c r="C7" s="50" t="inlineStr">
        <is>
          <t xml:space="preserve">  Small Cap: $300M–$2B (the sweet spot — proven enough to have real revenue)</t>
        </is>
      </c>
    </row>
    <row r="8" ht="16" customHeight="1">
      <c r="B8" s="106" t="inlineStr"/>
      <c r="C8" s="50" t="inlineStr">
        <is>
          <t xml:space="preserve">  Breakout: $2B–$15B (validated, growth re-accelerating)</t>
        </is>
      </c>
    </row>
    <row r="9" ht="8" customHeight="1"/>
    <row r="10" ht="16" customHeight="1">
      <c r="B10" s="106" t="inlineStr"/>
      <c r="C10" s="50" t="inlineStr">
        <is>
          <t>Focus themes: Aerospace/Defense, Semiconductors, AI Infrastructure,</t>
        </is>
      </c>
    </row>
    <row r="11" ht="16" customHeight="1">
      <c r="B11" s="106" t="inlineStr"/>
      <c r="C11" s="50" t="inlineStr">
        <is>
          <t>Photonics, Quantum Computing, Space, New Energy, Gene Editing</t>
        </is>
      </c>
    </row>
    <row r="12" ht="8" customHeight="1"/>
    <row r="13" ht="22" customHeight="1">
      <c r="B13" s="16" t="inlineStr">
        <is>
          <t>Hard Filters</t>
        </is>
      </c>
      <c r="C13" s="17" t="n"/>
    </row>
    <row r="14" ht="16" customHeight="1">
      <c r="B14" s="106" t="inlineStr"/>
      <c r="C14" s="50" t="inlineStr">
        <is>
          <t>Must be US-domiciled and actively trading on a major exchange</t>
        </is>
      </c>
    </row>
    <row r="15" ht="16" customHeight="1">
      <c r="B15" s="106" t="inlineStr"/>
      <c r="C15" s="50" t="inlineStr">
        <is>
          <t>Excludes: Biotech/Pharma (unless gene editing keywords in description)</t>
        </is>
      </c>
    </row>
    <row r="16" ht="16" customHeight="1">
      <c r="B16" s="106" t="inlineStr"/>
      <c r="C16" s="50" t="inlineStr">
        <is>
          <t>Excludes: Oil &amp; Gas, Warrants, Units, Preferred shares</t>
        </is>
      </c>
    </row>
    <row r="17" ht="16" customHeight="1">
      <c r="B17" s="106" t="inlineStr"/>
      <c r="C17" s="50" t="inlineStr">
        <is>
          <t>Must match industry whitelist OR description keywords in target themes</t>
        </is>
      </c>
    </row>
    <row r="18" ht="16" customHeight="1">
      <c r="B18" s="106" t="inlineStr"/>
      <c r="C18" s="50" t="inlineStr">
        <is>
          <t>No OTC/pink sheet securities</t>
        </is>
      </c>
    </row>
    <row r="19" ht="8" customHeight="1"/>
    <row r="20" ht="22" customHeight="1">
      <c r="B20" s="16" t="inlineStr">
        <is>
          <t>Quality Floor</t>
        </is>
      </c>
      <c r="C20" s="17" t="n"/>
    </row>
    <row r="21" ht="16" customHeight="1">
      <c r="B21" s="106" t="inlineStr"/>
      <c r="C21" s="50" t="inlineStr">
        <is>
          <t>Revenue growth must exceed 5% YoY</t>
        </is>
      </c>
    </row>
    <row r="22" ht="16" customHeight="1">
      <c r="B22" s="106" t="inlineStr"/>
      <c r="C22" s="50" t="inlineStr">
        <is>
          <t>Gross margin must exceed 20%</t>
        </is>
      </c>
    </row>
    <row r="23" ht="16" customHeight="1">
      <c r="B23" s="106" t="inlineStr"/>
      <c r="C23" s="50" t="inlineStr">
        <is>
          <t>3-year share dilution must be below 30%</t>
        </is>
      </c>
    </row>
    <row r="24" ht="16" customHeight="1">
      <c r="B24" s="106" t="inlineStr"/>
      <c r="C24" s="50" t="inlineStr">
        <is>
          <t>Stocks failing any of these thresholds are excluded entirely</t>
        </is>
      </c>
    </row>
    <row r="25" ht="8" customHeight="1"/>
    <row r="26" ht="22" customHeight="1">
      <c r="B26" s="16" t="inlineStr">
        <is>
          <t>Composite Score (60%)</t>
        </is>
      </c>
      <c r="C26" s="17" t="n"/>
    </row>
    <row r="27" ht="16" customHeight="1">
      <c r="B27" s="106" t="inlineStr"/>
      <c r="C27" s="50" t="inlineStr">
        <is>
          <t>Revenue Growth YoY: 30% weight — Higher is better, &gt;50% = max score</t>
        </is>
      </c>
    </row>
    <row r="28" ht="16" customHeight="1">
      <c r="B28" s="106" t="inlineStr"/>
      <c r="C28" s="50" t="inlineStr">
        <is>
          <t>Gross Margin: 20% weight — &gt;40% = max, proxy for pricing power and moat</t>
        </is>
      </c>
    </row>
    <row r="29" ht="16" customHeight="1">
      <c r="B29" s="106" t="inlineStr"/>
      <c r="C29" s="50" t="inlineStr">
        <is>
          <t>Dilution 3yr: 20% weight — Lower is better, &lt;5% = full points, &gt;30% = zero</t>
        </is>
      </c>
    </row>
    <row r="30" ht="16" customHeight="1">
      <c r="B30" s="106" t="inlineStr"/>
      <c r="C30" s="50" t="inlineStr">
        <is>
          <t>Insider Ownership: 15% weight — &gt;10% = full points, founders with skin in the game</t>
        </is>
      </c>
    </row>
    <row r="31" ht="16" customHeight="1">
      <c r="B31" s="106" t="inlineStr"/>
      <c r="C31" s="50" t="inlineStr">
        <is>
          <t>Revenue Acceleration: 15% weight — Is the growth rate itself increasing?</t>
        </is>
      </c>
    </row>
    <row r="32" ht="8" customHeight="1"/>
    <row r="33" ht="22" customHeight="1">
      <c r="B33" s="16" t="inlineStr">
        <is>
          <t>Fingerprint Score (40%)</t>
        </is>
      </c>
      <c r="C33" s="17" t="n"/>
    </row>
    <row r="34" ht="16" customHeight="1">
      <c r="B34" s="106" t="inlineStr"/>
      <c r="C34" s="50" t="inlineStr">
        <is>
          <t>Measures similarity to 6 reference stocks at their pre-run inflection point</t>
        </is>
      </c>
    </row>
    <row r="35" ht="16" customHeight="1">
      <c r="B35" s="106" t="inlineStr"/>
      <c r="C35" s="50" t="inlineStr">
        <is>
          <t>Reference stocks: LITE, COHR, AAOI, KTOS, RKLB, MVIS</t>
        </is>
      </c>
    </row>
    <row r="36" ht="16" customHeight="1">
      <c r="B36" s="106" t="inlineStr"/>
      <c r="C36" s="50" t="inlineStr">
        <is>
          <t>Compares: revenue growth, gross margin, insider %, dilution, market cap</t>
        </is>
      </c>
    </row>
    <row r="37" ht="16" customHeight="1">
      <c r="B37" s="106" t="inlineStr"/>
      <c r="C37" s="50" t="inlineStr">
        <is>
          <t>Inside the ideal range = 100; score decays with distance from range</t>
        </is>
      </c>
    </row>
    <row r="38" ht="16" customHeight="1">
      <c r="B38" s="106" t="inlineStr"/>
      <c r="C38" s="50" t="inlineStr">
        <is>
          <t>Combined Score = 60% × Composite + 40% × Fingerprint</t>
        </is>
      </c>
    </row>
    <row r="39" ht="8" customHeight="1"/>
    <row r="40" ht="22" customHeight="1">
      <c r="B40" s="16" t="inlineStr">
        <is>
          <t>Position Sizing Rules</t>
        </is>
      </c>
      <c r="C40" s="17" t="n"/>
    </row>
    <row r="41" ht="16" customHeight="1">
      <c r="B41" s="106" t="inlineStr"/>
      <c r="C41" s="50" t="inlineStr">
        <is>
          <t>Based on conviction level: High (8%), Medium-High (5%), Medium (3%), Speculative (1.5%)</t>
        </is>
      </c>
    </row>
    <row r="42" ht="16" customHeight="1">
      <c r="B42" s="106" t="inlineStr"/>
      <c r="C42" s="50" t="inlineStr">
        <is>
          <t>Nano caps receive 0.6x risk multiplier (smaller positions for higher risk)</t>
        </is>
      </c>
    </row>
    <row r="43" ht="16" customHeight="1">
      <c r="B43" s="106" t="inlineStr"/>
      <c r="C43" s="50" t="inlineStr">
        <is>
          <t>Breakout caps receive 1.2x multiplier (larger positions for validated growth)</t>
        </is>
      </c>
    </row>
    <row r="44" ht="16" customHeight="1">
      <c r="B44" s="106" t="inlineStr"/>
      <c r="C44" s="50" t="inlineStr">
        <is>
          <t>Designed to sum to &lt;100% with meaningful cash reserve</t>
        </is>
      </c>
    </row>
    <row r="45" ht="8" customHeight="1"/>
    <row r="46" ht="22" customHeight="1">
      <c r="B46" s="16" t="inlineStr">
        <is>
          <t>Data Source &amp; Refresh</t>
        </is>
      </c>
      <c r="C46" s="17" t="n"/>
    </row>
    <row r="47" ht="16" customHeight="1">
      <c r="B47" s="106" t="inlineStr"/>
      <c r="C47" s="50" t="inlineStr">
        <is>
          <t>All data sourced from Financial Modeling Prep (FMP) API</t>
        </is>
      </c>
    </row>
    <row r="48" ht="16" customHeight="1">
      <c r="B48" s="106" t="inlineStr"/>
      <c r="C48" s="50" t="inlineStr">
        <is>
          <t>24-hour cache on all API responses to protect rate limits</t>
        </is>
      </c>
    </row>
    <row r="49" ht="16" customHeight="1">
      <c r="B49" s="106" t="inlineStr"/>
      <c r="C49" s="50" t="inlineStr">
        <is>
          <t>Quarterly financials: last 8 quarters of income statements</t>
        </is>
      </c>
    </row>
    <row r="50" ht="16" customHeight="1">
      <c r="B50" s="106" t="inlineStr"/>
      <c r="C50" s="50" t="inlineStr">
        <is>
          <t>Share count history: last 12 quarters of enterprise values</t>
        </is>
      </c>
    </row>
    <row r="51" ht="16" customHeight="1">
      <c r="B51" s="106" t="inlineStr"/>
      <c r="C51" s="50" t="inlineStr">
        <is>
          <t>Report generated: June 06, 2026</t>
        </is>
      </c>
    </row>
    <row r="52" ht="8" customHeight="1"/>
    <row r="53" ht="22" customHeight="1">
      <c r="B53" s="16" t="inlineStr">
        <is>
          <t>Disclaimer</t>
        </is>
      </c>
      <c r="C53" s="17" t="n"/>
    </row>
    <row r="54" ht="16" customHeight="1">
      <c r="B54" s="106" t="inlineStr"/>
      <c r="C54" s="50" t="inlineStr">
        <is>
          <t>This screener is for research and educational purposes only.</t>
        </is>
      </c>
    </row>
    <row r="55" ht="16" customHeight="1">
      <c r="B55" s="106" t="inlineStr"/>
      <c r="C55" s="50" t="inlineStr">
        <is>
          <t>It does not constitute investment advice or a recommendation to buy or sell.</t>
        </is>
      </c>
    </row>
    <row r="56" ht="16" customHeight="1">
      <c r="B56" s="106" t="inlineStr"/>
      <c r="C56" s="50" t="inlineStr">
        <is>
          <t>Past performance of reference stocks does not guarantee future results.</t>
        </is>
      </c>
    </row>
    <row r="57" ht="16" customHeight="1">
      <c r="B57" s="106" t="inlineStr"/>
      <c r="C57" s="50" t="inlineStr">
        <is>
          <t>All investments carry risk of loss. Consult a licensed financial advisor.</t>
        </is>
      </c>
    </row>
    <row r="58" ht="8" customHeight="1"/>
    <row r="60">
      <c r="B60" s="16" t="inlineStr">
        <is>
          <t>VERSION HISTORY</t>
        </is>
      </c>
      <c r="C60" s="17" t="n"/>
    </row>
    <row r="61">
      <c r="B61" s="94" t="inlineStr">
        <is>
          <t>v2.0</t>
        </is>
      </c>
      <c r="C61" s="48" t="inlineStr">
        <is>
          <t>June 06, 2026 — Institutional rebuild: openpyxl, design system, charts, data validation</t>
        </is>
      </c>
    </row>
    <row r="62">
      <c r="B62" s="66" t="inlineStr">
        <is>
          <t>v1.0</t>
        </is>
      </c>
      <c r="C62" s="50" t="inlineStr">
        <is>
          <t>Initial release — xlsxwriter-based export with basic formatting</t>
        </is>
      </c>
    </row>
  </sheetData>
  <mergeCells count="2">
    <mergeCell ref="A1:C1"/>
    <mergeCell ref="A2:C2"/>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2026-06-06T20:58:20Z</dcterms:created>
  <dcterms:modified xmlns:dcterms="http://purl.org/dc/terms/" xmlns:xsi="http://www.w3.org/2001/XMLSchema-instance" xsi:type="dcterms:W3CDTF">2026-06-06T20:58:20Z</dcterms:modified>
</cp:coreProperties>
</file>