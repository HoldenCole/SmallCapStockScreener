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8.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Nano Cap" sheetId="2" state="visible" r:id="rId2"/>
    <sheet xmlns:r="http://schemas.openxmlformats.org/officeDocument/2006/relationships" name="Small Cap" sheetId="3" state="visible" r:id="rId3"/>
    <sheet xmlns:r="http://schemas.openxmlformats.org/officeDocument/2006/relationships" name="Breakout" sheetId="4" state="visible" r:id="rId4"/>
    <sheet xmlns:r="http://schemas.openxmlformats.org/officeDocument/2006/relationships" name="Descriptions" sheetId="5" state="visible" r:id="rId5"/>
    <sheet xmlns:r="http://schemas.openxmlformats.org/officeDocument/2006/relationships" name="Competitive Moats" sheetId="6" state="visible" r:id="rId6"/>
    <sheet xmlns:r="http://schemas.openxmlformats.org/officeDocument/2006/relationships" name="Standouts" sheetId="7" state="visible" r:id="rId7"/>
    <sheet xmlns:r="http://schemas.openxmlformats.org/officeDocument/2006/relationships" name="Recommendations" sheetId="8" state="visible" r:id="rId8"/>
    <sheet xmlns:r="http://schemas.openxmlformats.org/officeDocument/2006/relationships" name="Portfolio Construction" sheetId="9" state="visible" r:id="rId9"/>
    <sheet xmlns:r="http://schemas.openxmlformats.org/officeDocument/2006/relationships" name="Sensitivity Analysis" sheetId="10" state="visible" r:id="rId10"/>
    <sheet xmlns:r="http://schemas.openxmlformats.org/officeDocument/2006/relationships" name="Revenue Trends" sheetId="11" state="visible" r:id="rId11"/>
    <sheet xmlns:r="http://schemas.openxmlformats.org/officeDocument/2006/relationships" name="Fingerprint Reference" sheetId="12" state="visible" r:id="rId12"/>
    <sheet xmlns:r="http://schemas.openxmlformats.org/officeDocument/2006/relationships" name="Methodology" sheetId="13" state="visible" r:id="rId13"/>
  </sheets>
  <definedNames>
    <definedName name="_xlnm._FilterDatabase" localSheetId="4" hidden="1">'Descriptions'!$A$4:$F$34</definedName>
    <definedName name="_xlnm._FilterDatabase" localSheetId="5" hidden="1">'Competitive Moats'!$A$4:$G$34</definedName>
  </definedNames>
  <calcPr calcId="124519" fullCalcOnLoad="1"/>
</workbook>
</file>

<file path=xl/styles.xml><?xml version="1.0" encoding="utf-8"?>
<styleSheet xmlns="http://schemas.openxmlformats.org/spreadsheetml/2006/main">
  <numFmts count="6">
    <numFmt numFmtId="164" formatCode="$#,##0"/>
    <numFmt numFmtId="165" formatCode="0.0"/>
    <numFmt numFmtId="166" formatCode="$#,##0.00"/>
    <numFmt numFmtId="167" formatCode="0.0%"/>
    <numFmt numFmtId="168" formatCode="0.0x"/>
    <numFmt numFmtId="169" formatCode="$#,##0.0"/>
  </numFmts>
  <fonts count="20">
    <font>
      <name val="Calibri"/>
      <family val="2"/>
      <color theme="1"/>
      <sz val="11"/>
      <scheme val="minor"/>
    </font>
    <font>
      <name val="Arial"/>
      <b val="1"/>
      <color rgb="00C9A84C"/>
      <sz val="18"/>
    </font>
    <font>
      <name val="Arial"/>
      <color rgb="00FFFFFF"/>
      <sz val="11"/>
    </font>
    <font>
      <name val="Arial"/>
      <color rgb="006B7280"/>
      <sz val="9"/>
    </font>
    <font>
      <name val="Arial"/>
      <color rgb="00FFFFFF"/>
      <sz val="9"/>
    </font>
    <font>
      <name val="Arial"/>
      <b val="1"/>
      <color rgb="00C9A84C"/>
      <sz val="16"/>
    </font>
    <font>
      <name val="Arial"/>
      <b val="1"/>
      <color rgb="00C9A84C"/>
      <sz val="11"/>
    </font>
    <font>
      <name val="Arial"/>
      <b val="1"/>
      <color rgb="00FFFFFF"/>
      <sz val="10"/>
    </font>
    <font>
      <name val="Arial"/>
      <b val="1"/>
      <color rgb="004FC3F7"/>
      <sz val="10"/>
    </font>
    <font>
      <name val="Arial"/>
      <color rgb="000D1B2A"/>
      <sz val="10"/>
    </font>
    <font>
      <name val="Arial"/>
      <b val="1"/>
      <color rgb="000D1B2A"/>
      <sz val="10"/>
    </font>
    <font>
      <name val="Arial"/>
      <b val="1"/>
      <color rgb="00FFFFFF"/>
      <sz val="13"/>
    </font>
    <font>
      <name val="Arial"/>
      <color rgb="000000FF"/>
      <sz val="10"/>
    </font>
    <font>
      <name val="Arial"/>
      <color rgb="00000000"/>
      <sz val="10"/>
    </font>
    <font>
      <name val="Arial"/>
      <b val="1"/>
      <color rgb="00C9A84C"/>
      <sz val="10"/>
    </font>
    <font>
      <name val="Arial"/>
      <b val="1"/>
      <color rgb="002A9D8F"/>
      <sz val="10"/>
    </font>
    <font>
      <name val="Arial"/>
      <i val="1"/>
      <color rgb="006B7280"/>
      <sz val="9"/>
    </font>
    <font>
      <name val="Arial"/>
      <b val="1"/>
      <color rgb="00FFFFFF"/>
      <sz val="11"/>
    </font>
    <font>
      <name val="Arial"/>
      <color rgb="001A6B3C"/>
      <sz val="10"/>
    </font>
    <font>
      <name val="Arial"/>
      <color rgb="00F9C74F"/>
      <sz val="10"/>
    </font>
  </fonts>
  <fills count="20">
    <fill>
      <patternFill/>
    </fill>
    <fill>
      <patternFill patternType="gray125"/>
    </fill>
    <fill>
      <patternFill patternType="solid">
        <fgColor rgb="000D1B2A"/>
      </patternFill>
    </fill>
    <fill>
      <patternFill patternType="solid">
        <fgColor rgb="001B2A3B"/>
      </patternFill>
    </fill>
    <fill>
      <patternFill patternType="solid">
        <fgColor rgb="002E3B4E"/>
      </patternFill>
    </fill>
    <fill>
      <patternFill patternType="solid">
        <fgColor rgb="00F7F9FC"/>
      </patternFill>
    </fill>
    <fill>
      <patternFill patternType="solid">
        <fgColor rgb="001A6B3C"/>
      </patternFill>
    </fill>
    <fill>
      <patternFill patternType="solid">
        <fgColor rgb="004FC3F7"/>
      </patternFill>
    </fill>
    <fill>
      <patternFill patternType="solid">
        <fgColor rgb="00FFFFFF"/>
      </patternFill>
    </fill>
    <fill>
      <patternFill patternType="solid">
        <fgColor rgb="002A9D8F"/>
      </patternFill>
    </fill>
    <fill>
      <patternFill patternType="solid">
        <fgColor rgb="00F9C74F"/>
      </patternFill>
    </fill>
    <fill>
      <patternFill patternType="solid">
        <fgColor rgb="00E76F51"/>
      </patternFill>
    </fill>
    <fill>
      <patternFill patternType="solid">
        <fgColor rgb="00B5D8B0"/>
      </patternFill>
    </fill>
    <fill>
      <patternFill patternType="solid">
        <fgColor rgb="00F4E4B0"/>
      </patternFill>
    </fill>
    <fill>
      <patternFill patternType="solid">
        <fgColor rgb="00EDE8F0"/>
      </patternFill>
    </fill>
    <fill>
      <patternFill patternType="solid">
        <fgColor rgb="00E0F0ED"/>
      </patternFill>
    </fill>
    <fill>
      <patternFill patternType="solid">
        <fgColor rgb="00E8EDF2"/>
      </patternFill>
    </fill>
    <fill>
      <patternFill patternType="solid">
        <fgColor rgb="00FFF8E1"/>
      </patternFill>
    </fill>
    <fill>
      <patternFill patternType="solid">
        <fgColor rgb="00E8F5E9"/>
      </patternFill>
    </fill>
    <fill>
      <patternFill patternType="solid">
        <fgColor rgb="00FBE9E7"/>
      </patternFill>
    </fill>
  </fills>
  <borders count="19">
    <border>
      <left/>
      <right/>
      <top/>
      <bottom/>
      <diagonal/>
    </border>
    <border>
      <left style="medium">
        <color rgb="000D1B2A"/>
      </left>
      <right style="medium">
        <color rgb="000D1B2A"/>
      </right>
      <top style="medium">
        <color rgb="000D1B2A"/>
      </top>
      <bottom style="medium">
        <color rgb="000D1B2A"/>
      </bottom>
    </border>
    <border>
      <left/>
      <right/>
      <top style="medium">
        <color rgb="000D1B2A"/>
      </top>
      <bottom/>
      <diagonal/>
    </border>
    <border>
      <left style="medium">
        <color rgb="000D1B2A"/>
      </left>
      <right/>
      <top/>
      <bottom/>
      <diagonal/>
    </border>
    <border>
      <left/>
      <right style="medium">
        <color rgb="000D1B2A"/>
      </right>
      <top style="medium">
        <color rgb="000D1B2A"/>
      </top>
      <bottom/>
      <diagonal/>
    </border>
    <border>
      <left/>
      <right style="medium">
        <color rgb="000D1B2A"/>
      </right>
      <top/>
      <bottom/>
      <diagonal/>
    </border>
    <border>
      <left style="medium">
        <color rgb="000D1B2A"/>
      </left>
      <right/>
      <top/>
      <bottom style="medium">
        <color rgb="000D1B2A"/>
      </bottom>
      <diagonal/>
    </border>
    <border>
      <left/>
      <right/>
      <top/>
      <bottom style="medium">
        <color rgb="000D1B2A"/>
      </bottom>
      <diagonal/>
    </border>
    <border>
      <left/>
      <right style="medium">
        <color rgb="000D1B2A"/>
      </right>
      <top/>
      <bottom style="medium">
        <color rgb="000D1B2A"/>
      </bottom>
      <diagonal/>
    </border>
    <border>
      <left/>
      <right/>
      <top style="medium">
        <color rgb="000D1B2A"/>
      </top>
      <bottom style="medium">
        <color rgb="000D1B2A"/>
      </bottom>
      <diagonal/>
    </border>
    <border>
      <left/>
      <right style="medium">
        <color rgb="000D1B2A"/>
      </right>
      <top style="medium">
        <color rgb="000D1B2A"/>
      </top>
      <bottom style="medium">
        <color rgb="000D1B2A"/>
      </bottom>
      <diagonal/>
    </border>
    <border>
      <top style="medium">
        <color rgb="00C9A84C"/>
      </top>
    </border>
    <border>
      <bottom style="medium">
        <color rgb="00C9A84C"/>
      </bottom>
    </border>
    <border>
      <left style="thin">
        <color rgb="002E3B4E"/>
      </left>
      <right style="thin">
        <color rgb="002E3B4E"/>
      </right>
      <top style="thin">
        <color rgb="002E3B4E"/>
      </top>
      <bottom style="thin">
        <color rgb="002E3B4E"/>
      </bottom>
    </border>
    <border>
      <left style="medium">
        <color rgb="00C9A84C"/>
      </left>
      <bottom style="medium">
        <color rgb="00C9A84C"/>
      </bottom>
    </border>
    <border>
      <right style="medium">
        <color rgb="00C9A84C"/>
      </right>
      <bottom style="medium">
        <color rgb="00C9A84C"/>
      </bottom>
    </border>
    <border>
      <left style="medium">
        <color rgb="00C9A84C"/>
      </left>
      <right style="thin">
        <color rgb="002E3B4E"/>
      </right>
      <top style="thin">
        <color rgb="002E3B4E"/>
      </top>
      <bottom style="thin">
        <color rgb="002E3B4E"/>
      </bottom>
    </border>
    <border>
      <left style="thin">
        <color rgb="002E3B4E"/>
      </left>
      <right style="medium">
        <color rgb="00C9A84C"/>
      </right>
      <top style="thin">
        <color rgb="002E3B4E"/>
      </top>
      <bottom style="thin">
        <color rgb="002E3B4E"/>
      </bottom>
    </border>
    <border>
      <left style="medium">
        <color rgb="00C9A84C"/>
      </left>
      <right style="medium">
        <color rgb="00C9A84C"/>
      </right>
      <top style="medium">
        <color rgb="00C9A84C"/>
      </top>
      <bottom style="medium">
        <color rgb="00C9A84C"/>
      </bottom>
    </border>
  </borders>
  <cellStyleXfs count="1">
    <xf numFmtId="0" fontId="0" fillId="0" borderId="0"/>
  </cellStyleXfs>
  <cellXfs count="107">
    <xf numFmtId="0" fontId="0" fillId="0" borderId="0" pivotButton="0" quotePrefix="0" xfId="0"/>
    <xf numFmtId="0" fontId="1" fillId="2" borderId="1" applyAlignment="1" pivotButton="0" quotePrefix="0" xfId="0">
      <alignment horizontal="center"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2" fillId="2" borderId="1" applyAlignment="1" pivotButton="0" quotePrefix="0" xfId="0">
      <alignment horizontal="center" vertical="center" wrapText="1"/>
    </xf>
    <xf numFmtId="0" fontId="0" fillId="0" borderId="9" pivotButton="0" quotePrefix="0" xfId="0"/>
    <xf numFmtId="0" fontId="0" fillId="0" borderId="10" pivotButton="0" quotePrefix="0" xfId="0"/>
    <xf numFmtId="0" fontId="3" fillId="2" borderId="1" applyAlignment="1" pivotButton="0" quotePrefix="0" xfId="0">
      <alignment horizontal="right" vertical="center"/>
    </xf>
    <xf numFmtId="0" fontId="0" fillId="2" borderId="1" pivotButton="0" quotePrefix="0" xfId="0"/>
    <xf numFmtId="0" fontId="0" fillId="2" borderId="0" pivotButton="0" quotePrefix="0" xfId="0"/>
    <xf numFmtId="0" fontId="0" fillId="2" borderId="11" pivotButton="0" quotePrefix="0" xfId="0"/>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3" borderId="12" applyAlignment="1" pivotButton="0" quotePrefix="0" xfId="0">
      <alignment horizontal="left" vertical="center" wrapText="1"/>
    </xf>
    <xf numFmtId="0" fontId="0" fillId="3" borderId="12" pivotButton="0" quotePrefix="0" xfId="0"/>
    <xf numFmtId="0" fontId="7" fillId="4" borderId="13" applyAlignment="1" pivotButton="0" quotePrefix="0" xfId="0">
      <alignment horizontal="center" vertical="center" wrapText="1"/>
    </xf>
    <xf numFmtId="0" fontId="8" fillId="5" borderId="13" applyAlignment="1" pivotButton="0" quotePrefix="0" xfId="0">
      <alignment horizontal="center" vertical="center" wrapText="1"/>
    </xf>
    <xf numFmtId="0" fontId="9" fillId="5" borderId="13" applyAlignment="1" pivotButton="0" quotePrefix="0" xfId="0">
      <alignment horizontal="left" vertical="center" wrapText="1"/>
    </xf>
    <xf numFmtId="164" fontId="9" fillId="5" borderId="13" applyAlignment="1" pivotButton="0" quotePrefix="0" xfId="0">
      <alignment horizontal="center" vertical="center" wrapText="1"/>
    </xf>
    <xf numFmtId="165" fontId="7" fillId="6" borderId="13" applyAlignment="1" pivotButton="0" quotePrefix="0" xfId="0">
      <alignment horizontal="center" vertical="center" wrapText="1"/>
    </xf>
    <xf numFmtId="0" fontId="10" fillId="7" borderId="13" applyAlignment="1" pivotButton="0" quotePrefix="0" xfId="0">
      <alignment horizontal="center" vertical="center" wrapText="1"/>
    </xf>
    <xf numFmtId="0" fontId="8" fillId="8" borderId="13" applyAlignment="1" pivotButton="0" quotePrefix="0" xfId="0">
      <alignment horizontal="center" vertical="center" wrapText="1"/>
    </xf>
    <xf numFmtId="0" fontId="9" fillId="8" borderId="13" applyAlignment="1" pivotButton="0" quotePrefix="0" xfId="0">
      <alignment horizontal="left" vertical="center" wrapText="1"/>
    </xf>
    <xf numFmtId="164" fontId="9" fillId="8" borderId="13" applyAlignment="1" pivotButton="0" quotePrefix="0" xfId="0">
      <alignment horizontal="center" vertical="center" wrapText="1"/>
    </xf>
    <xf numFmtId="0" fontId="7" fillId="9" borderId="13" applyAlignment="1" pivotButton="0" quotePrefix="0" xfId="0">
      <alignment horizontal="center" vertical="center" wrapText="1"/>
    </xf>
    <xf numFmtId="165" fontId="10" fillId="10" borderId="13" applyAlignment="1" pivotButton="0" quotePrefix="0" xfId="0">
      <alignment horizontal="center" vertical="center" wrapText="1"/>
    </xf>
    <xf numFmtId="0" fontId="9" fillId="0" borderId="0" pivotButton="0" quotePrefix="0" xfId="0"/>
    <xf numFmtId="0" fontId="1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7" fillId="2" borderId="13" applyAlignment="1" pivotButton="0" quotePrefix="0" xfId="0">
      <alignment horizontal="center" vertical="center" wrapText="1"/>
    </xf>
    <xf numFmtId="166" fontId="9" fillId="5" borderId="13" applyAlignment="1" pivotButton="0" quotePrefix="0" xfId="0">
      <alignment horizontal="center" vertical="center" wrapText="1"/>
    </xf>
    <xf numFmtId="167" fontId="9" fillId="5" borderId="13" applyAlignment="1" pivotButton="0" quotePrefix="0" xfId="0">
      <alignment horizontal="center" vertical="center" wrapText="1"/>
    </xf>
    <xf numFmtId="165" fontId="9" fillId="5" borderId="13" applyAlignment="1" pivotButton="0" quotePrefix="0" xfId="0">
      <alignment horizontal="center" vertical="center" wrapText="1"/>
    </xf>
    <xf numFmtId="165" fontId="10" fillId="5" borderId="13" applyAlignment="1" pivotButton="0" quotePrefix="0" xfId="0">
      <alignment horizontal="center" vertical="center" wrapText="1"/>
    </xf>
    <xf numFmtId="165" fontId="7" fillId="11" borderId="13" applyAlignment="1" pivotButton="0" quotePrefix="0" xfId="0">
      <alignment horizontal="center" vertical="center" wrapText="1"/>
    </xf>
    <xf numFmtId="0" fontId="3" fillId="5" borderId="13" applyAlignment="1" pivotButton="0" quotePrefix="0" xfId="0">
      <alignment horizontal="center" vertical="center" wrapText="1"/>
    </xf>
    <xf numFmtId="165" fontId="10" fillId="12" borderId="13" applyAlignment="1" pivotButton="0" quotePrefix="0" xfId="0">
      <alignment horizontal="center" vertical="center" wrapText="1"/>
    </xf>
    <xf numFmtId="166" fontId="9" fillId="8" borderId="13" applyAlignment="1" pivotButton="0" quotePrefix="0" xfId="0">
      <alignment horizontal="center" vertical="center" wrapText="1"/>
    </xf>
    <xf numFmtId="167" fontId="9" fillId="8" borderId="13" applyAlignment="1" pivotButton="0" quotePrefix="0" xfId="0">
      <alignment horizontal="center" vertical="center" wrapText="1"/>
    </xf>
    <xf numFmtId="165" fontId="9" fillId="8" borderId="13" applyAlignment="1" pivotButton="0" quotePrefix="0" xfId="0">
      <alignment horizontal="center" vertical="center" wrapText="1"/>
    </xf>
    <xf numFmtId="165" fontId="10" fillId="8" borderId="13" applyAlignment="1" pivotButton="0" quotePrefix="0" xfId="0">
      <alignment horizontal="center" vertical="center" wrapText="1"/>
    </xf>
    <xf numFmtId="0" fontId="3" fillId="8" borderId="13" applyAlignment="1" pivotButton="0" quotePrefix="0" xfId="0">
      <alignment horizontal="center" vertical="center" wrapText="1"/>
    </xf>
    <xf numFmtId="165" fontId="10" fillId="13" borderId="13" applyAlignment="1" pivotButton="0" quotePrefix="0" xfId="0">
      <alignment horizontal="center" vertical="center" wrapText="1"/>
    </xf>
    <xf numFmtId="0" fontId="10" fillId="13" borderId="13" applyAlignment="1" pivotButton="0" quotePrefix="0" xfId="0">
      <alignment horizontal="center" vertical="center" wrapText="1"/>
    </xf>
    <xf numFmtId="0" fontId="9" fillId="5" borderId="13" applyAlignment="1" pivotButton="0" quotePrefix="0" xfId="0">
      <alignment horizontal="center" vertical="center" wrapText="1"/>
    </xf>
    <xf numFmtId="0" fontId="9" fillId="5" borderId="13" applyAlignment="1" pivotButton="0" quotePrefix="0" xfId="0">
      <alignment horizontal="left" vertical="top" wrapText="1"/>
    </xf>
    <xf numFmtId="0" fontId="9" fillId="14" borderId="13" applyAlignment="1" pivotButton="0" quotePrefix="0" xfId="0">
      <alignment horizontal="left" vertical="center" wrapText="1"/>
    </xf>
    <xf numFmtId="0" fontId="9" fillId="8" borderId="13" applyAlignment="1" pivotButton="0" quotePrefix="0" xfId="0">
      <alignment horizontal="center" vertical="center" wrapText="1"/>
    </xf>
    <xf numFmtId="0" fontId="9" fillId="8" borderId="13" applyAlignment="1" pivotButton="0" quotePrefix="0" xfId="0">
      <alignment horizontal="left" vertical="top" wrapText="1"/>
    </xf>
    <xf numFmtId="0" fontId="9" fillId="15" borderId="13" applyAlignment="1" pivotButton="0" quotePrefix="0" xfId="0">
      <alignment horizontal="left" vertical="center" wrapText="1"/>
    </xf>
    <xf numFmtId="0" fontId="9" fillId="16" borderId="13" applyAlignment="1" pivotButton="0" quotePrefix="0" xfId="0">
      <alignment horizontal="left" vertical="center" wrapText="1"/>
    </xf>
    <xf numFmtId="0" fontId="9" fillId="17" borderId="13" applyAlignment="1" pivotButton="0" quotePrefix="0" xfId="0">
      <alignment horizontal="left" vertical="center" wrapText="1"/>
    </xf>
    <xf numFmtId="0" fontId="6" fillId="3" borderId="14" applyAlignment="1" pivotButton="0" quotePrefix="0" xfId="0">
      <alignment horizontal="left" vertical="center" wrapText="1"/>
    </xf>
    <xf numFmtId="0" fontId="0" fillId="3" borderId="15" pivotButton="0" quotePrefix="0" xfId="0"/>
    <xf numFmtId="0" fontId="7" fillId="4" borderId="16" applyAlignment="1" pivotButton="0" quotePrefix="0" xfId="0">
      <alignment horizontal="center" vertical="center" wrapText="1"/>
    </xf>
    <xf numFmtId="0" fontId="7" fillId="4" borderId="17" applyAlignment="1" pivotButton="0" quotePrefix="0" xfId="0">
      <alignment horizontal="center" vertical="center" wrapText="1"/>
    </xf>
    <xf numFmtId="0" fontId="9" fillId="5" borderId="16" applyAlignment="1" pivotButton="0" quotePrefix="0" xfId="0">
      <alignment horizontal="center" vertical="center" wrapText="1"/>
    </xf>
    <xf numFmtId="165" fontId="9" fillId="5" borderId="17" applyAlignment="1" pivotButton="0" quotePrefix="0" xfId="0">
      <alignment horizontal="center" vertical="center" wrapText="1"/>
    </xf>
    <xf numFmtId="0" fontId="9" fillId="8" borderId="16" applyAlignment="1" pivotButton="0" quotePrefix="0" xfId="0">
      <alignment horizontal="center" vertical="center" wrapText="1"/>
    </xf>
    <xf numFmtId="165" fontId="9" fillId="8" borderId="17" applyAlignment="1" pivotButton="0" quotePrefix="0" xfId="0">
      <alignment horizontal="center" vertical="center" wrapText="1"/>
    </xf>
    <xf numFmtId="0" fontId="3" fillId="0" borderId="0" applyAlignment="1" pivotButton="0" quotePrefix="0" xfId="0">
      <alignment horizontal="right" vertical="center"/>
    </xf>
    <xf numFmtId="0" fontId="12" fillId="13" borderId="18" applyAlignment="1" pivotButton="0" quotePrefix="0" xfId="0">
      <alignment horizontal="center" vertical="center" wrapText="1"/>
    </xf>
    <xf numFmtId="0" fontId="9" fillId="18" borderId="13" applyAlignment="1" pivotButton="0" quotePrefix="0" xfId="0">
      <alignment horizontal="left" vertical="top" wrapText="1"/>
    </xf>
    <xf numFmtId="0" fontId="9" fillId="19" borderId="13" applyAlignment="1" pivotButton="0" quotePrefix="0" xfId="0">
      <alignment horizontal="left" vertical="top" wrapText="1"/>
    </xf>
    <xf numFmtId="0" fontId="10" fillId="8" borderId="13" applyAlignment="1" pivotButton="0" quotePrefix="0" xfId="0">
      <alignment horizontal="left" vertical="center" wrapText="1"/>
    </xf>
    <xf numFmtId="164" fontId="12" fillId="13" borderId="18" applyAlignment="1" pivotButton="0" quotePrefix="0" xfId="0">
      <alignment horizontal="center" vertical="center" wrapText="1"/>
    </xf>
    <xf numFmtId="0" fontId="3" fillId="0" borderId="0" applyAlignment="1" pivotButton="0" quotePrefix="0" xfId="0">
      <alignment horizontal="left" vertical="center" wrapText="1"/>
    </xf>
    <xf numFmtId="167" fontId="12" fillId="13" borderId="18" applyAlignment="1" pivotButton="0" quotePrefix="0" xfId="0">
      <alignment horizontal="center" vertical="center" wrapText="1"/>
    </xf>
    <xf numFmtId="168" fontId="12" fillId="13" borderId="18" applyAlignment="1" pivotButton="0" quotePrefix="0" xfId="0">
      <alignment horizontal="center" vertical="center" wrapText="1"/>
    </xf>
    <xf numFmtId="167" fontId="13" fillId="5" borderId="13" applyAlignment="1" pivotButton="0" quotePrefix="0" xfId="0">
      <alignment horizontal="center" vertical="center" wrapText="1"/>
    </xf>
    <xf numFmtId="164" fontId="13" fillId="5" borderId="13" applyAlignment="1" pivotButton="0" quotePrefix="0" xfId="0">
      <alignment horizontal="center" vertical="center" wrapText="1"/>
    </xf>
    <xf numFmtId="3" fontId="9" fillId="5" borderId="13" applyAlignment="1" pivotButton="0" quotePrefix="0" xfId="0">
      <alignment horizontal="center" vertical="center" wrapText="1"/>
    </xf>
    <xf numFmtId="0" fontId="3" fillId="5" borderId="13" applyAlignment="1" pivotButton="0" quotePrefix="0" xfId="0">
      <alignment horizontal="left" vertical="center" wrapText="1"/>
    </xf>
    <xf numFmtId="167" fontId="13" fillId="8" borderId="13" applyAlignment="1" pivotButton="0" quotePrefix="0" xfId="0">
      <alignment horizontal="center" vertical="center" wrapText="1"/>
    </xf>
    <xf numFmtId="164" fontId="13" fillId="8" borderId="13" applyAlignment="1" pivotButton="0" quotePrefix="0" xfId="0">
      <alignment horizontal="center" vertical="center" wrapText="1"/>
    </xf>
    <xf numFmtId="3" fontId="9" fillId="8" borderId="13" applyAlignment="1" pivotButton="0" quotePrefix="0" xfId="0">
      <alignment horizontal="center" vertical="center" wrapText="1"/>
    </xf>
    <xf numFmtId="0" fontId="3" fillId="8" borderId="13" applyAlignment="1" pivotButton="0" quotePrefix="0" xfId="0">
      <alignment horizontal="left" vertical="center" wrapText="1"/>
    </xf>
    <xf numFmtId="0" fontId="10" fillId="3" borderId="13" applyAlignment="1" pivotButton="0" quotePrefix="0" xfId="0">
      <alignment horizontal="left" vertical="center" wrapText="1"/>
    </xf>
    <xf numFmtId="0" fontId="0" fillId="3" borderId="13" pivotButton="0" quotePrefix="0" xfId="0"/>
    <xf numFmtId="167" fontId="14" fillId="3" borderId="13" applyAlignment="1" pivotButton="0" quotePrefix="0" xfId="0">
      <alignment horizontal="center" vertical="center" wrapText="1"/>
    </xf>
    <xf numFmtId="164" fontId="14" fillId="3" borderId="13" applyAlignment="1" pivotButton="0" quotePrefix="0" xfId="0">
      <alignment horizontal="center" vertical="center" wrapText="1"/>
    </xf>
    <xf numFmtId="167" fontId="15" fillId="3" borderId="13" applyAlignment="1" pivotButton="0" quotePrefix="0" xfId="0">
      <alignment horizontal="center" vertical="center" wrapText="1"/>
    </xf>
    <xf numFmtId="164" fontId="15" fillId="3" borderId="13" applyAlignment="1" pivotButton="0" quotePrefix="0" xfId="0">
      <alignment horizontal="center" vertical="center" wrapText="1"/>
    </xf>
    <xf numFmtId="164" fontId="9" fillId="13" borderId="13" applyAlignment="1" pivotButton="0" quotePrefix="0" xfId="0">
      <alignment horizontal="center" vertical="center" wrapText="1"/>
    </xf>
    <xf numFmtId="0" fontId="10" fillId="0" borderId="0" applyAlignment="1" pivotButton="0" quotePrefix="0" xfId="0">
      <alignment horizontal="right" vertical="center"/>
    </xf>
    <xf numFmtId="2" fontId="13" fillId="13" borderId="13" applyAlignment="1" pivotButton="0" quotePrefix="0" xfId="0">
      <alignment horizontal="center" vertical="center" wrapText="1"/>
    </xf>
    <xf numFmtId="2" fontId="13" fillId="5" borderId="13" applyAlignment="1" pivotButton="0" quotePrefix="0" xfId="0">
      <alignment horizontal="center" vertical="center" wrapText="1"/>
    </xf>
    <xf numFmtId="2" fontId="12" fillId="13" borderId="13" applyAlignment="1" pivotButton="0" quotePrefix="0" xfId="0">
      <alignment horizontal="center" vertical="center" wrapText="1"/>
    </xf>
    <xf numFmtId="0" fontId="16" fillId="0" borderId="0" applyAlignment="1" pivotButton="0" quotePrefix="0" xfId="0">
      <alignment horizontal="left" vertical="center" wrapText="1"/>
    </xf>
    <xf numFmtId="2" fontId="9" fillId="5" borderId="13" applyAlignment="1" pivotButton="0" quotePrefix="0" xfId="0">
      <alignment horizontal="center" vertical="center" wrapText="1"/>
    </xf>
    <xf numFmtId="2" fontId="9" fillId="8" borderId="13" applyAlignment="1" pivotButton="0" quotePrefix="0" xfId="0">
      <alignment horizontal="center" vertical="center" wrapText="1"/>
    </xf>
    <xf numFmtId="0" fontId="10" fillId="5" borderId="13" applyAlignment="1" pivotButton="0" quotePrefix="0" xfId="0">
      <alignment horizontal="left" vertical="center" wrapText="1"/>
    </xf>
    <xf numFmtId="0" fontId="0" fillId="5" borderId="13" pivotButton="0" quotePrefix="0" xfId="0"/>
    <xf numFmtId="0" fontId="9" fillId="0" borderId="13" pivotButton="0" quotePrefix="0" xfId="0"/>
    <xf numFmtId="169" fontId="12" fillId="8" borderId="13" applyAlignment="1" pivotButton="0" quotePrefix="0" xfId="0">
      <alignment horizontal="center" vertical="center" wrapText="1"/>
    </xf>
    <xf numFmtId="0" fontId="17" fillId="3" borderId="16" applyAlignment="1" pivotButton="0" quotePrefix="0" xfId="0">
      <alignment horizontal="left" vertical="center" wrapText="1"/>
    </xf>
    <xf numFmtId="0" fontId="0" fillId="3" borderId="17" pivotButton="0" quotePrefix="0" xfId="0"/>
    <xf numFmtId="0" fontId="15" fillId="5" borderId="16" applyAlignment="1" pivotButton="0" quotePrefix="0" xfId="0">
      <alignment horizontal="left" vertical="center" wrapText="1"/>
    </xf>
    <xf numFmtId="0" fontId="0" fillId="5" borderId="17" pivotButton="0" quotePrefix="0" xfId="0"/>
    <xf numFmtId="0" fontId="3" fillId="5" borderId="16" applyAlignment="1" pivotButton="0" quotePrefix="0" xfId="0">
      <alignment horizontal="left" vertical="center" wrapText="1"/>
    </xf>
    <xf numFmtId="0" fontId="16" fillId="5" borderId="16" applyAlignment="1" pivotButton="0" quotePrefix="0" xfId="0">
      <alignment horizontal="left" vertical="center" wrapText="1"/>
    </xf>
    <xf numFmtId="0" fontId="18" fillId="18" borderId="13" applyAlignment="1" pivotButton="0" quotePrefix="0" xfId="0">
      <alignment horizontal="center" vertical="center" wrapText="1"/>
    </xf>
    <xf numFmtId="0" fontId="19" fillId="17" borderId="13" applyAlignment="1" pivotButton="0" quotePrefix="0" xfId="0">
      <alignment horizontal="center" vertical="center" wrapText="1"/>
    </xf>
    <xf numFmtId="0" fontId="9" fillId="8" borderId="13" pivotButton="0" quotePrefix="0" xfId="0"/>
  </cellXfs>
  <cellStyles count="1">
    <cellStyle name="Normal" xfId="0" builtinId="0" hidden="0"/>
  </cellStyles>
  <dxfs count="1">
    <dxf>
      <fill>
        <patternFill patternType="solid">
          <fgColor rgb="00E76F5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10"/>
  <chart>
    <plotArea>
      <barChart>
        <barDir val="col"/>
        <grouping val="clustered"/>
        <ser>
          <idx val="0"/>
          <order val="0"/>
          <tx>
            <strRef>
              <f>'Dashboard'!B40</f>
            </strRef>
          </tx>
          <spPr>
            <a:solidFill xmlns:a="http://schemas.openxmlformats.org/drawingml/2006/main">
              <a:srgbClr val="C9A84C"/>
            </a:solidFill>
            <a:ln xmlns:a="http://schemas.openxmlformats.org/drawingml/2006/main">
              <a:prstDash val="solid"/>
            </a:ln>
          </spPr>
          <cat>
            <numRef>
              <f>'Dashboard'!$A$41:$A$50</f>
            </numRef>
          </cat>
          <val>
            <numRef>
              <f>'Dashboard'!$B$41:$B$50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Combined Score</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Growth vs Margin (bubble = market cap)</a:t>
            </a:r>
          </a:p>
        </rich>
      </tx>
    </title>
    <plotArea>
      <bubbleChart>
        <ser>
          <idx val="0"/>
          <order val="0"/>
          <tx>
            <v>Stocks</v>
          </tx>
          <spPr>
            <a:solidFill xmlns:a="http://schemas.openxmlformats.org/drawingml/2006/main">
              <a:srgbClr val="C9A84C"/>
            </a:solidFill>
            <a:ln xmlns:a="http://schemas.openxmlformats.org/drawingml/2006/main">
              <a:prstDash val="solid"/>
            </a:ln>
          </spPr>
          <xVal>
            <numRef>
              <f>'Nano Cap'!$B$61:$B$70</f>
            </numRef>
          </xVal>
          <yVal>
            <numRef>
              <f>'Nano Cap'!$C$61:$C$70</f>
            </numRef>
          </yVal>
          <bubbleSize>
            <numRef>
              <f>'Nano Cap'!$D$61:$D$70</f>
            </numRef>
          </bubbleSize>
        </ser>
        <axId val="10"/>
        <axId val="20"/>
      </bubbleChart>
      <valAx>
        <axId val="10"/>
        <scaling>
          <orientation val="minMax"/>
        </scaling>
        <axPos val="l"/>
        <majorGridlines/>
        <title>
          <tx>
            <rich>
              <a:bodyPr xmlns:a="http://schemas.openxmlformats.org/drawingml/2006/main"/>
              <a:p xmlns:a="http://schemas.openxmlformats.org/drawingml/2006/main">
                <a:pPr>
                  <a:defRPr/>
                </a:pPr>
                <a:r>
                  <a:t>Gross Margin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Revenue Growth %</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Growth vs Margin (bubble = market cap)</a:t>
            </a:r>
          </a:p>
        </rich>
      </tx>
    </title>
    <plotArea>
      <bubbleChart>
        <ser>
          <idx val="0"/>
          <order val="0"/>
          <tx>
            <v>Stocks</v>
          </tx>
          <spPr>
            <a:solidFill xmlns:a="http://schemas.openxmlformats.org/drawingml/2006/main">
              <a:srgbClr val="C9A84C"/>
            </a:solidFill>
            <a:ln xmlns:a="http://schemas.openxmlformats.org/drawingml/2006/main">
              <a:prstDash val="solid"/>
            </a:ln>
          </spPr>
          <xVal>
            <numRef>
              <f>'Small Cap'!$B$61:$B$70</f>
            </numRef>
          </xVal>
          <yVal>
            <numRef>
              <f>'Small Cap'!$C$61:$C$70</f>
            </numRef>
          </yVal>
          <bubbleSize>
            <numRef>
              <f>'Small Cap'!$D$61:$D$70</f>
            </numRef>
          </bubbleSize>
        </ser>
        <axId val="10"/>
        <axId val="20"/>
      </bubbleChart>
      <valAx>
        <axId val="10"/>
        <scaling>
          <orientation val="minMax"/>
        </scaling>
        <axPos val="l"/>
        <majorGridlines/>
        <title>
          <tx>
            <rich>
              <a:bodyPr xmlns:a="http://schemas.openxmlformats.org/drawingml/2006/main"/>
              <a:p xmlns:a="http://schemas.openxmlformats.org/drawingml/2006/main">
                <a:pPr>
                  <a:defRPr/>
                </a:pPr>
                <a:r>
                  <a:t>Gross Margin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Revenue Growth %</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Growth vs Margin (bubble = market cap)</a:t>
            </a:r>
          </a:p>
        </rich>
      </tx>
    </title>
    <plotArea>
      <bubbleChart>
        <ser>
          <idx val="0"/>
          <order val="0"/>
          <tx>
            <v>Stocks</v>
          </tx>
          <spPr>
            <a:solidFill xmlns:a="http://schemas.openxmlformats.org/drawingml/2006/main">
              <a:srgbClr val="C9A84C"/>
            </a:solidFill>
            <a:ln xmlns:a="http://schemas.openxmlformats.org/drawingml/2006/main">
              <a:prstDash val="solid"/>
            </a:ln>
          </spPr>
          <xVal>
            <numRef>
              <f>'Breakout'!$B$61:$B$70</f>
            </numRef>
          </xVal>
          <yVal>
            <numRef>
              <f>'Breakout'!$C$61:$C$70</f>
            </numRef>
          </yVal>
          <bubbleSize>
            <numRef>
              <f>'Breakout'!$D$61:$D$70</f>
            </numRef>
          </bubbleSize>
        </ser>
        <axId val="10"/>
        <axId val="20"/>
      </bubbleChart>
      <valAx>
        <axId val="10"/>
        <scaling>
          <orientation val="minMax"/>
        </scaling>
        <axPos val="l"/>
        <majorGridlines/>
        <title>
          <tx>
            <rich>
              <a:bodyPr xmlns:a="http://schemas.openxmlformats.org/drawingml/2006/main"/>
              <a:p xmlns:a="http://schemas.openxmlformats.org/drawingml/2006/main">
                <a:pPr>
                  <a:defRPr/>
                </a:pPr>
                <a:r>
                  <a:t>Gross Margin %</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Revenue Growth %</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Conviction Distribution by Tier</a:t>
            </a:r>
          </a:p>
        </rich>
      </tx>
    </title>
    <plotArea>
      <barChart>
        <barDir val="bar"/>
        <grouping val="stacked"/>
        <ser>
          <idx val="0"/>
          <order val="0"/>
          <tx>
            <strRef>
              <f>'Recommendations'!B39</f>
            </strRef>
          </tx>
          <spPr>
            <a:solidFill xmlns:a="http://schemas.openxmlformats.org/drawingml/2006/main">
              <a:srgbClr val="2A9D8F"/>
            </a:solidFill>
            <a:ln xmlns:a="http://schemas.openxmlformats.org/drawingml/2006/main">
              <a:prstDash val="solid"/>
            </a:ln>
          </spPr>
          <cat>
            <numRef>
              <f>'Recommendations'!$A$40:$A$42</f>
            </numRef>
          </cat>
          <val>
            <numRef>
              <f>'Recommendations'!$B$40:$B$42</f>
            </numRef>
          </val>
        </ser>
        <ser>
          <idx val="1"/>
          <order val="1"/>
          <tx>
            <strRef>
              <f>'Recommendations'!C39</f>
            </strRef>
          </tx>
          <spPr>
            <a:solidFill xmlns:a="http://schemas.openxmlformats.org/drawingml/2006/main">
              <a:srgbClr val="4FC3F7"/>
            </a:solidFill>
            <a:ln xmlns:a="http://schemas.openxmlformats.org/drawingml/2006/main">
              <a:prstDash val="solid"/>
            </a:ln>
          </spPr>
          <cat>
            <numRef>
              <f>'Recommendations'!$A$40:$A$42</f>
            </numRef>
          </cat>
          <val>
            <numRef>
              <f>'Recommendations'!$C$40:$C$42</f>
            </numRef>
          </val>
        </ser>
        <ser>
          <idx val="2"/>
          <order val="2"/>
          <tx>
            <strRef>
              <f>'Recommendations'!D39</f>
            </strRef>
          </tx>
          <spPr>
            <a:solidFill xmlns:a="http://schemas.openxmlformats.org/drawingml/2006/main">
              <a:srgbClr val="C9A84C"/>
            </a:solidFill>
            <a:ln xmlns:a="http://schemas.openxmlformats.org/drawingml/2006/main">
              <a:prstDash val="solid"/>
            </a:ln>
          </spPr>
          <cat>
            <numRef>
              <f>'Recommendations'!$A$40:$A$42</f>
            </numRef>
          </cat>
          <val>
            <numRef>
              <f>'Recommendations'!$D$40:$D$42</f>
            </numRef>
          </val>
        </ser>
        <ser>
          <idx val="3"/>
          <order val="3"/>
          <tx>
            <strRef>
              <f>'Recommendations'!E39</f>
            </strRef>
          </tx>
          <spPr>
            <a:solidFill xmlns:a="http://schemas.openxmlformats.org/drawingml/2006/main">
              <a:srgbClr val="E76F51"/>
            </a:solidFill>
            <a:ln xmlns:a="http://schemas.openxmlformats.org/drawingml/2006/main">
              <a:prstDash val="solid"/>
            </a:ln>
          </spPr>
          <cat>
            <numRef>
              <f>'Recommendations'!$A$40:$A$42</f>
            </numRef>
          </cat>
          <val>
            <numRef>
              <f>'Recommendations'!$E$40:$E$42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Allocation by Tier</a:t>
            </a:r>
          </a:p>
        </rich>
      </tx>
    </title>
    <plotArea>
      <doughnutChart>
        <varyColors val="1"/>
        <ser>
          <idx val="0"/>
          <order val="0"/>
          <tx>
            <strRef>
              <f>'Portfolio Construction'!M49</f>
            </strRef>
          </tx>
          <spPr>
            <a:ln xmlns:a="http://schemas.openxmlformats.org/drawingml/2006/main">
              <a:prstDash val="solid"/>
            </a:ln>
          </spPr>
          <cat>
            <numRef>
              <f>'Portfolio Construction'!$L$50:$L$53</f>
            </numRef>
          </cat>
          <val>
            <numRef>
              <f>'Portfolio Construction'!$M$50:$M$53</f>
            </numRef>
          </val>
        </ser>
        <firstSliceAng val="0"/>
        <holeSize val="10"/>
      </doughnutChart>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Score Impact — KULR</a:t>
            </a:r>
          </a:p>
        </rich>
      </tx>
    </title>
    <plotArea>
      <barChart>
        <barDir val="bar"/>
        <grouping val="clustered"/>
        <ser>
          <idx val="0"/>
          <order val="0"/>
          <spPr>
            <a:solidFill xmlns:a="http://schemas.openxmlformats.org/drawingml/2006/main">
              <a:srgbClr val="E76F51"/>
            </a:solidFill>
            <a:ln xmlns:a="http://schemas.openxmlformats.org/drawingml/2006/main">
              <a:prstDash val="solid"/>
            </a:ln>
          </spPr>
          <cat>
            <numRef>
              <f>'Sensitivity Analysis'!$B$51:$B$55</f>
            </numRef>
          </cat>
          <val>
            <numRef>
              <f>'Sensitivity Analysis'!$C$51:$C$55</f>
            </numRef>
          </val>
        </ser>
        <ser>
          <idx val="1"/>
          <order val="1"/>
          <spPr>
            <a:solidFill xmlns:a="http://schemas.openxmlformats.org/drawingml/2006/main">
              <a:srgbClr val="2A9D8F"/>
            </a:solidFill>
            <a:ln xmlns:a="http://schemas.openxmlformats.org/drawingml/2006/main">
              <a:prstDash val="solid"/>
            </a:ln>
          </spPr>
          <cat>
            <numRef>
              <f>'Sensitivity Analysis'!$B$51:$B$55</f>
            </numRef>
          </cat>
          <val>
            <numRef>
              <f>'Sensitivity Analysis'!$D$51:$D$55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8.xml><?xml version="1.0" encoding="utf-8"?>
<chartSpace xmlns="http://schemas.openxmlformats.org/drawingml/2006/chart">
  <style val="26"/>
  <chart>
    <title>
      <tx>
        <rich>
          <a:bodyPr xmlns:a="http://schemas.openxmlformats.org/drawingml/2006/main"/>
          <a:p xmlns:a="http://schemas.openxmlformats.org/drawingml/2006/main">
            <a:pPr>
              <a:defRPr/>
            </a:pPr>
            <a:r>
              <a:t>Reference Stock Comparison</a:t>
            </a:r>
          </a:p>
        </rich>
      </tx>
    </title>
    <plotArea>
      <radarChart>
        <radarStyle val="standard"/>
        <ser>
          <idx val="0"/>
          <order val="0"/>
          <tx>
            <strRef>
              <f>'Fingerprint Reference'!B35</f>
            </strRef>
          </tx>
          <spPr>
            <a:ln xmlns:a="http://schemas.openxmlformats.org/drawingml/2006/main">
              <a:solidFill>
                <a:srgbClr val="C9A84C"/>
              </a:solidFill>
              <a:prstDash val="solid"/>
            </a:ln>
          </spPr>
          <marker>
            <symbol val="none"/>
            <spPr>
              <a:ln xmlns:a="http://schemas.openxmlformats.org/drawingml/2006/main">
                <a:prstDash val="solid"/>
              </a:ln>
            </spPr>
          </marker>
          <cat>
            <numRef>
              <f>'Fingerprint Reference'!$A$36:$A$40</f>
            </numRef>
          </cat>
          <val>
            <numRef>
              <f>'Fingerprint Reference'!$B$36:$B$40</f>
            </numRef>
          </val>
        </ser>
        <ser>
          <idx val="1"/>
          <order val="1"/>
          <tx>
            <strRef>
              <f>'Fingerprint Reference'!C35</f>
            </strRef>
          </tx>
          <spPr>
            <a:ln xmlns:a="http://schemas.openxmlformats.org/drawingml/2006/main">
              <a:solidFill>
                <a:srgbClr val="2A9D8F"/>
              </a:solidFill>
              <a:prstDash val="solid"/>
            </a:ln>
          </spPr>
          <marker>
            <symbol val="none"/>
            <spPr>
              <a:ln xmlns:a="http://schemas.openxmlformats.org/drawingml/2006/main">
                <a:prstDash val="solid"/>
              </a:ln>
            </spPr>
          </marker>
          <cat>
            <numRef>
              <f>'Fingerprint Reference'!$A$36:$A$40</f>
            </numRef>
          </cat>
          <val>
            <numRef>
              <f>'Fingerprint Reference'!$C$36:$C$40</f>
            </numRef>
          </val>
        </ser>
        <ser>
          <idx val="2"/>
          <order val="2"/>
          <tx>
            <strRef>
              <f>'Fingerprint Reference'!D35</f>
            </strRef>
          </tx>
          <spPr>
            <a:ln xmlns:a="http://schemas.openxmlformats.org/drawingml/2006/main">
              <a:solidFill>
                <a:srgbClr val="E76F51"/>
              </a:solidFill>
              <a:prstDash val="solid"/>
            </a:ln>
          </spPr>
          <marker>
            <symbol val="none"/>
            <spPr>
              <a:ln xmlns:a="http://schemas.openxmlformats.org/drawingml/2006/main">
                <a:prstDash val="solid"/>
              </a:ln>
            </spPr>
          </marker>
          <cat>
            <numRef>
              <f>'Fingerprint Reference'!$A$36:$A$40</f>
            </numRef>
          </cat>
          <val>
            <numRef>
              <f>'Fingerprint Reference'!$D$36:$D$40</f>
            </numRef>
          </val>
        </ser>
        <ser>
          <idx val="3"/>
          <order val="3"/>
          <tx>
            <strRef>
              <f>'Fingerprint Reference'!E35</f>
            </strRef>
          </tx>
          <spPr>
            <a:ln xmlns:a="http://schemas.openxmlformats.org/drawingml/2006/main">
              <a:solidFill>
                <a:srgbClr val="4FC3F7"/>
              </a:solidFill>
              <a:prstDash val="solid"/>
            </a:ln>
          </spPr>
          <marker>
            <symbol val="none"/>
            <spPr>
              <a:ln xmlns:a="http://schemas.openxmlformats.org/drawingml/2006/main">
                <a:prstDash val="solid"/>
              </a:ln>
            </spPr>
          </marker>
          <cat>
            <numRef>
              <f>'Fingerprint Reference'!$A$36:$A$40</f>
            </numRef>
          </cat>
          <val>
            <numRef>
              <f>'Fingerprint Reference'!$E$36:$E$40</f>
            </numRef>
          </val>
        </ser>
        <ser>
          <idx val="4"/>
          <order val="4"/>
          <tx>
            <strRef>
              <f>'Fingerprint Reference'!F35</f>
            </strRef>
          </tx>
          <spPr>
            <a:ln xmlns:a="http://schemas.openxmlformats.org/drawingml/2006/main">
              <a:solidFill>
                <a:srgbClr val="0D1B2A"/>
              </a:solidFill>
              <a:prstDash val="solid"/>
            </a:ln>
          </spPr>
          <marker>
            <symbol val="none"/>
            <spPr>
              <a:ln xmlns:a="http://schemas.openxmlformats.org/drawingml/2006/main">
                <a:prstDash val="solid"/>
              </a:ln>
            </spPr>
          </marker>
          <cat>
            <numRef>
              <f>'Fingerprint Reference'!$A$36:$A$40</f>
            </numRef>
          </cat>
          <val>
            <numRef>
              <f>'Fingerprint Reference'!$F$36:$F$40</f>
            </numRef>
          </val>
        </ser>
        <ser>
          <idx val="5"/>
          <order val="5"/>
          <tx>
            <strRef>
              <f>'Fingerprint Reference'!G35</f>
            </strRef>
          </tx>
          <spPr>
            <a:ln xmlns:a="http://schemas.openxmlformats.org/drawingml/2006/main">
              <a:solidFill>
                <a:srgbClr val="F9C74F"/>
              </a:solidFill>
              <a:prstDash val="solid"/>
            </a:ln>
          </spPr>
          <marker>
            <symbol val="none"/>
            <spPr>
              <a:ln xmlns:a="http://schemas.openxmlformats.org/drawingml/2006/main">
                <a:prstDash val="solid"/>
              </a:ln>
            </spPr>
          </marker>
          <cat>
            <numRef>
              <f>'Fingerprint Reference'!$A$36:$A$40</f>
            </numRef>
          </cat>
          <val>
            <numRef>
              <f>'Fingerprint Reference'!$G$36:$G$40</f>
            </numRef>
          </val>
        </ser>
        <axId val="10"/>
        <axId val="100"/>
      </rad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_rels/drawing7.xml.rels><Relationships xmlns="http://schemas.openxmlformats.org/package/2006/relationships"><Relationship Type="http://schemas.openxmlformats.org/officeDocument/2006/relationships/chart" Target="/xl/charts/chart7.xml" Id="rId1"/></Relationships>
</file>

<file path=xl/drawings/_rels/drawing8.xml.rels><Relationships xmlns="http://schemas.openxmlformats.org/package/2006/relationships"><Relationship Type="http://schemas.openxmlformats.org/officeDocument/2006/relationships/chart" Target="/xl/charts/chart8.xml" Id="rId1"/></Relationships>
</file>

<file path=xl/drawings/drawing1.xml><?xml version="1.0" encoding="utf-8"?>
<wsDr xmlns="http://schemas.openxmlformats.org/drawingml/2006/spreadsheetDrawing">
  <oneCellAnchor>
    <from>
      <col>1</col>
      <colOff>0</colOff>
      <row>19</row>
      <rowOff>0</rowOff>
    </from>
    <ext cx="100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7</col>
      <colOff>0</colOff>
      <row>16</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7</col>
      <colOff>0</colOff>
      <row>16</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16</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43</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11</col>
      <colOff>0</colOff>
      <row>3</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5</col>
      <colOff>0</colOff>
      <row>50</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41</row>
      <rowOff>0</rowOff>
    </from>
    <ext cx="72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2.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tabColor rgb="00C9A84C"/>
    <outlinePr summaryBelow="1" summaryRight="1"/>
    <pageSetUpPr fitToPage="1"/>
  </sheetPr>
  <dimension ref="A1:P50"/>
  <sheetViews>
    <sheetView showGridLines="0" workbookViewId="0">
      <pane ySplit="4" topLeftCell="A5" activePane="bottomLeft" state="frozen"/>
      <selection pane="bottomLeft" activeCell="A1" sqref="A1"/>
    </sheetView>
  </sheetViews>
  <sheetFormatPr baseColWidth="8" defaultRowHeight="15"/>
  <cols>
    <col width="3"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3" customWidth="1" min="15" max="15"/>
    <col width="14" customWidth="1" min="16" max="16"/>
  </cols>
  <sheetData>
    <row r="1" ht="28" customHeight="1">
      <c r="A1" s="1" t="inlineStr">
        <is>
          <t>STRUCTURAL GROWTH EQUITY SCREENER</t>
        </is>
      </c>
      <c r="B1" s="2" t="n"/>
      <c r="C1" s="2" t="n"/>
      <c r="D1" s="2" t="n"/>
      <c r="E1" s="2" t="n"/>
      <c r="F1" s="2" t="n"/>
      <c r="G1" s="2" t="n"/>
      <c r="H1" s="2" t="n"/>
      <c r="I1" s="2" t="n"/>
      <c r="J1" s="2" t="n"/>
      <c r="K1" s="2" t="n"/>
      <c r="L1" s="2" t="n"/>
      <c r="M1" s="2" t="n"/>
      <c r="N1" s="2" t="n"/>
      <c r="O1" s="2" t="n"/>
      <c r="P1" s="3" t="n"/>
    </row>
    <row r="2" ht="28" customHeight="1">
      <c r="A2" s="4" t="n"/>
      <c r="B2" s="5" t="n"/>
      <c r="C2" s="5" t="n"/>
      <c r="D2" s="5" t="n"/>
      <c r="E2" s="5" t="n"/>
      <c r="F2" s="5" t="n"/>
      <c r="G2" s="5" t="n"/>
      <c r="H2" s="5" t="n"/>
      <c r="I2" s="5" t="n"/>
      <c r="J2" s="5" t="n"/>
      <c r="K2" s="5" t="n"/>
      <c r="L2" s="5" t="n"/>
      <c r="M2" s="5" t="n"/>
      <c r="N2" s="5" t="n"/>
      <c r="O2" s="5" t="n"/>
      <c r="P2" s="6" t="n"/>
    </row>
    <row r="3" ht="20" customHeight="1">
      <c r="A3" s="7" t="inlineStr">
        <is>
          <t>Nano  ·  Small  ·  Breakout Tier Analysis</t>
        </is>
      </c>
      <c r="B3" s="8" t="n"/>
      <c r="C3" s="8" t="n"/>
      <c r="D3" s="8" t="n"/>
      <c r="E3" s="8" t="n"/>
      <c r="F3" s="8" t="n"/>
      <c r="G3" s="8" t="n"/>
      <c r="H3" s="8" t="n"/>
      <c r="I3" s="8" t="n"/>
      <c r="J3" s="9" t="n"/>
      <c r="K3" s="10" t="inlineStr">
        <is>
          <t>Run Date: June 06, 2026  |  Universe: 30 stocks  |  Source: Financial Modeling Prep</t>
        </is>
      </c>
      <c r="L3" s="8" t="n"/>
      <c r="M3" s="8" t="n"/>
      <c r="N3" s="8" t="n"/>
      <c r="O3" s="8" t="n"/>
      <c r="P3" s="9" t="n"/>
    </row>
    <row r="4" ht="8" customHeight="1">
      <c r="A4" s="11" t="n"/>
      <c r="B4" s="11" t="n"/>
      <c r="C4" s="11" t="n"/>
      <c r="D4" s="11" t="n"/>
      <c r="E4" s="11" t="n"/>
      <c r="F4" s="11" t="n"/>
      <c r="G4" s="11" t="n"/>
      <c r="H4" s="11" t="n"/>
      <c r="I4" s="11" t="n"/>
      <c r="J4" s="11" t="n"/>
      <c r="K4" s="11" t="n"/>
      <c r="L4" s="11" t="n"/>
      <c r="M4" s="11" t="n"/>
      <c r="N4" s="11" t="n"/>
      <c r="O4" s="11" t="n"/>
      <c r="P4" s="11" t="n"/>
    </row>
    <row r="5" ht="6" customHeight="1">
      <c r="A5" s="12" t="n"/>
      <c r="B5" s="13" t="n"/>
      <c r="C5" s="13" t="n"/>
      <c r="D5" s="13" t="n"/>
      <c r="E5" s="13" t="n"/>
      <c r="F5" s="13" t="n"/>
      <c r="G5" s="13" t="n"/>
      <c r="H5" s="12" t="n"/>
      <c r="I5" s="13" t="n"/>
      <c r="J5" s="13" t="n"/>
      <c r="K5" s="13" t="n"/>
      <c r="L5" s="13" t="n"/>
      <c r="M5" s="13" t="n"/>
      <c r="N5" s="13" t="n"/>
      <c r="O5" s="12" t="n"/>
      <c r="P5" s="12" t="n"/>
    </row>
    <row r="6" ht="16" customHeight="1">
      <c r="A6" s="12" t="n"/>
      <c r="B6" s="14" t="inlineStr">
        <is>
          <t>TOTAL SCREENED</t>
        </is>
      </c>
      <c r="D6" s="14" t="inlineStr">
        <is>
          <t>PASSED FILTERS</t>
        </is>
      </c>
      <c r="F6" s="14" t="inlineStr">
        <is>
          <t>AVG COMBINED SCORE</t>
        </is>
      </c>
      <c r="H6" s="12" t="n"/>
      <c r="I6" s="14" t="inlineStr">
        <is>
          <t>AVG REV GROWTH</t>
        </is>
      </c>
      <c r="K6" s="14" t="inlineStr">
        <is>
          <t>AVG GROSS MARGIN</t>
        </is>
      </c>
      <c r="M6" s="14" t="inlineStr">
        <is>
          <t>HIGH CONVICTION</t>
        </is>
      </c>
      <c r="O6" s="12" t="n"/>
      <c r="P6" s="12" t="n"/>
    </row>
    <row r="7" ht="28" customHeight="1">
      <c r="A7" s="12" t="n"/>
      <c r="B7" s="15" t="inlineStr">
        <is>
          <t>30</t>
        </is>
      </c>
      <c r="D7" s="15" t="inlineStr">
        <is>
          <t>30</t>
        </is>
      </c>
      <c r="F7" s="15" t="inlineStr">
        <is>
          <t>78.3</t>
        </is>
      </c>
      <c r="H7" s="12" t="n"/>
      <c r="I7" s="15" t="inlineStr">
        <is>
          <t>59.0%</t>
        </is>
      </c>
      <c r="K7" s="15" t="inlineStr">
        <is>
          <t>44.3%</t>
        </is>
      </c>
      <c r="M7" s="15" t="inlineStr">
        <is>
          <t>1</t>
        </is>
      </c>
      <c r="O7" s="12" t="n"/>
      <c r="P7" s="12" t="n"/>
    </row>
    <row r="8" ht="6" customHeight="1">
      <c r="A8" s="12" t="n"/>
      <c r="B8" s="12" t="n"/>
      <c r="C8" s="12" t="n"/>
      <c r="D8" s="12" t="n"/>
      <c r="E8" s="12" t="n"/>
      <c r="F8" s="12" t="n"/>
      <c r="G8" s="12" t="n"/>
      <c r="H8" s="12" t="n"/>
      <c r="I8" s="12" t="n"/>
      <c r="J8" s="12" t="n"/>
      <c r="K8" s="12" t="n"/>
      <c r="L8" s="12" t="n"/>
      <c r="M8" s="12" t="n"/>
      <c r="N8" s="12" t="n"/>
      <c r="O8" s="12" t="n"/>
      <c r="P8" s="12" t="n"/>
    </row>
    <row r="9" ht="8" customHeight="1"/>
    <row r="10" ht="22" customHeight="1">
      <c r="B10" s="16" t="inlineStr">
        <is>
          <t xml:space="preserve">  Nano Cap</t>
        </is>
      </c>
      <c r="C10" s="17" t="n"/>
      <c r="D10" s="17" t="n"/>
      <c r="E10" s="17" t="n"/>
      <c r="F10" s="17" t="n"/>
      <c r="G10" s="16" t="inlineStr">
        <is>
          <t xml:space="preserve">  Small Cap</t>
        </is>
      </c>
      <c r="H10" s="17" t="n"/>
      <c r="I10" s="17" t="n"/>
      <c r="J10" s="17" t="n"/>
      <c r="K10" s="17" t="n"/>
      <c r="L10" s="16" t="inlineStr">
        <is>
          <t xml:space="preserve">  Breakout</t>
        </is>
      </c>
      <c r="M10" s="17" t="n"/>
      <c r="N10" s="17" t="n"/>
      <c r="O10" s="17" t="n"/>
      <c r="P10" s="17" t="n"/>
    </row>
    <row r="11" ht="18" customHeight="1">
      <c r="B11" s="18" t="inlineStr">
        <is>
          <t>Ticker</t>
        </is>
      </c>
      <c r="C11" s="18" t="inlineStr">
        <is>
          <t>Company</t>
        </is>
      </c>
      <c r="D11" s="18" t="inlineStr">
        <is>
          <t>Mkt Cap</t>
        </is>
      </c>
      <c r="E11" s="18" t="inlineStr">
        <is>
          <t>Score</t>
        </is>
      </c>
      <c r="F11" s="18" t="inlineStr">
        <is>
          <t>Conviction</t>
        </is>
      </c>
      <c r="G11" s="18" t="inlineStr">
        <is>
          <t>Ticker</t>
        </is>
      </c>
      <c r="H11" s="18" t="inlineStr">
        <is>
          <t>Company</t>
        </is>
      </c>
      <c r="I11" s="18" t="inlineStr">
        <is>
          <t>Mkt Cap</t>
        </is>
      </c>
      <c r="J11" s="18" t="inlineStr">
        <is>
          <t>Score</t>
        </is>
      </c>
      <c r="K11" s="18" t="inlineStr">
        <is>
          <t>Conviction</t>
        </is>
      </c>
      <c r="L11" s="18" t="inlineStr">
        <is>
          <t>Ticker</t>
        </is>
      </c>
      <c r="M11" s="18" t="inlineStr">
        <is>
          <t>Company</t>
        </is>
      </c>
      <c r="N11" s="18" t="inlineStr">
        <is>
          <t>Mkt Cap</t>
        </is>
      </c>
      <c r="O11" s="18" t="inlineStr">
        <is>
          <t>Score</t>
        </is>
      </c>
      <c r="P11" s="18" t="inlineStr">
        <is>
          <t>Conviction</t>
        </is>
      </c>
    </row>
    <row r="12" ht="16" customHeight="1">
      <c r="B12" s="19" t="inlineStr">
        <is>
          <t>KULR</t>
        </is>
      </c>
      <c r="C12" s="20" t="inlineStr">
        <is>
          <t>KULR Technology Group, Inc.</t>
        </is>
      </c>
      <c r="D12" s="21" t="n">
        <v>176.2</v>
      </c>
      <c r="E12" s="22" t="n">
        <v>91.3</v>
      </c>
      <c r="F12" s="23" t="inlineStr">
        <is>
          <t>Medium-High</t>
        </is>
      </c>
      <c r="G12" s="19" t="inlineStr">
        <is>
          <t>DSP</t>
        </is>
      </c>
      <c r="H12" s="20" t="inlineStr">
        <is>
          <t>Viant Technology Inc.</t>
        </is>
      </c>
      <c r="I12" s="21" t="n">
        <v>794.6</v>
      </c>
      <c r="J12" s="22" t="n">
        <v>82.59999999999999</v>
      </c>
      <c r="K12" s="23" t="inlineStr">
        <is>
          <t>Medium-High</t>
        </is>
      </c>
      <c r="L12" s="19" t="inlineStr">
        <is>
          <t>KRMN</t>
        </is>
      </c>
      <c r="M12" s="20" t="inlineStr">
        <is>
          <t>Karman Holdings Inc.</t>
        </is>
      </c>
      <c r="N12" s="21" t="n">
        <v>6552.1</v>
      </c>
      <c r="O12" s="22" t="n">
        <v>84</v>
      </c>
      <c r="P12" s="23" t="inlineStr">
        <is>
          <t>Medium-High</t>
        </is>
      </c>
    </row>
    <row r="13" ht="16" customHeight="1">
      <c r="B13" s="24" t="inlineStr">
        <is>
          <t>KVHI</t>
        </is>
      </c>
      <c r="C13" s="25" t="inlineStr">
        <is>
          <t>KVH Industries, Inc.</t>
        </is>
      </c>
      <c r="D13" s="26" t="n">
        <v>146.6</v>
      </c>
      <c r="E13" s="22" t="n">
        <v>86.8</v>
      </c>
      <c r="F13" s="27" t="inlineStr">
        <is>
          <t>High</t>
        </is>
      </c>
      <c r="G13" s="24" t="inlineStr">
        <is>
          <t>EVLV</t>
        </is>
      </c>
      <c r="H13" s="25" t="inlineStr">
        <is>
          <t>Evolv Technologies Holdings, Inc.</t>
        </is>
      </c>
      <c r="I13" s="26" t="n">
        <v>1063</v>
      </c>
      <c r="J13" s="22" t="n">
        <v>82</v>
      </c>
      <c r="K13" s="23" t="inlineStr">
        <is>
          <t>Medium-High</t>
        </is>
      </c>
      <c r="L13" s="24" t="inlineStr">
        <is>
          <t>ESI</t>
        </is>
      </c>
      <c r="M13" s="25" t="inlineStr">
        <is>
          <t>Element Solutions Inc</t>
        </is>
      </c>
      <c r="N13" s="26" t="n">
        <v>9705.299999999999</v>
      </c>
      <c r="O13" s="28" t="n">
        <v>79.8</v>
      </c>
      <c r="P13" s="23" t="inlineStr">
        <is>
          <t>Medium-High</t>
        </is>
      </c>
    </row>
    <row r="14" ht="16" customHeight="1">
      <c r="B14" s="19" t="inlineStr">
        <is>
          <t>INTT</t>
        </is>
      </c>
      <c r="C14" s="20" t="inlineStr">
        <is>
          <t>inTEST Corporation</t>
        </is>
      </c>
      <c r="D14" s="21" t="n">
        <v>184.3</v>
      </c>
      <c r="E14" s="22" t="n">
        <v>81.59999999999999</v>
      </c>
      <c r="F14" s="23" t="inlineStr">
        <is>
          <t>Medium-High</t>
        </is>
      </c>
      <c r="G14" s="19" t="inlineStr">
        <is>
          <t>PKE</t>
        </is>
      </c>
      <c r="H14" s="20" t="inlineStr">
        <is>
          <t>Park Aerospace Corp.</t>
        </is>
      </c>
      <c r="I14" s="21" t="n">
        <v>678.5</v>
      </c>
      <c r="J14" s="22" t="n">
        <v>81.7</v>
      </c>
      <c r="K14" s="23" t="inlineStr">
        <is>
          <t>Medium-High</t>
        </is>
      </c>
      <c r="L14" s="19" t="inlineStr">
        <is>
          <t>RUN</t>
        </is>
      </c>
      <c r="M14" s="20" t="inlineStr">
        <is>
          <t>Sunrun Inc.</t>
        </is>
      </c>
      <c r="N14" s="21" t="n">
        <v>3185.8</v>
      </c>
      <c r="O14" s="28" t="n">
        <v>77.59999999999999</v>
      </c>
      <c r="P14" s="23" t="inlineStr">
        <is>
          <t>Medium-High</t>
        </is>
      </c>
    </row>
    <row r="15" ht="16" customHeight="1">
      <c r="B15" s="24" t="inlineStr">
        <is>
          <t>CODA</t>
        </is>
      </c>
      <c r="C15" s="25" t="inlineStr">
        <is>
          <t>Coda Octopus Group, Inc.</t>
        </is>
      </c>
      <c r="D15" s="26" t="n">
        <v>133.1</v>
      </c>
      <c r="E15" s="22" t="n">
        <v>80.8</v>
      </c>
      <c r="F15" s="23" t="inlineStr">
        <is>
          <t>Medium-High</t>
        </is>
      </c>
      <c r="G15" s="24" t="inlineStr">
        <is>
          <t>CMCO</t>
        </is>
      </c>
      <c r="H15" s="25" t="inlineStr">
        <is>
          <t>Columbus McKinnon Corporation</t>
        </is>
      </c>
      <c r="I15" s="26" t="n">
        <v>370.2</v>
      </c>
      <c r="J15" s="22" t="n">
        <v>81.2</v>
      </c>
      <c r="K15" s="23" t="inlineStr">
        <is>
          <t>Medium-High</t>
        </is>
      </c>
      <c r="L15" s="24" t="inlineStr">
        <is>
          <t>LYFT</t>
        </is>
      </c>
      <c r="M15" s="25" t="inlineStr">
        <is>
          <t>Lyft, Inc.</t>
        </is>
      </c>
      <c r="N15" s="26" t="n">
        <v>5182.7</v>
      </c>
      <c r="O15" s="28" t="n">
        <v>77.40000000000001</v>
      </c>
      <c r="P15" s="23" t="inlineStr">
        <is>
          <t>Medium-High</t>
        </is>
      </c>
    </row>
    <row r="16" ht="16" customHeight="1">
      <c r="B16" s="19" t="inlineStr">
        <is>
          <t>WSTL</t>
        </is>
      </c>
      <c r="C16" s="20" t="inlineStr">
        <is>
          <t>Westell Technologies, Inc.</t>
        </is>
      </c>
      <c r="D16" s="21" t="n">
        <v>75.90000000000001</v>
      </c>
      <c r="E16" s="22" t="n">
        <v>80.7</v>
      </c>
      <c r="F16" s="23" t="inlineStr">
        <is>
          <t>Medium-High</t>
        </is>
      </c>
      <c r="G16" s="19" t="inlineStr">
        <is>
          <t>CDRE</t>
        </is>
      </c>
      <c r="H16" s="20" t="inlineStr">
        <is>
          <t>Cadre Holdings, Inc.</t>
        </is>
      </c>
      <c r="I16" s="21" t="n">
        <v>1284.3</v>
      </c>
      <c r="J16" s="28" t="n">
        <v>79.5</v>
      </c>
      <c r="K16" s="23" t="inlineStr">
        <is>
          <t>Medium-High</t>
        </is>
      </c>
      <c r="L16" s="19" t="inlineStr">
        <is>
          <t>FELE</t>
        </is>
      </c>
      <c r="M16" s="20" t="inlineStr">
        <is>
          <t>Franklin Electric Co., Inc.</t>
        </is>
      </c>
      <c r="N16" s="21" t="n">
        <v>4354.6</v>
      </c>
      <c r="O16" s="28" t="n">
        <v>75.8</v>
      </c>
      <c r="P16" s="23" t="inlineStr">
        <is>
          <t>Medium-High</t>
        </is>
      </c>
    </row>
    <row r="19" ht="22" customHeight="1">
      <c r="B19" s="16" t="inlineStr">
        <is>
          <t>TOP PERFORMERS — Combined Score Ranking</t>
        </is>
      </c>
      <c r="C19" s="17" t="n"/>
      <c r="D19" s="17" t="n"/>
      <c r="E19" s="17" t="n"/>
      <c r="F19" s="17" t="n"/>
      <c r="G19" s="17" t="n"/>
      <c r="H19" s="17" t="n"/>
      <c r="I19" s="17" t="n"/>
      <c r="J19" s="17" t="n"/>
      <c r="K19" s="17" t="n"/>
      <c r="L19" s="17" t="n"/>
      <c r="M19" s="17" t="n"/>
      <c r="N19" s="17" t="n"/>
      <c r="O19" s="17" t="n"/>
      <c r="P19" s="17" t="n"/>
    </row>
    <row r="40">
      <c r="A40" s="29" t="inlineStr">
        <is>
          <t>Ticker</t>
        </is>
      </c>
      <c r="B40" s="29" t="inlineStr">
        <is>
          <t>Score</t>
        </is>
      </c>
      <c r="C40" s="29" t="inlineStr">
        <is>
          <t>Tier</t>
        </is>
      </c>
    </row>
    <row r="41">
      <c r="A41" t="inlineStr">
        <is>
          <t>KULR</t>
        </is>
      </c>
      <c r="B41" t="n">
        <v>91.3</v>
      </c>
      <c r="C41" t="inlineStr">
        <is>
          <t>Nano Cap</t>
        </is>
      </c>
    </row>
    <row r="42">
      <c r="A42" t="inlineStr">
        <is>
          <t>KVHI</t>
        </is>
      </c>
      <c r="B42" t="n">
        <v>86.8</v>
      </c>
      <c r="C42" t="inlineStr">
        <is>
          <t>Nano Cap</t>
        </is>
      </c>
    </row>
    <row r="43">
      <c r="A43" t="inlineStr">
        <is>
          <t>KRMN</t>
        </is>
      </c>
      <c r="B43" t="n">
        <v>84</v>
      </c>
      <c r="C43" t="inlineStr">
        <is>
          <t>Breakout</t>
        </is>
      </c>
    </row>
    <row r="44">
      <c r="A44" t="inlineStr">
        <is>
          <t>DSP</t>
        </is>
      </c>
      <c r="B44" t="n">
        <v>82.59999999999999</v>
      </c>
      <c r="C44" t="inlineStr">
        <is>
          <t>Small Cap</t>
        </is>
      </c>
    </row>
    <row r="45">
      <c r="A45" t="inlineStr">
        <is>
          <t>EVLV</t>
        </is>
      </c>
      <c r="B45" t="n">
        <v>82</v>
      </c>
      <c r="C45" t="inlineStr">
        <is>
          <t>Small Cap</t>
        </is>
      </c>
    </row>
    <row r="46">
      <c r="A46" t="inlineStr">
        <is>
          <t>PKE</t>
        </is>
      </c>
      <c r="B46" t="n">
        <v>81.7</v>
      </c>
      <c r="C46" t="inlineStr">
        <is>
          <t>Small Cap</t>
        </is>
      </c>
    </row>
    <row r="47">
      <c r="A47" t="inlineStr">
        <is>
          <t>INTT</t>
        </is>
      </c>
      <c r="B47" t="n">
        <v>81.59999999999999</v>
      </c>
      <c r="C47" t="inlineStr">
        <is>
          <t>Nano Cap</t>
        </is>
      </c>
    </row>
    <row r="48">
      <c r="A48" t="inlineStr">
        <is>
          <t>CMCO</t>
        </is>
      </c>
      <c r="B48" t="n">
        <v>81.2</v>
      </c>
      <c r="C48" t="inlineStr">
        <is>
          <t>Small Cap</t>
        </is>
      </c>
    </row>
    <row r="49">
      <c r="A49" t="inlineStr">
        <is>
          <t>CODA</t>
        </is>
      </c>
      <c r="B49" t="n">
        <v>80.8</v>
      </c>
      <c r="C49" t="inlineStr">
        <is>
          <t>Nano Cap</t>
        </is>
      </c>
    </row>
    <row r="50">
      <c r="A50" t="inlineStr">
        <is>
          <t>WSTL</t>
        </is>
      </c>
      <c r="B50" t="n">
        <v>80.7</v>
      </c>
      <c r="C50" t="inlineStr">
        <is>
          <t>Nano Cap</t>
        </is>
      </c>
    </row>
  </sheetData>
  <mergeCells count="19">
    <mergeCell ref="I6:J6"/>
    <mergeCell ref="B7:C7"/>
    <mergeCell ref="A1:P2"/>
    <mergeCell ref="F6:G6"/>
    <mergeCell ref="F7:G7"/>
    <mergeCell ref="D6:E6"/>
    <mergeCell ref="I7:J7"/>
    <mergeCell ref="B19:P19"/>
    <mergeCell ref="G10:K10"/>
    <mergeCell ref="M7:N7"/>
    <mergeCell ref="D7:E7"/>
    <mergeCell ref="M6:N6"/>
    <mergeCell ref="B10:F10"/>
    <mergeCell ref="L10:P10"/>
    <mergeCell ref="K3:P3"/>
    <mergeCell ref="B6:C6"/>
    <mergeCell ref="K7:L7"/>
    <mergeCell ref="A3:J3"/>
    <mergeCell ref="K6:L6"/>
  </mergeCells>
  <pageMargins left="0.75" right="0.75" top="1" bottom="1" header="0.5" footer="0.5"/>
  <pageSetup orientation="landscape" fitToWidth="1"/>
  <drawing xmlns:r="http://schemas.openxmlformats.org/officeDocument/2006/relationships" r:id="rId1"/>
</worksheet>
</file>

<file path=xl/worksheets/sheet2.xml><?xml version="1.0" encoding="utf-8"?>
<worksheet xmlns="http://schemas.openxmlformats.org/spreadsheetml/2006/main">
  <sheetPr>
    <tabColor rgb="004FC3F7"/>
    <outlinePr summaryBelow="1" summaryRight="1"/>
    <pageSetUpPr fitToPage="1"/>
  </sheetPr>
  <dimension ref="A1:V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Nano Cap ($50M–$300M)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10 by combined score  |  June 06,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16" customHeight="1">
      <c r="A5" s="32" t="n">
        <v>1</v>
      </c>
      <c r="B5" s="19" t="inlineStr">
        <is>
          <t>KULR</t>
        </is>
      </c>
      <c r="C5" s="20" t="inlineStr">
        <is>
          <t>KULR Technology Group, Inc.</t>
        </is>
      </c>
      <c r="D5" s="21" t="n">
        <v>176.2</v>
      </c>
      <c r="E5" s="33" t="n">
        <v>3.81</v>
      </c>
      <c r="F5" s="34" t="n">
        <v>0.9790000000000001</v>
      </c>
      <c r="G5" s="34" t="n">
        <v>0.972</v>
      </c>
      <c r="H5" s="34" t="n">
        <v>0.292</v>
      </c>
      <c r="I5" s="34" t="n">
        <v>-0.599</v>
      </c>
      <c r="J5" s="34" t="n">
        <v>0.045</v>
      </c>
      <c r="K5" s="35" t="n">
        <v>86.3</v>
      </c>
      <c r="L5" s="35" t="n">
        <v>98.90000000000001</v>
      </c>
      <c r="M5" s="36" t="n">
        <v>91.3</v>
      </c>
      <c r="N5" s="37" t="n">
        <v>50</v>
      </c>
      <c r="O5" s="38" t="inlineStr">
        <is>
          <t>—</t>
        </is>
      </c>
      <c r="P5" s="39" t="n">
        <v>15.6</v>
      </c>
      <c r="Q5" s="23" t="inlineStr">
        <is>
          <t>Medium-High</t>
        </is>
      </c>
      <c r="R5" s="34" t="n">
        <v>0.3655914</v>
      </c>
      <c r="S5" s="34" t="n">
        <v>0.2657807</v>
      </c>
      <c r="T5" s="34" t="n">
        <v>-0.0305344</v>
      </c>
      <c r="U5" s="34" t="n">
        <v>0.2871622</v>
      </c>
      <c r="V5" s="34" t="n">
        <v>-0.5670455</v>
      </c>
    </row>
    <row r="6" ht="16" customHeight="1">
      <c r="A6" s="32" t="n">
        <v>2</v>
      </c>
      <c r="B6" s="24" t="inlineStr">
        <is>
          <t>KVHI</t>
        </is>
      </c>
      <c r="C6" s="25" t="inlineStr">
        <is>
          <t>KVH Industries, Inc.</t>
        </is>
      </c>
      <c r="D6" s="26" t="n">
        <v>146.6</v>
      </c>
      <c r="E6" s="40" t="n">
        <v>7.52</v>
      </c>
      <c r="F6" s="41" t="n">
        <v>0.272</v>
      </c>
      <c r="G6" s="41" t="n">
        <v>0.386</v>
      </c>
      <c r="H6" s="41" t="n">
        <v>0.289</v>
      </c>
      <c r="I6" s="41" t="n">
        <v>0.009000000000000001</v>
      </c>
      <c r="J6" s="41" t="n">
        <v>0.35</v>
      </c>
      <c r="K6" s="42" t="n">
        <v>80.8</v>
      </c>
      <c r="L6" s="42" t="n">
        <v>95.90000000000001</v>
      </c>
      <c r="M6" s="43" t="n">
        <v>86.8</v>
      </c>
      <c r="N6" s="28" t="n">
        <v>66.5</v>
      </c>
      <c r="O6" s="44" t="inlineStr">
        <is>
          <t>—</t>
        </is>
      </c>
      <c r="P6" s="39" t="n">
        <v>22.3</v>
      </c>
      <c r="Q6" s="27" t="inlineStr">
        <is>
          <t>High</t>
        </is>
      </c>
      <c r="R6" s="41" t="n">
        <v>-0.2025451</v>
      </c>
      <c r="S6" s="41" t="n">
        <v>0.2533333</v>
      </c>
      <c r="T6" s="41" t="n">
        <v>0.2368421</v>
      </c>
      <c r="U6" s="41" t="n">
        <v>0.0789096</v>
      </c>
      <c r="V6" s="41" t="n">
        <v>0.463035</v>
      </c>
    </row>
    <row r="7" ht="16" customHeight="1">
      <c r="A7" s="32" t="n">
        <v>3</v>
      </c>
      <c r="B7" s="19" t="inlineStr">
        <is>
          <t>INTT</t>
        </is>
      </c>
      <c r="C7" s="20" t="inlineStr">
        <is>
          <t>inTEST Corporation</t>
        </is>
      </c>
      <c r="D7" s="21" t="n">
        <v>184.3</v>
      </c>
      <c r="E7" s="33" t="n">
        <v>14.67</v>
      </c>
      <c r="F7" s="34" t="n">
        <v>0.272</v>
      </c>
      <c r="G7" s="34" t="n">
        <v>0.488</v>
      </c>
      <c r="H7" s="34" t="n">
        <v>0.4320000000000001</v>
      </c>
      <c r="I7" s="34" t="n">
        <v>0.09</v>
      </c>
      <c r="J7" s="34" t="n">
        <v>0.135</v>
      </c>
      <c r="K7" s="35" t="n">
        <v>83.09999999999999</v>
      </c>
      <c r="L7" s="35" t="n">
        <v>96.8</v>
      </c>
      <c r="M7" s="36" t="n">
        <v>81.59999999999999</v>
      </c>
      <c r="N7" s="35" t="n">
        <v>40.8</v>
      </c>
      <c r="O7" s="38" t="inlineStr">
        <is>
          <t>—</t>
        </is>
      </c>
      <c r="P7" s="45" t="n">
        <v>55.9</v>
      </c>
      <c r="Q7" s="23" t="inlineStr">
        <is>
          <t>Medium-High</t>
        </is>
      </c>
      <c r="R7" s="34" t="n">
        <v>-0.1016534</v>
      </c>
      <c r="S7" s="34" t="n">
        <v>0.1096823</v>
      </c>
      <c r="T7" s="34" t="n">
        <v>0.8640407</v>
      </c>
      <c r="U7" s="34" t="n">
        <v>0.9638554</v>
      </c>
      <c r="V7" s="34" t="n">
        <v>1.3066038</v>
      </c>
    </row>
    <row r="8" ht="16" customHeight="1">
      <c r="A8" s="32" t="n">
        <v>4</v>
      </c>
      <c r="B8" s="24" t="inlineStr">
        <is>
          <t>CODA</t>
        </is>
      </c>
      <c r="C8" s="25" t="inlineStr">
        <is>
          <t>Coda Octopus Group, Inc.</t>
        </is>
      </c>
      <c r="D8" s="26" t="n">
        <v>133.1</v>
      </c>
      <c r="E8" s="40" t="n">
        <v>11.8</v>
      </c>
      <c r="F8" s="41" t="n">
        <v>0.288</v>
      </c>
      <c r="G8" s="41" t="n">
        <v>0.309</v>
      </c>
      <c r="H8" s="41" t="n">
        <v>0.6509999999999999</v>
      </c>
      <c r="I8" s="41" t="n">
        <v>0.024</v>
      </c>
      <c r="J8" s="41" t="n">
        <v>0.491</v>
      </c>
      <c r="K8" s="42" t="n">
        <v>87.3</v>
      </c>
      <c r="L8" s="42" t="n">
        <v>72.3</v>
      </c>
      <c r="M8" s="43" t="n">
        <v>80.8</v>
      </c>
      <c r="N8" s="28" t="n">
        <v>58</v>
      </c>
      <c r="O8" s="44" t="inlineStr">
        <is>
          <t>—</t>
        </is>
      </c>
      <c r="P8" s="45" t="n">
        <v>41.2</v>
      </c>
      <c r="Q8" s="23" t="inlineStr">
        <is>
          <t>Medium-High</t>
        </is>
      </c>
      <c r="R8" s="41" t="n">
        <v>0.0111397</v>
      </c>
      <c r="S8" s="41" t="n">
        <v>-0.1559371</v>
      </c>
      <c r="T8" s="41" t="n">
        <v>0.3736903</v>
      </c>
      <c r="U8" s="41" t="n">
        <v>0.2688172</v>
      </c>
      <c r="V8" s="41" t="n">
        <v>0.8910256</v>
      </c>
    </row>
    <row r="9" ht="16" customHeight="1">
      <c r="A9" s="32" t="n">
        <v>5</v>
      </c>
      <c r="B9" s="19" t="inlineStr">
        <is>
          <t>WSTL</t>
        </is>
      </c>
      <c r="C9" s="20" t="inlineStr">
        <is>
          <t>Westell Technologies, Inc.</t>
        </is>
      </c>
      <c r="D9" s="21" t="n">
        <v>75.90000000000001</v>
      </c>
      <c r="E9" s="33" t="n">
        <v>7.45</v>
      </c>
      <c r="F9" s="34" t="n">
        <v>0.466</v>
      </c>
      <c r="G9" s="34" t="n">
        <v>0.042</v>
      </c>
      <c r="H9" s="34" t="n">
        <v>0.411</v>
      </c>
      <c r="I9" s="34" t="n">
        <v>-0.113</v>
      </c>
      <c r="J9" s="34" t="n">
        <v>0.186</v>
      </c>
      <c r="K9" s="35" t="n">
        <v>92</v>
      </c>
      <c r="L9" s="35" t="n">
        <v>98.59999999999999</v>
      </c>
      <c r="M9" s="36" t="n">
        <v>80.7</v>
      </c>
      <c r="N9" s="28" t="n">
        <v>57.3</v>
      </c>
      <c r="O9" s="38" t="inlineStr">
        <is>
          <t>—</t>
        </is>
      </c>
      <c r="P9" s="45" t="n">
        <v>69.3</v>
      </c>
      <c r="Q9" s="23" t="inlineStr">
        <is>
          <t>Medium-High</t>
        </is>
      </c>
      <c r="R9" s="34" t="n">
        <v>0.1287879</v>
      </c>
      <c r="S9" s="34" t="n">
        <v>0.498994</v>
      </c>
      <c r="T9" s="34" t="n">
        <v>0.313933</v>
      </c>
      <c r="U9" s="34" t="n">
        <v>0.2563238</v>
      </c>
      <c r="V9" s="34" t="n">
        <v>1.5340136</v>
      </c>
    </row>
    <row r="10" ht="16" customHeight="1">
      <c r="A10" s="32" t="n">
        <v>6</v>
      </c>
      <c r="B10" s="24" t="inlineStr">
        <is>
          <t>SCTQ</t>
        </is>
      </c>
      <c r="C10" s="25" t="inlineStr">
        <is>
          <t>Spectra Systems Corporation</t>
        </is>
      </c>
      <c r="D10" s="26" t="n">
        <v>101.7</v>
      </c>
      <c r="E10" s="40" t="n">
        <v>2.13</v>
      </c>
      <c r="F10" s="41" t="n">
        <v>5.018</v>
      </c>
      <c r="G10" s="41" t="n">
        <v>0</v>
      </c>
      <c r="H10" s="41" t="n">
        <v>0.57</v>
      </c>
      <c r="I10" s="41" t="n">
        <v>0.052</v>
      </c>
      <c r="J10" s="41" t="n">
        <v>0.179</v>
      </c>
      <c r="K10" s="42" t="n">
        <v>84.8</v>
      </c>
      <c r="L10" s="42" t="n">
        <v>73.3</v>
      </c>
      <c r="M10" s="43" t="n">
        <v>80.2</v>
      </c>
      <c r="N10" s="28" t="n">
        <v>67.09999999999999</v>
      </c>
      <c r="O10" s="44" t="inlineStr">
        <is>
          <t>—</t>
        </is>
      </c>
      <c r="P10" s="39" t="n">
        <v>20.5</v>
      </c>
      <c r="Q10" s="23" t="inlineStr">
        <is>
          <t>Medium-High</t>
        </is>
      </c>
      <c r="R10" s="41" t="n">
        <v>0</v>
      </c>
      <c r="S10" s="41" t="n">
        <v>0.0492611</v>
      </c>
      <c r="T10" s="41" t="n">
        <v>0.0492611</v>
      </c>
      <c r="U10" s="41" t="n">
        <v>0.0492611</v>
      </c>
      <c r="V10" s="41" t="n">
        <v>0.0492611</v>
      </c>
    </row>
    <row r="11" ht="16" customHeight="1">
      <c r="A11" s="32" t="n">
        <v>7</v>
      </c>
      <c r="B11" s="19" t="inlineStr">
        <is>
          <t>ESP</t>
        </is>
      </c>
      <c r="C11" s="20" t="inlineStr">
        <is>
          <t>Espey Mfg. &amp; Electronics Corp.</t>
        </is>
      </c>
      <c r="D11" s="21" t="n">
        <v>165.6</v>
      </c>
      <c r="E11" s="33" t="n">
        <v>55.28</v>
      </c>
      <c r="F11" s="34" t="n">
        <v>0.109</v>
      </c>
      <c r="G11" s="34" t="n">
        <v>0.222</v>
      </c>
      <c r="H11" s="34" t="n">
        <v>0.37</v>
      </c>
      <c r="I11" s="34" t="n">
        <v>0.131</v>
      </c>
      <c r="J11" s="34" t="n">
        <v>0.291</v>
      </c>
      <c r="K11" s="35" t="n">
        <v>68.59999999999999</v>
      </c>
      <c r="L11" s="35" t="n">
        <v>93.3</v>
      </c>
      <c r="M11" s="36" t="n">
        <v>78.5</v>
      </c>
      <c r="N11" s="28" t="n">
        <v>60.9</v>
      </c>
      <c r="O11" s="38" t="inlineStr">
        <is>
          <t>—</t>
        </is>
      </c>
      <c r="P11" s="39" t="n">
        <v>34.2</v>
      </c>
      <c r="Q11" s="23" t="inlineStr">
        <is>
          <t>Medium-High</t>
        </is>
      </c>
      <c r="R11" s="34" t="n">
        <v>-0.211862</v>
      </c>
      <c r="S11" s="34" t="n">
        <v>0.0235142</v>
      </c>
      <c r="T11" s="34" t="n">
        <v>0.2997884</v>
      </c>
      <c r="U11" s="34" t="n">
        <v>0.1729259</v>
      </c>
      <c r="V11" s="34" t="n">
        <v>0.4597307</v>
      </c>
    </row>
    <row r="12" ht="16" customHeight="1">
      <c r="A12" s="32" t="n">
        <v>8</v>
      </c>
      <c r="B12" s="24" t="inlineStr">
        <is>
          <t>BZAI</t>
        </is>
      </c>
      <c r="C12" s="25" t="inlineStr">
        <is>
          <t>Blaize Holdings, Inc.</t>
        </is>
      </c>
      <c r="D12" s="26" t="n">
        <v>185.6</v>
      </c>
      <c r="E12" s="40" t="n">
        <v>1.66</v>
      </c>
      <c r="F12" s="41" t="n">
        <v>1.719</v>
      </c>
      <c r="G12" s="41" t="n">
        <v>-1.797</v>
      </c>
      <c r="H12" s="41" t="n">
        <v>0.508</v>
      </c>
      <c r="I12" s="41" t="n">
        <v>-0.362</v>
      </c>
      <c r="J12" s="41" t="n">
        <v>0.517</v>
      </c>
      <c r="K12" s="42" t="n">
        <v>85</v>
      </c>
      <c r="L12" s="42" t="n">
        <v>63.5</v>
      </c>
      <c r="M12" s="43" t="n">
        <v>76.40000000000001</v>
      </c>
      <c r="N12" s="37" t="n">
        <v>50</v>
      </c>
      <c r="O12" s="44" t="inlineStr">
        <is>
          <t>—</t>
        </is>
      </c>
      <c r="P12" s="39" t="n">
        <v>9.4</v>
      </c>
      <c r="Q12" s="23" t="inlineStr">
        <is>
          <t>Medium-High</t>
        </is>
      </c>
      <c r="R12" s="41" t="n">
        <v>-0.2813853</v>
      </c>
      <c r="S12" s="41" t="n">
        <v>0.4188034</v>
      </c>
      <c r="T12" s="41" t="n">
        <v>-0.3112033</v>
      </c>
      <c r="U12" s="41" t="n">
        <v>-0.1487179</v>
      </c>
      <c r="V12" s="41" t="n">
        <v>-0.3615385</v>
      </c>
    </row>
    <row r="13" ht="16" customHeight="1">
      <c r="A13" s="32" t="n">
        <v>9</v>
      </c>
      <c r="B13" s="19" t="inlineStr">
        <is>
          <t>TAYD</t>
        </is>
      </c>
      <c r="C13" s="20" t="inlineStr">
        <is>
          <t>Taylor Devices, Inc.</t>
        </is>
      </c>
      <c r="D13" s="21" t="n">
        <v>170.7</v>
      </c>
      <c r="E13" s="33" t="n">
        <v>53.03</v>
      </c>
      <c r="F13" s="34" t="n">
        <v>0.058</v>
      </c>
      <c r="G13" s="34" t="n">
        <v>0.182</v>
      </c>
      <c r="H13" s="34" t="n">
        <v>0.402</v>
      </c>
      <c r="I13" s="34" t="n">
        <v>-0.104</v>
      </c>
      <c r="J13" s="34" t="n">
        <v>0.025</v>
      </c>
      <c r="K13" s="35" t="n">
        <v>61.6</v>
      </c>
      <c r="L13" s="35" t="n">
        <v>96.5</v>
      </c>
      <c r="M13" s="36" t="n">
        <v>75.59999999999999</v>
      </c>
      <c r="N13" s="28" t="n">
        <v>59.3</v>
      </c>
      <c r="O13" s="38" t="inlineStr">
        <is>
          <t>—</t>
        </is>
      </c>
      <c r="P13" s="39" t="n">
        <v>29.6</v>
      </c>
      <c r="Q13" s="23" t="inlineStr">
        <is>
          <t>Medium-High</t>
        </is>
      </c>
      <c r="R13" s="34" t="n">
        <v>-0.0410488</v>
      </c>
      <c r="S13" s="34" t="n">
        <v>-0.3890553</v>
      </c>
      <c r="T13" s="34" t="n">
        <v>0.1157164</v>
      </c>
      <c r="U13" s="34" t="n">
        <v>-0.09288399999999999</v>
      </c>
      <c r="V13" s="34" t="n">
        <v>0.4783942</v>
      </c>
    </row>
    <row r="14" ht="16" customHeight="1">
      <c r="A14" s="32" t="n">
        <v>10</v>
      </c>
      <c r="B14" s="24" t="inlineStr">
        <is>
          <t>BYRN</t>
        </is>
      </c>
      <c r="C14" s="25" t="inlineStr">
        <is>
          <t>Byrna Technologies Inc.</t>
        </is>
      </c>
      <c r="D14" s="26" t="n">
        <v>134.3</v>
      </c>
      <c r="E14" s="40" t="n">
        <v>5.92</v>
      </c>
      <c r="F14" s="41" t="n">
        <v>0.109</v>
      </c>
      <c r="G14" s="41" t="n">
        <v>-0.183</v>
      </c>
      <c r="H14" s="41" t="n">
        <v>0.599</v>
      </c>
      <c r="I14" s="41" t="n">
        <v>0.03700000000000001</v>
      </c>
      <c r="J14" s="41" t="n">
        <v>0.217</v>
      </c>
      <c r="K14" s="42" t="n">
        <v>62.2</v>
      </c>
      <c r="L14" s="42" t="n">
        <v>91.5</v>
      </c>
      <c r="M14" s="43" t="n">
        <v>73.90000000000001</v>
      </c>
      <c r="N14" s="22" t="n">
        <v>70.5</v>
      </c>
      <c r="O14" s="44" t="inlineStr">
        <is>
          <t>—</t>
        </is>
      </c>
      <c r="P14" s="39" t="n">
        <v>3.2</v>
      </c>
      <c r="Q14" s="46" t="inlineStr">
        <is>
          <t>Medium</t>
        </is>
      </c>
      <c r="R14" s="41" t="n">
        <v>0.0942699</v>
      </c>
      <c r="S14" s="41" t="n">
        <v>-0.5264</v>
      </c>
      <c r="T14" s="41" t="n">
        <v>-0.6990341</v>
      </c>
      <c r="U14" s="41" t="n">
        <v>-0.6474092</v>
      </c>
      <c r="V14" s="41" t="n">
        <v>-0.7771922999999999</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KULR</t>
        </is>
      </c>
      <c r="B19" s="35" t="n">
        <v>100</v>
      </c>
      <c r="C19" s="35" t="n">
        <v>73</v>
      </c>
      <c r="D19" s="35" t="n">
        <v>100</v>
      </c>
      <c r="E19" s="35" t="n">
        <v>45</v>
      </c>
      <c r="F19" s="35" t="n">
        <v>100</v>
      </c>
    </row>
    <row r="20" ht="16" customHeight="1">
      <c r="A20" s="24" t="inlineStr">
        <is>
          <t>KVHI</t>
        </is>
      </c>
      <c r="B20" s="42" t="n">
        <v>54.4</v>
      </c>
      <c r="C20" s="42" t="n">
        <v>72.2</v>
      </c>
      <c r="D20" s="42" t="n">
        <v>100</v>
      </c>
      <c r="E20" s="42" t="n">
        <v>100</v>
      </c>
      <c r="F20" s="42" t="n">
        <v>100</v>
      </c>
    </row>
    <row r="21" ht="16" customHeight="1">
      <c r="A21" s="19" t="inlineStr">
        <is>
          <t>INTT</t>
        </is>
      </c>
      <c r="B21" s="35" t="n">
        <v>54.4</v>
      </c>
      <c r="C21" s="35" t="n">
        <v>100</v>
      </c>
      <c r="D21" s="35" t="n">
        <v>84</v>
      </c>
      <c r="E21" s="35" t="n">
        <v>100</v>
      </c>
      <c r="F21" s="35" t="n">
        <v>100</v>
      </c>
    </row>
    <row r="22" ht="16" customHeight="1">
      <c r="A22" s="24" t="inlineStr">
        <is>
          <t>CODA</t>
        </is>
      </c>
      <c r="B22" s="42" t="n">
        <v>57.6</v>
      </c>
      <c r="C22" s="42" t="n">
        <v>100</v>
      </c>
      <c r="D22" s="42" t="n">
        <v>100</v>
      </c>
      <c r="E22" s="42" t="n">
        <v>100</v>
      </c>
      <c r="F22" s="42" t="n">
        <v>100</v>
      </c>
    </row>
    <row r="23" ht="16" customHeight="1">
      <c r="A23" s="19" t="inlineStr">
        <is>
          <t>WSTL</t>
        </is>
      </c>
      <c r="B23" s="35" t="n">
        <v>93.2</v>
      </c>
      <c r="C23" s="35" t="n">
        <v>100</v>
      </c>
      <c r="D23" s="35" t="n">
        <v>100</v>
      </c>
      <c r="E23" s="35" t="n">
        <v>100</v>
      </c>
      <c r="F23" s="35" t="n">
        <v>60.5</v>
      </c>
    </row>
    <row r="24" ht="16" customHeight="1">
      <c r="A24" s="24" t="inlineStr">
        <is>
          <t>SCTQ</t>
        </is>
      </c>
      <c r="B24" s="42" t="n">
        <v>100</v>
      </c>
      <c r="C24" s="42" t="n">
        <v>100</v>
      </c>
      <c r="D24" s="42" t="n">
        <v>99.2</v>
      </c>
      <c r="E24" s="42" t="n">
        <v>100</v>
      </c>
      <c r="F24" s="42" t="n">
        <v>50</v>
      </c>
    </row>
    <row r="25" ht="16" customHeight="1">
      <c r="A25" s="19" t="inlineStr">
        <is>
          <t>ESP</t>
        </is>
      </c>
      <c r="B25" s="35" t="n">
        <v>21.8</v>
      </c>
      <c r="C25" s="35" t="n">
        <v>92.5</v>
      </c>
      <c r="D25" s="35" t="n">
        <v>67.59999999999999</v>
      </c>
      <c r="E25" s="35" t="n">
        <v>100</v>
      </c>
      <c r="F25" s="35" t="n">
        <v>100</v>
      </c>
    </row>
    <row r="26" ht="16" customHeight="1">
      <c r="A26" s="24" t="inlineStr">
        <is>
          <t>BZAI</t>
        </is>
      </c>
      <c r="B26" s="42" t="n">
        <v>100</v>
      </c>
      <c r="C26" s="42" t="n">
        <v>100</v>
      </c>
      <c r="D26" s="42" t="n">
        <v>100</v>
      </c>
      <c r="E26" s="42" t="n">
        <v>100</v>
      </c>
      <c r="F26" s="42" t="n">
        <v>0</v>
      </c>
    </row>
    <row r="27" ht="16" customHeight="1">
      <c r="A27" s="19" t="inlineStr">
        <is>
          <t>TAYD</t>
        </is>
      </c>
      <c r="B27" s="35" t="n">
        <v>11.6</v>
      </c>
      <c r="C27" s="35" t="n">
        <v>100</v>
      </c>
      <c r="D27" s="35" t="n">
        <v>100</v>
      </c>
      <c r="E27" s="35" t="n">
        <v>25</v>
      </c>
      <c r="F27" s="35" t="n">
        <v>95.5</v>
      </c>
    </row>
    <row r="28" ht="16" customHeight="1">
      <c r="A28" s="24" t="inlineStr">
        <is>
          <t>BYRN</t>
        </is>
      </c>
      <c r="B28" s="42" t="n">
        <v>21.8</v>
      </c>
      <c r="C28" s="42" t="n">
        <v>100</v>
      </c>
      <c r="D28" s="42" t="n">
        <v>100</v>
      </c>
      <c r="E28" s="42" t="n">
        <v>100</v>
      </c>
      <c r="F28" s="42" t="n">
        <v>4.2</v>
      </c>
    </row>
    <row r="60">
      <c r="A60" t="inlineStr">
        <is>
          <t>Ticker</t>
        </is>
      </c>
      <c r="B60" t="inlineStr">
        <is>
          <t>Gross Margin</t>
        </is>
      </c>
      <c r="C60" t="inlineStr">
        <is>
          <t>Rev Growth</t>
        </is>
      </c>
      <c r="D60" t="inlineStr">
        <is>
          <t>Mkt Cap</t>
        </is>
      </c>
    </row>
    <row r="61">
      <c r="A61" t="inlineStr">
        <is>
          <t>KULR</t>
        </is>
      </c>
      <c r="B61" t="n">
        <v>29.2</v>
      </c>
      <c r="C61" t="n">
        <v>97.90000000000001</v>
      </c>
      <c r="D61" t="n">
        <v>176.2</v>
      </c>
    </row>
    <row r="62">
      <c r="A62" t="inlineStr">
        <is>
          <t>KVHI</t>
        </is>
      </c>
      <c r="B62" t="n">
        <v>28.9</v>
      </c>
      <c r="C62" t="n">
        <v>27.2</v>
      </c>
      <c r="D62" t="n">
        <v>146.6</v>
      </c>
    </row>
    <row r="63">
      <c r="A63" t="inlineStr">
        <is>
          <t>INTT</t>
        </is>
      </c>
      <c r="B63" t="n">
        <v>43.2</v>
      </c>
      <c r="C63" t="n">
        <v>27.2</v>
      </c>
      <c r="D63" t="n">
        <v>184.3</v>
      </c>
    </row>
    <row r="64">
      <c r="A64" t="inlineStr">
        <is>
          <t>CODA</t>
        </is>
      </c>
      <c r="B64" t="n">
        <v>65.09999999999999</v>
      </c>
      <c r="C64" t="n">
        <v>28.8</v>
      </c>
      <c r="D64" t="n">
        <v>133.1</v>
      </c>
    </row>
    <row r="65">
      <c r="A65" t="inlineStr">
        <is>
          <t>WSTL</t>
        </is>
      </c>
      <c r="B65" t="n">
        <v>41.1</v>
      </c>
      <c r="C65" t="n">
        <v>46.6</v>
      </c>
      <c r="D65" t="n">
        <v>75.90000000000001</v>
      </c>
    </row>
    <row r="66">
      <c r="A66" t="inlineStr">
        <is>
          <t>SCTQ</t>
        </is>
      </c>
      <c r="B66" t="n">
        <v>57</v>
      </c>
      <c r="C66" t="n">
        <v>501.8</v>
      </c>
      <c r="D66" t="n">
        <v>101.7</v>
      </c>
    </row>
    <row r="67">
      <c r="A67" t="inlineStr">
        <is>
          <t>ESP</t>
        </is>
      </c>
      <c r="B67" t="n">
        <v>37</v>
      </c>
      <c r="C67" t="n">
        <v>10.9</v>
      </c>
      <c r="D67" t="n">
        <v>165.6</v>
      </c>
    </row>
    <row r="68">
      <c r="A68" t="inlineStr">
        <is>
          <t>BZAI</t>
        </is>
      </c>
      <c r="B68" t="n">
        <v>50.8</v>
      </c>
      <c r="C68" t="n">
        <v>171.9</v>
      </c>
      <c r="D68" t="n">
        <v>185.6</v>
      </c>
    </row>
    <row r="69">
      <c r="A69" t="inlineStr">
        <is>
          <t>TAYD</t>
        </is>
      </c>
      <c r="B69" t="n">
        <v>40.2</v>
      </c>
      <c r="C69" t="n">
        <v>5.8</v>
      </c>
      <c r="D69" t="n">
        <v>170.7</v>
      </c>
    </row>
    <row r="70">
      <c r="A70" t="inlineStr">
        <is>
          <t>BYRN</t>
        </is>
      </c>
      <c r="B70" t="n">
        <v>59.9</v>
      </c>
      <c r="C70" t="n">
        <v>10.9</v>
      </c>
      <c r="D70" t="n">
        <v>134.3</v>
      </c>
    </row>
  </sheetData>
  <mergeCells count="3">
    <mergeCell ref="A2:V2"/>
    <mergeCell ref="A1:V1"/>
    <mergeCell ref="A17:V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num" val="0"/>
        <cfvo type="num" val="50"/>
        <cfvo type="num" val="100"/>
        <color rgb="00C1121F"/>
        <color rgb="00F9C74F"/>
        <color rgb="001A6B3C"/>
      </colorScale>
    </cfRule>
  </conditionalFormatting>
  <conditionalFormatting sqref="P5:P14">
    <cfRule type="colorScale" priority="5">
      <colorScale>
        <cfvo type="min"/>
        <cfvo type="max"/>
        <color rgb="002A9D8F"/>
        <color rgb="00E76F51"/>
      </colorScale>
    </cfRule>
  </conditionalFormatting>
  <conditionalFormatting sqref="F5:F14">
    <cfRule type="colorScale" priority="6">
      <colorScale>
        <cfvo type="min"/>
        <cfvo type="max"/>
        <color rgb="00FFFFFF"/>
        <color rgb="002A9D8F"/>
      </colorScale>
    </cfRule>
  </conditionalFormatting>
  <conditionalFormatting sqref="H5:H14">
    <cfRule type="colorScale" priority="7">
      <colorScale>
        <cfvo type="min"/>
        <cfvo type="max"/>
        <color rgb="00FFFFFF"/>
        <color rgb="002A9D8F"/>
      </colorScale>
    </cfRule>
  </conditionalFormatting>
  <conditionalFormatting sqref="I5:I14">
    <cfRule type="colorScale" priority="8">
      <colorScale>
        <cfvo type="min"/>
        <cfvo type="max"/>
        <color rgb="002A9D8F"/>
        <color rgb="00E76F51"/>
      </colorScale>
    </cfRule>
  </conditionalFormatting>
  <conditionalFormatting sqref="J5:J14">
    <cfRule type="colorScale" priority="9">
      <colorScale>
        <cfvo type="min"/>
        <cfvo type="max"/>
        <color rgb="00FFFFFF"/>
        <color rgb="002A9D8F"/>
      </colorScale>
    </cfRule>
  </conditionalFormatting>
  <conditionalFormatting sqref="R5:R14">
    <cfRule type="colorScale" priority="10">
      <colorScale>
        <cfvo type="min"/>
        <cfvo type="num" val="0"/>
        <cfvo type="max"/>
        <color rgb="00E76F51"/>
        <color rgb="00FFFFFF"/>
        <color rgb="002A9D8F"/>
      </colorScale>
    </cfRule>
  </conditionalFormatting>
  <conditionalFormatting sqref="S5:S14">
    <cfRule type="colorScale" priority="11">
      <colorScale>
        <cfvo type="min"/>
        <cfvo type="num" val="0"/>
        <cfvo type="max"/>
        <color rgb="00E76F51"/>
        <color rgb="00FFFFFF"/>
        <color rgb="002A9D8F"/>
      </colorScale>
    </cfRule>
  </conditionalFormatting>
  <conditionalFormatting sqref="T5:T14">
    <cfRule type="colorScale" priority="12">
      <colorScale>
        <cfvo type="min"/>
        <cfvo type="num" val="0"/>
        <cfvo type="max"/>
        <color rgb="00E76F51"/>
        <color rgb="00FFFFFF"/>
        <color rgb="002A9D8F"/>
      </colorScale>
    </cfRule>
  </conditionalFormatting>
  <conditionalFormatting sqref="U5:U14">
    <cfRule type="colorScale" priority="13">
      <colorScale>
        <cfvo type="min"/>
        <cfvo type="num" val="0"/>
        <cfvo type="max"/>
        <color rgb="00E76F51"/>
        <color rgb="00FFFFFF"/>
        <color rgb="002A9D8F"/>
      </colorScale>
    </cfRule>
  </conditionalFormatting>
  <conditionalFormatting sqref="V5:V14">
    <cfRule type="colorScale" priority="14">
      <colorScale>
        <cfvo type="min"/>
        <cfvo type="num" val="0"/>
        <cfvo type="max"/>
        <color rgb="00E76F51"/>
        <color rgb="00FFFFFF"/>
        <color rgb="002A9D8F"/>
      </colorScale>
    </cfRule>
  </conditionalFormatting>
  <conditionalFormatting sqref="B19:B28">
    <cfRule type="colorScale" priority="15">
      <colorScale>
        <cfvo type="num" val="0"/>
        <cfvo type="num" val="50"/>
        <cfvo type="num" val="100"/>
        <color rgb="00C1121F"/>
        <color rgb="00F9C74F"/>
        <color rgb="001A6B3C"/>
      </colorScale>
    </cfRule>
  </conditionalFormatting>
  <conditionalFormatting sqref="C19:C28">
    <cfRule type="colorScale" priority="16">
      <colorScale>
        <cfvo type="num" val="0"/>
        <cfvo type="num" val="50"/>
        <cfvo type="num" val="100"/>
        <color rgb="00C1121F"/>
        <color rgb="00F9C74F"/>
        <color rgb="001A6B3C"/>
      </colorScale>
    </cfRule>
  </conditionalFormatting>
  <conditionalFormatting sqref="D19:D28">
    <cfRule type="colorScale" priority="17">
      <colorScale>
        <cfvo type="num" val="0"/>
        <cfvo type="num" val="50"/>
        <cfvo type="num" val="100"/>
        <color rgb="00C1121F"/>
        <color rgb="00F9C74F"/>
        <color rgb="001A6B3C"/>
      </colorScale>
    </cfRule>
  </conditionalFormatting>
  <conditionalFormatting sqref="E19:E28">
    <cfRule type="colorScale" priority="18">
      <colorScale>
        <cfvo type="num" val="0"/>
        <cfvo type="num" val="50"/>
        <cfvo type="num" val="100"/>
        <color rgb="00C1121F"/>
        <color rgb="00F9C74F"/>
        <color rgb="001A6B3C"/>
      </colorScale>
    </cfRule>
  </conditionalFormatting>
  <conditionalFormatting sqref="F19:F28">
    <cfRule type="colorScale" priority="19">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3.xml><?xml version="1.0" encoding="utf-8"?>
<worksheet xmlns="http://schemas.openxmlformats.org/spreadsheetml/2006/main">
  <sheetPr>
    <tabColor rgb="002A9D8F"/>
    <outlinePr summaryBelow="1" summaryRight="1"/>
    <pageSetUpPr fitToPage="1"/>
  </sheetPr>
  <dimension ref="A1:V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Small Cap ($300M–$2B)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10 by combined score  |  June 06,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16" customHeight="1">
      <c r="A5" s="32" t="n">
        <v>1</v>
      </c>
      <c r="B5" s="19" t="inlineStr">
        <is>
          <t>DSP</t>
        </is>
      </c>
      <c r="C5" s="20" t="inlineStr">
        <is>
          <t>Viant Technology Inc.</t>
        </is>
      </c>
      <c r="D5" s="21" t="n">
        <v>794.6</v>
      </c>
      <c r="E5" s="33" t="n">
        <v>12.11</v>
      </c>
      <c r="F5" s="34" t="n">
        <v>0.253</v>
      </c>
      <c r="G5" s="34" t="n">
        <v>0.18</v>
      </c>
      <c r="H5" s="34" t="n">
        <v>0.835</v>
      </c>
      <c r="I5" s="34" t="n">
        <v>0.003</v>
      </c>
      <c r="J5" s="34" t="n">
        <v>0.184</v>
      </c>
      <c r="K5" s="35" t="n">
        <v>84.40000000000001</v>
      </c>
      <c r="L5" s="35" t="n">
        <v>80</v>
      </c>
      <c r="M5" s="36" t="n">
        <v>82.59999999999999</v>
      </c>
      <c r="N5" s="28" t="n">
        <v>58.8</v>
      </c>
      <c r="O5" s="38" t="inlineStr">
        <is>
          <t>—</t>
        </is>
      </c>
      <c r="P5" s="39" t="n">
        <v>23.5</v>
      </c>
      <c r="Q5" s="23" t="inlineStr">
        <is>
          <t>Medium-High</t>
        </is>
      </c>
      <c r="R5" s="34" t="n">
        <v>0.039485</v>
      </c>
      <c r="S5" s="34" t="n">
        <v>0.1296642</v>
      </c>
      <c r="T5" s="34" t="n">
        <v>0.0802855</v>
      </c>
      <c r="U5" s="34" t="n">
        <v>0.0058139535</v>
      </c>
      <c r="V5" s="34" t="n">
        <v>-0.1179898</v>
      </c>
    </row>
    <row r="6" ht="16" customHeight="1">
      <c r="A6" s="32" t="n">
        <v>2</v>
      </c>
      <c r="B6" s="24" t="inlineStr">
        <is>
          <t>EVLV</t>
        </is>
      </c>
      <c r="C6" s="25" t="inlineStr">
        <is>
          <t>Evolv Technologies Holdings, Inc.</t>
        </is>
      </c>
      <c r="D6" s="26" t="n">
        <v>1063</v>
      </c>
      <c r="E6" s="40" t="n">
        <v>5.91</v>
      </c>
      <c r="F6" s="41" t="n">
        <v>0.447</v>
      </c>
      <c r="G6" s="41" t="n">
        <v>0.194</v>
      </c>
      <c r="H6" s="41" t="n">
        <v>0.514</v>
      </c>
      <c r="I6" s="41" t="n">
        <v>0.189</v>
      </c>
      <c r="J6" s="41" t="n">
        <v>0.051</v>
      </c>
      <c r="K6" s="42" t="n">
        <v>78.09999999999999</v>
      </c>
      <c r="L6" s="42" t="n">
        <v>87.8</v>
      </c>
      <c r="M6" s="43" t="n">
        <v>82</v>
      </c>
      <c r="N6" s="37" t="n">
        <v>50</v>
      </c>
      <c r="O6" s="44" t="inlineStr">
        <is>
          <t>—</t>
        </is>
      </c>
      <c r="P6" s="39" t="n">
        <v>12.4</v>
      </c>
      <c r="Q6" s="23" t="inlineStr">
        <is>
          <t>Medium-High</t>
        </is>
      </c>
      <c r="R6" s="41" t="n">
        <v>-0.1825726</v>
      </c>
      <c r="S6" s="41" t="n">
        <v>0.1387283</v>
      </c>
      <c r="T6" s="41" t="n">
        <v>-0.113943</v>
      </c>
      <c r="U6" s="41" t="n">
        <v>-0.174581</v>
      </c>
      <c r="V6" s="41" t="n">
        <v>0.1150943</v>
      </c>
    </row>
    <row r="7" ht="16" customHeight="1">
      <c r="A7" s="32" t="n">
        <v>3</v>
      </c>
      <c r="B7" s="19" t="inlineStr">
        <is>
          <t>PKE</t>
        </is>
      </c>
      <c r="C7" s="20" t="inlineStr">
        <is>
          <t>Park Aerospace Corp.</t>
        </is>
      </c>
      <c r="D7" s="21" t="n">
        <v>678.5</v>
      </c>
      <c r="E7" s="33" t="n">
        <v>32.5</v>
      </c>
      <c r="F7" s="34" t="n">
        <v>0.428</v>
      </c>
      <c r="G7" s="34" t="n">
        <v>0.215</v>
      </c>
      <c r="H7" s="34" t="n">
        <v>0.287</v>
      </c>
      <c r="I7" s="34" t="n">
        <v>-0.014</v>
      </c>
      <c r="J7" s="34" t="n">
        <v>0.09300000000000001</v>
      </c>
      <c r="K7" s="35" t="n">
        <v>89</v>
      </c>
      <c r="L7" s="35" t="n">
        <v>100</v>
      </c>
      <c r="M7" s="36" t="n">
        <v>81.7</v>
      </c>
      <c r="N7" s="28" t="n">
        <v>67.8</v>
      </c>
      <c r="O7" s="38" t="inlineStr">
        <is>
          <t>—</t>
        </is>
      </c>
      <c r="P7" s="45" t="n">
        <v>65.09999999999999</v>
      </c>
      <c r="Q7" s="23" t="inlineStr">
        <is>
          <t>Medium-High</t>
        </is>
      </c>
      <c r="R7" s="34" t="n">
        <v>-0.0373223</v>
      </c>
      <c r="S7" s="34" t="n">
        <v>0.1896047</v>
      </c>
      <c r="T7" s="34" t="n">
        <v>0.6615542000000001</v>
      </c>
      <c r="U7" s="34" t="n">
        <v>0.5229616</v>
      </c>
      <c r="V7" s="34" t="n">
        <v>1.3297491</v>
      </c>
    </row>
    <row r="8" ht="16" customHeight="1">
      <c r="A8" s="32" t="n">
        <v>4</v>
      </c>
      <c r="B8" s="24" t="inlineStr">
        <is>
          <t>CMCO</t>
        </is>
      </c>
      <c r="C8" s="25" t="inlineStr">
        <is>
          <t>Columbus McKinnon Corporation</t>
        </is>
      </c>
      <c r="D8" s="26" t="n">
        <v>370.2</v>
      </c>
      <c r="E8" s="40" t="n">
        <v>12.88</v>
      </c>
      <c r="F8" s="41" t="n">
        <v>3.578</v>
      </c>
      <c r="G8" s="41" t="n">
        <v>3.548</v>
      </c>
      <c r="H8" s="41" t="n">
        <v>0.281</v>
      </c>
      <c r="I8" s="41" t="n">
        <v>0.002</v>
      </c>
      <c r="J8" s="41" t="n">
        <v>0.028</v>
      </c>
      <c r="K8" s="42" t="n">
        <v>83.2</v>
      </c>
      <c r="L8" s="42" t="n">
        <v>78.2</v>
      </c>
      <c r="M8" s="43" t="n">
        <v>81.2</v>
      </c>
      <c r="N8" s="42" t="n">
        <v>47</v>
      </c>
      <c r="O8" s="44" t="inlineStr">
        <is>
          <t>—</t>
        </is>
      </c>
      <c r="P8" s="39" t="n">
        <v>0.2</v>
      </c>
      <c r="Q8" s="23" t="inlineStr">
        <is>
          <t>Medium-High</t>
        </is>
      </c>
      <c r="R8" s="41" t="n">
        <v>-0.1592689</v>
      </c>
      <c r="S8" s="41" t="n">
        <v>-0.301897</v>
      </c>
      <c r="T8" s="41" t="n">
        <v>-0.2489796</v>
      </c>
      <c r="U8" s="41" t="n">
        <v>-0.2533333</v>
      </c>
      <c r="V8" s="41" t="n">
        <v>-0.1326599</v>
      </c>
    </row>
    <row r="9" ht="16" customHeight="1">
      <c r="A9" s="32" t="n">
        <v>5</v>
      </c>
      <c r="B9" s="19" t="inlineStr">
        <is>
          <t>CDRE</t>
        </is>
      </c>
      <c r="C9" s="20" t="inlineStr">
        <is>
          <t>Cadre Holdings, Inc.</t>
        </is>
      </c>
      <c r="D9" s="21" t="n">
        <v>1284.3</v>
      </c>
      <c r="E9" s="33" t="n">
        <v>30.01</v>
      </c>
      <c r="F9" s="34" t="n">
        <v>0.195</v>
      </c>
      <c r="G9" s="34" t="n">
        <v>0.293</v>
      </c>
      <c r="H9" s="34" t="n">
        <v>0.377</v>
      </c>
      <c r="I9" s="34" t="n">
        <v>0.132</v>
      </c>
      <c r="J9" s="34" t="n">
        <v>0.35</v>
      </c>
      <c r="K9" s="35" t="n">
        <v>74</v>
      </c>
      <c r="L9" s="35" t="n">
        <v>87.8</v>
      </c>
      <c r="M9" s="36" t="n">
        <v>79.5</v>
      </c>
      <c r="N9" s="35" t="n">
        <v>47.6</v>
      </c>
      <c r="O9" s="38" t="inlineStr">
        <is>
          <t>—</t>
        </is>
      </c>
      <c r="P9" s="39" t="n">
        <v>8.199999999999999</v>
      </c>
      <c r="Q9" s="23" t="inlineStr">
        <is>
          <t>Medium-High</t>
        </is>
      </c>
      <c r="R9" s="34" t="n">
        <v>0.005360134</v>
      </c>
      <c r="S9" s="34" t="n">
        <v>-0.3331111</v>
      </c>
      <c r="T9" s="34" t="n">
        <v>-0.2996499</v>
      </c>
      <c r="U9" s="34" t="n">
        <v>-0.2651812</v>
      </c>
      <c r="V9" s="34" t="n">
        <v>-0.1163133</v>
      </c>
    </row>
    <row r="10" ht="16" customHeight="1">
      <c r="A10" s="32" t="n">
        <v>6</v>
      </c>
      <c r="B10" s="24" t="inlineStr">
        <is>
          <t>ADTN</t>
        </is>
      </c>
      <c r="C10" s="25" t="inlineStr">
        <is>
          <t>ADTRAN Holdings, Inc.</t>
        </is>
      </c>
      <c r="D10" s="26" t="n">
        <v>1243.3</v>
      </c>
      <c r="E10" s="40" t="n">
        <v>15.35</v>
      </c>
      <c r="F10" s="41" t="n">
        <v>0.155</v>
      </c>
      <c r="G10" s="41" t="n">
        <v>0.059</v>
      </c>
      <c r="H10" s="41" t="n">
        <v>0.395</v>
      </c>
      <c r="I10" s="41" t="n">
        <v>0.025</v>
      </c>
      <c r="J10" s="41" t="n">
        <v>0.08199999999999999</v>
      </c>
      <c r="K10" s="42" t="n">
        <v>71.09999999999999</v>
      </c>
      <c r="L10" s="42" t="n">
        <v>99.2</v>
      </c>
      <c r="M10" s="43" t="n">
        <v>78.90000000000001</v>
      </c>
      <c r="N10" s="28" t="n">
        <v>54.4</v>
      </c>
      <c r="O10" s="44" t="inlineStr">
        <is>
          <t>—</t>
        </is>
      </c>
      <c r="P10" s="45" t="n">
        <v>48.2</v>
      </c>
      <c r="Q10" s="23" t="inlineStr">
        <is>
          <t>Medium-High</t>
        </is>
      </c>
      <c r="R10" s="41" t="n">
        <v>0.0032679739</v>
      </c>
      <c r="S10" s="41" t="n">
        <v>0.5258449000000001</v>
      </c>
      <c r="T10" s="41" t="n">
        <v>0.7995310999999999</v>
      </c>
      <c r="U10" s="41" t="n">
        <v>0.7663982</v>
      </c>
      <c r="V10" s="41" t="n">
        <v>0.9283920000000001</v>
      </c>
    </row>
    <row r="11" ht="16" customHeight="1">
      <c r="A11" s="32" t="n">
        <v>7</v>
      </c>
      <c r="B11" s="19" t="inlineStr">
        <is>
          <t>WYFI</t>
        </is>
      </c>
      <c r="C11" s="20" t="inlineStr">
        <is>
          <t>WhiteFiber, Inc. Ordinary Shares</t>
        </is>
      </c>
      <c r="D11" s="21" t="n">
        <v>898.6</v>
      </c>
      <c r="E11" s="33" t="n">
        <v>23.27</v>
      </c>
      <c r="F11" s="34" t="n">
        <v>0.307</v>
      </c>
      <c r="G11" s="34" t="n">
        <v>-0.025</v>
      </c>
      <c r="H11" s="34" t="n">
        <v>0.602</v>
      </c>
      <c r="I11" s="34" t="n">
        <v>0.015</v>
      </c>
      <c r="J11" s="34" t="n">
        <v>0.753</v>
      </c>
      <c r="K11" s="35" t="n">
        <v>80</v>
      </c>
      <c r="L11" s="35" t="n">
        <v>71.8</v>
      </c>
      <c r="M11" s="36" t="n">
        <v>76.7</v>
      </c>
      <c r="N11" s="28" t="n">
        <v>55.3</v>
      </c>
      <c r="O11" s="38" t="inlineStr">
        <is>
          <t>—</t>
        </is>
      </c>
      <c r="P11" s="39" t="n">
        <v>34.5</v>
      </c>
      <c r="Q11" s="23" t="inlineStr">
        <is>
          <t>Medium-High</t>
        </is>
      </c>
      <c r="R11" s="34" t="n">
        <v>0.1896728</v>
      </c>
      <c r="S11" s="34" t="n">
        <v>0.4598494</v>
      </c>
      <c r="T11" s="34" t="n">
        <v>0.1976325</v>
      </c>
      <c r="U11" s="34" t="n">
        <v>0.4727848</v>
      </c>
      <c r="V11" s="34" t="n">
        <v>0.4346486</v>
      </c>
    </row>
    <row r="12" ht="16" customHeight="1">
      <c r="A12" s="32" t="n">
        <v>8</v>
      </c>
      <c r="B12" s="24" t="inlineStr">
        <is>
          <t>SWBI</t>
        </is>
      </c>
      <c r="C12" s="25" t="inlineStr">
        <is>
          <t>Smith &amp; Wesson Brands, Inc.</t>
        </is>
      </c>
      <c r="D12" s="26" t="n">
        <v>659.4</v>
      </c>
      <c r="E12" s="40" t="n">
        <v>14.82</v>
      </c>
      <c r="F12" s="41" t="n">
        <v>0.171</v>
      </c>
      <c r="G12" s="41" t="n">
        <v>0.4429999999999999</v>
      </c>
      <c r="H12" s="41" t="n">
        <v>0.262</v>
      </c>
      <c r="I12" s="41" t="n">
        <v>-0.033</v>
      </c>
      <c r="J12" s="41" t="n">
        <v>0.031</v>
      </c>
      <c r="K12" s="42" t="n">
        <v>63</v>
      </c>
      <c r="L12" s="42" t="n">
        <v>98.5</v>
      </c>
      <c r="M12" s="43" t="n">
        <v>74.5</v>
      </c>
      <c r="N12" s="42" t="n">
        <v>32.3</v>
      </c>
      <c r="O12" s="44" t="inlineStr">
        <is>
          <t>—</t>
        </is>
      </c>
      <c r="P12" s="45" t="n">
        <v>47.1</v>
      </c>
      <c r="Q12" s="46" t="inlineStr">
        <is>
          <t>Medium</t>
        </is>
      </c>
      <c r="R12" s="41" t="n">
        <v>-0.0243581</v>
      </c>
      <c r="S12" s="41" t="n">
        <v>0.2569975</v>
      </c>
      <c r="T12" s="41" t="n">
        <v>0.3521898</v>
      </c>
      <c r="U12" s="41" t="n">
        <v>0.5015198000000001</v>
      </c>
      <c r="V12" s="41" t="n">
        <v>0.5278351</v>
      </c>
    </row>
    <row r="13" ht="16" customHeight="1">
      <c r="A13" s="32" t="n">
        <v>9</v>
      </c>
      <c r="B13" s="19" t="inlineStr">
        <is>
          <t>ROCK</t>
        </is>
      </c>
      <c r="C13" s="20" t="inlineStr">
        <is>
          <t>Gibraltar Industries, Inc.</t>
        </is>
      </c>
      <c r="D13" s="21" t="n">
        <v>1096.6</v>
      </c>
      <c r="E13" s="33" t="n">
        <v>36.97</v>
      </c>
      <c r="F13" s="34" t="n">
        <v>0.229</v>
      </c>
      <c r="G13" s="34" t="n">
        <v>0.169</v>
      </c>
      <c r="H13" s="34" t="n">
        <v>0.221</v>
      </c>
      <c r="I13" s="34" t="n">
        <v>-0.025</v>
      </c>
      <c r="J13" s="34" t="n">
        <v>0.014</v>
      </c>
      <c r="K13" s="35" t="n">
        <v>60.7</v>
      </c>
      <c r="L13" s="35" t="n">
        <v>94.8</v>
      </c>
      <c r="M13" s="36" t="n">
        <v>74.3</v>
      </c>
      <c r="N13" s="35" t="n">
        <v>47.5</v>
      </c>
      <c r="O13" s="38" t="inlineStr">
        <is>
          <t>—</t>
        </is>
      </c>
      <c r="P13" s="39" t="n">
        <v>4.1</v>
      </c>
      <c r="Q13" s="46" t="inlineStr">
        <is>
          <t>Medium</t>
        </is>
      </c>
      <c r="R13" s="34" t="n">
        <v>-0.0349778</v>
      </c>
      <c r="S13" s="34" t="n">
        <v>-0.1033228</v>
      </c>
      <c r="T13" s="34" t="n">
        <v>-0.2504055</v>
      </c>
      <c r="U13" s="34" t="n">
        <v>-0.2522249</v>
      </c>
      <c r="V13" s="34" t="n">
        <v>-0.3752957</v>
      </c>
    </row>
    <row r="14" ht="16" customHeight="1">
      <c r="A14" s="32" t="n">
        <v>10</v>
      </c>
      <c r="B14" s="24" t="inlineStr">
        <is>
          <t>BUKS</t>
        </is>
      </c>
      <c r="C14" s="25" t="inlineStr">
        <is>
          <t>Butler National Corporation</t>
        </is>
      </c>
      <c r="D14" s="26" t="n">
        <v>321.6</v>
      </c>
      <c r="E14" s="40" t="n">
        <v>4.02</v>
      </c>
      <c r="F14" s="41" t="n">
        <v>0.271</v>
      </c>
      <c r="G14" s="41" t="n">
        <v>0.335</v>
      </c>
      <c r="H14" s="41" t="n">
        <v>0.5379999999999999</v>
      </c>
      <c r="I14" s="41" t="n">
        <v>-0.165</v>
      </c>
      <c r="J14" s="41" t="n">
        <v>0.328</v>
      </c>
      <c r="K14" s="42" t="n">
        <v>86.3</v>
      </c>
      <c r="L14" s="42" t="n">
        <v>94.7</v>
      </c>
      <c r="M14" s="43" t="n">
        <v>74.2</v>
      </c>
      <c r="N14" s="28" t="n">
        <v>62.1</v>
      </c>
      <c r="O14" s="44" t="inlineStr">
        <is>
          <t>—</t>
        </is>
      </c>
      <c r="P14" s="37" t="n">
        <v>72.3</v>
      </c>
      <c r="Q14" s="46" t="inlineStr">
        <is>
          <t>Medium</t>
        </is>
      </c>
      <c r="R14" s="41" t="n">
        <v>-0.012285</v>
      </c>
      <c r="S14" s="41" t="n">
        <v>0.1858407</v>
      </c>
      <c r="T14" s="41" t="n">
        <v>0.6890756</v>
      </c>
      <c r="U14" s="41" t="n">
        <v>0.3267327</v>
      </c>
      <c r="V14" s="41" t="n">
        <v>1.4662577</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DSP</t>
        </is>
      </c>
      <c r="B19" s="35" t="n">
        <v>50.6</v>
      </c>
      <c r="C19" s="35" t="n">
        <v>100</v>
      </c>
      <c r="D19" s="35" t="n">
        <v>100</v>
      </c>
      <c r="E19" s="35" t="n">
        <v>100</v>
      </c>
      <c r="F19" s="35" t="n">
        <v>95</v>
      </c>
    </row>
    <row r="20" ht="16" customHeight="1">
      <c r="A20" s="24" t="inlineStr">
        <is>
          <t>EVLV</t>
        </is>
      </c>
      <c r="B20" s="42" t="n">
        <v>89.40000000000001</v>
      </c>
      <c r="C20" s="42" t="n">
        <v>100</v>
      </c>
      <c r="D20" s="42" t="n">
        <v>44.4</v>
      </c>
      <c r="E20" s="42" t="n">
        <v>51</v>
      </c>
      <c r="F20" s="42" t="n">
        <v>98.5</v>
      </c>
    </row>
    <row r="21" ht="16" customHeight="1">
      <c r="A21" s="19" t="inlineStr">
        <is>
          <t>PKE</t>
        </is>
      </c>
      <c r="B21" s="35" t="n">
        <v>85.59999999999999</v>
      </c>
      <c r="C21" s="35" t="n">
        <v>71.8</v>
      </c>
      <c r="D21" s="35" t="n">
        <v>100</v>
      </c>
      <c r="E21" s="35" t="n">
        <v>93</v>
      </c>
      <c r="F21" s="35" t="n">
        <v>100</v>
      </c>
    </row>
    <row r="22" ht="16" customHeight="1">
      <c r="A22" s="24" t="inlineStr">
        <is>
          <t>CMCO</t>
        </is>
      </c>
      <c r="B22" s="42" t="n">
        <v>100</v>
      </c>
      <c r="C22" s="42" t="n">
        <v>70.2</v>
      </c>
      <c r="D22" s="42" t="n">
        <v>100</v>
      </c>
      <c r="E22" s="42" t="n">
        <v>28</v>
      </c>
      <c r="F22" s="42" t="n">
        <v>100</v>
      </c>
    </row>
    <row r="23" ht="16" customHeight="1">
      <c r="A23" s="19" t="inlineStr">
        <is>
          <t>CDRE</t>
        </is>
      </c>
      <c r="B23" s="35" t="n">
        <v>39</v>
      </c>
      <c r="C23" s="35" t="n">
        <v>94.3</v>
      </c>
      <c r="D23" s="35" t="n">
        <v>67.2</v>
      </c>
      <c r="E23" s="35" t="n">
        <v>100</v>
      </c>
      <c r="F23" s="35" t="n">
        <v>100</v>
      </c>
    </row>
    <row r="24" ht="16" customHeight="1">
      <c r="A24" s="24" t="inlineStr">
        <is>
          <t>ADTN</t>
        </is>
      </c>
      <c r="B24" s="42" t="n">
        <v>31</v>
      </c>
      <c r="C24" s="42" t="n">
        <v>98.8</v>
      </c>
      <c r="D24" s="42" t="n">
        <v>100</v>
      </c>
      <c r="E24" s="42" t="n">
        <v>82</v>
      </c>
      <c r="F24" s="42" t="n">
        <v>64.8</v>
      </c>
    </row>
    <row r="25" ht="16" customHeight="1">
      <c r="A25" s="19" t="inlineStr">
        <is>
          <t>WYFI</t>
        </is>
      </c>
      <c r="B25" s="35" t="n">
        <v>61.4</v>
      </c>
      <c r="C25" s="35" t="n">
        <v>100</v>
      </c>
      <c r="D25" s="35" t="n">
        <v>100</v>
      </c>
      <c r="E25" s="35" t="n">
        <v>100</v>
      </c>
      <c r="F25" s="35" t="n">
        <v>43.8</v>
      </c>
    </row>
    <row r="26" ht="16" customHeight="1">
      <c r="A26" s="24" t="inlineStr">
        <is>
          <t>SWBI</t>
        </is>
      </c>
      <c r="B26" s="42" t="n">
        <v>34.2</v>
      </c>
      <c r="C26" s="42" t="n">
        <v>65.5</v>
      </c>
      <c r="D26" s="42" t="n">
        <v>100</v>
      </c>
      <c r="E26" s="42" t="n">
        <v>31</v>
      </c>
      <c r="F26" s="42" t="n">
        <v>100</v>
      </c>
    </row>
    <row r="27" ht="16" customHeight="1">
      <c r="A27" s="19" t="inlineStr">
        <is>
          <t>ROCK</t>
        </is>
      </c>
      <c r="B27" s="35" t="n">
        <v>45.8</v>
      </c>
      <c r="C27" s="35" t="n">
        <v>55.2</v>
      </c>
      <c r="D27" s="35" t="n">
        <v>100</v>
      </c>
      <c r="E27" s="35" t="n">
        <v>14</v>
      </c>
      <c r="F27" s="35" t="n">
        <v>92.2</v>
      </c>
    </row>
    <row r="28" ht="16" customHeight="1">
      <c r="A28" s="24" t="inlineStr">
        <is>
          <t>BUKS</t>
        </is>
      </c>
      <c r="B28" s="42" t="n">
        <v>54.2</v>
      </c>
      <c r="C28" s="42" t="n">
        <v>100</v>
      </c>
      <c r="D28" s="42" t="n">
        <v>100</v>
      </c>
      <c r="E28" s="42" t="n">
        <v>100</v>
      </c>
      <c r="F28" s="42" t="n">
        <v>100</v>
      </c>
    </row>
    <row r="60">
      <c r="A60" t="inlineStr">
        <is>
          <t>Ticker</t>
        </is>
      </c>
      <c r="B60" t="inlineStr">
        <is>
          <t>Gross Margin</t>
        </is>
      </c>
      <c r="C60" t="inlineStr">
        <is>
          <t>Rev Growth</t>
        </is>
      </c>
      <c r="D60" t="inlineStr">
        <is>
          <t>Mkt Cap</t>
        </is>
      </c>
    </row>
    <row r="61">
      <c r="A61" t="inlineStr">
        <is>
          <t>DSP</t>
        </is>
      </c>
      <c r="B61" t="n">
        <v>83.5</v>
      </c>
      <c r="C61" t="n">
        <v>25.3</v>
      </c>
      <c r="D61" t="n">
        <v>794.6</v>
      </c>
    </row>
    <row r="62">
      <c r="A62" t="inlineStr">
        <is>
          <t>EVLV</t>
        </is>
      </c>
      <c r="B62" t="n">
        <v>51.4</v>
      </c>
      <c r="C62" t="n">
        <v>44.7</v>
      </c>
      <c r="D62" t="n">
        <v>1063</v>
      </c>
    </row>
    <row r="63">
      <c r="A63" t="inlineStr">
        <is>
          <t>PKE</t>
        </is>
      </c>
      <c r="B63" t="n">
        <v>28.7</v>
      </c>
      <c r="C63" t="n">
        <v>42.8</v>
      </c>
      <c r="D63" t="n">
        <v>678.5</v>
      </c>
    </row>
    <row r="64">
      <c r="A64" t="inlineStr">
        <is>
          <t>CMCO</t>
        </is>
      </c>
      <c r="B64" t="n">
        <v>28.1</v>
      </c>
      <c r="C64" t="n">
        <v>357.8</v>
      </c>
      <c r="D64" t="n">
        <v>370.2</v>
      </c>
    </row>
    <row r="65">
      <c r="A65" t="inlineStr">
        <is>
          <t>CDRE</t>
        </is>
      </c>
      <c r="B65" t="n">
        <v>37.7</v>
      </c>
      <c r="C65" t="n">
        <v>19.5</v>
      </c>
      <c r="D65" t="n">
        <v>1284.3</v>
      </c>
    </row>
    <row r="66">
      <c r="A66" t="inlineStr">
        <is>
          <t>ADTN</t>
        </is>
      </c>
      <c r="B66" t="n">
        <v>39.5</v>
      </c>
      <c r="C66" t="n">
        <v>15.5</v>
      </c>
      <c r="D66" t="n">
        <v>1243.3</v>
      </c>
    </row>
    <row r="67">
      <c r="A67" t="inlineStr">
        <is>
          <t>WYFI</t>
        </is>
      </c>
      <c r="B67" t="n">
        <v>60.2</v>
      </c>
      <c r="C67" t="n">
        <v>30.7</v>
      </c>
      <c r="D67" t="n">
        <v>898.6</v>
      </c>
    </row>
    <row r="68">
      <c r="A68" t="inlineStr">
        <is>
          <t>SWBI</t>
        </is>
      </c>
      <c r="B68" t="n">
        <v>26.2</v>
      </c>
      <c r="C68" t="n">
        <v>17.1</v>
      </c>
      <c r="D68" t="n">
        <v>659.4</v>
      </c>
    </row>
    <row r="69">
      <c r="A69" t="inlineStr">
        <is>
          <t>ROCK</t>
        </is>
      </c>
      <c r="B69" t="n">
        <v>22.1</v>
      </c>
      <c r="C69" t="n">
        <v>22.9</v>
      </c>
      <c r="D69" t="n">
        <v>1096.6</v>
      </c>
    </row>
    <row r="70">
      <c r="A70" t="inlineStr">
        <is>
          <t>BUKS</t>
        </is>
      </c>
      <c r="B70" t="n">
        <v>53.8</v>
      </c>
      <c r="C70" t="n">
        <v>27.1</v>
      </c>
      <c r="D70" t="n">
        <v>321.6</v>
      </c>
    </row>
  </sheetData>
  <mergeCells count="3">
    <mergeCell ref="A2:V2"/>
    <mergeCell ref="A1:V1"/>
    <mergeCell ref="A17:V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num" val="0"/>
        <cfvo type="num" val="50"/>
        <cfvo type="num" val="100"/>
        <color rgb="00C1121F"/>
        <color rgb="00F9C74F"/>
        <color rgb="001A6B3C"/>
      </colorScale>
    </cfRule>
  </conditionalFormatting>
  <conditionalFormatting sqref="P5:P14">
    <cfRule type="colorScale" priority="5">
      <colorScale>
        <cfvo type="min"/>
        <cfvo type="max"/>
        <color rgb="002A9D8F"/>
        <color rgb="00E76F51"/>
      </colorScale>
    </cfRule>
  </conditionalFormatting>
  <conditionalFormatting sqref="F5:F14">
    <cfRule type="colorScale" priority="6">
      <colorScale>
        <cfvo type="min"/>
        <cfvo type="max"/>
        <color rgb="00FFFFFF"/>
        <color rgb="002A9D8F"/>
      </colorScale>
    </cfRule>
  </conditionalFormatting>
  <conditionalFormatting sqref="H5:H14">
    <cfRule type="colorScale" priority="7">
      <colorScale>
        <cfvo type="min"/>
        <cfvo type="max"/>
        <color rgb="00FFFFFF"/>
        <color rgb="002A9D8F"/>
      </colorScale>
    </cfRule>
  </conditionalFormatting>
  <conditionalFormatting sqref="I5:I14">
    <cfRule type="colorScale" priority="8">
      <colorScale>
        <cfvo type="min"/>
        <cfvo type="max"/>
        <color rgb="002A9D8F"/>
        <color rgb="00E76F51"/>
      </colorScale>
    </cfRule>
  </conditionalFormatting>
  <conditionalFormatting sqref="J5:J14">
    <cfRule type="colorScale" priority="9">
      <colorScale>
        <cfvo type="min"/>
        <cfvo type="max"/>
        <color rgb="00FFFFFF"/>
        <color rgb="002A9D8F"/>
      </colorScale>
    </cfRule>
  </conditionalFormatting>
  <conditionalFormatting sqref="R5:R14">
    <cfRule type="colorScale" priority="10">
      <colorScale>
        <cfvo type="min"/>
        <cfvo type="num" val="0"/>
        <cfvo type="max"/>
        <color rgb="00E76F51"/>
        <color rgb="00FFFFFF"/>
        <color rgb="002A9D8F"/>
      </colorScale>
    </cfRule>
  </conditionalFormatting>
  <conditionalFormatting sqref="S5:S14">
    <cfRule type="colorScale" priority="11">
      <colorScale>
        <cfvo type="min"/>
        <cfvo type="num" val="0"/>
        <cfvo type="max"/>
        <color rgb="00E76F51"/>
        <color rgb="00FFFFFF"/>
        <color rgb="002A9D8F"/>
      </colorScale>
    </cfRule>
  </conditionalFormatting>
  <conditionalFormatting sqref="T5:T14">
    <cfRule type="colorScale" priority="12">
      <colorScale>
        <cfvo type="min"/>
        <cfvo type="num" val="0"/>
        <cfvo type="max"/>
        <color rgb="00E76F51"/>
        <color rgb="00FFFFFF"/>
        <color rgb="002A9D8F"/>
      </colorScale>
    </cfRule>
  </conditionalFormatting>
  <conditionalFormatting sqref="U5:U14">
    <cfRule type="colorScale" priority="13">
      <colorScale>
        <cfvo type="min"/>
        <cfvo type="num" val="0"/>
        <cfvo type="max"/>
        <color rgb="00E76F51"/>
        <color rgb="00FFFFFF"/>
        <color rgb="002A9D8F"/>
      </colorScale>
    </cfRule>
  </conditionalFormatting>
  <conditionalFormatting sqref="V5:V14">
    <cfRule type="colorScale" priority="14">
      <colorScale>
        <cfvo type="min"/>
        <cfvo type="num" val="0"/>
        <cfvo type="max"/>
        <color rgb="00E76F51"/>
        <color rgb="00FFFFFF"/>
        <color rgb="002A9D8F"/>
      </colorScale>
    </cfRule>
  </conditionalFormatting>
  <conditionalFormatting sqref="B19:B28">
    <cfRule type="colorScale" priority="15">
      <colorScale>
        <cfvo type="num" val="0"/>
        <cfvo type="num" val="50"/>
        <cfvo type="num" val="100"/>
        <color rgb="00C1121F"/>
        <color rgb="00F9C74F"/>
        <color rgb="001A6B3C"/>
      </colorScale>
    </cfRule>
  </conditionalFormatting>
  <conditionalFormatting sqref="C19:C28">
    <cfRule type="colorScale" priority="16">
      <colorScale>
        <cfvo type="num" val="0"/>
        <cfvo type="num" val="50"/>
        <cfvo type="num" val="100"/>
        <color rgb="00C1121F"/>
        <color rgb="00F9C74F"/>
        <color rgb="001A6B3C"/>
      </colorScale>
    </cfRule>
  </conditionalFormatting>
  <conditionalFormatting sqref="D19:D28">
    <cfRule type="colorScale" priority="17">
      <colorScale>
        <cfvo type="num" val="0"/>
        <cfvo type="num" val="50"/>
        <cfvo type="num" val="100"/>
        <color rgb="00C1121F"/>
        <color rgb="00F9C74F"/>
        <color rgb="001A6B3C"/>
      </colorScale>
    </cfRule>
  </conditionalFormatting>
  <conditionalFormatting sqref="E19:E28">
    <cfRule type="colorScale" priority="18">
      <colorScale>
        <cfvo type="num" val="0"/>
        <cfvo type="num" val="50"/>
        <cfvo type="num" val="100"/>
        <color rgb="00C1121F"/>
        <color rgb="00F9C74F"/>
        <color rgb="001A6B3C"/>
      </colorScale>
    </cfRule>
  </conditionalFormatting>
  <conditionalFormatting sqref="F19:F28">
    <cfRule type="colorScale" priority="19">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4.xml><?xml version="1.0" encoding="utf-8"?>
<worksheet xmlns="http://schemas.openxmlformats.org/spreadsheetml/2006/main">
  <sheetPr>
    <tabColor rgb="000D1B2A"/>
    <outlinePr summaryBelow="1" summaryRight="1"/>
    <pageSetUpPr fitToPage="1"/>
  </sheetPr>
  <dimension ref="A1:V7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28" customWidth="1" min="3" max="3"/>
    <col width="14" customWidth="1" min="4" max="4"/>
    <col width="12"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2" customWidth="1" min="13" max="13"/>
    <col width="10" customWidth="1" min="14" max="14"/>
    <col width="14" customWidth="1" min="15" max="15"/>
    <col width="14" customWidth="1" min="16" max="16"/>
    <col width="12" customWidth="1" min="17" max="17"/>
    <col width="10" customWidth="1" min="18" max="18"/>
    <col width="10" customWidth="1" min="19" max="19"/>
    <col width="10" customWidth="1" min="20" max="20"/>
    <col width="10" customWidth="1" min="21" max="21"/>
    <col width="10" customWidth="1" min="22" max="22"/>
  </cols>
  <sheetData>
    <row r="1" ht="28" customHeight="1">
      <c r="A1" s="30" t="inlineStr">
        <is>
          <t>Breakout ($2B–$15B) — Screener Results</t>
        </is>
      </c>
      <c r="B1" s="11" t="n"/>
      <c r="C1" s="11" t="n"/>
      <c r="D1" s="11" t="n"/>
      <c r="E1" s="11" t="n"/>
      <c r="F1" s="11" t="n"/>
      <c r="G1" s="11" t="n"/>
      <c r="H1" s="11" t="n"/>
      <c r="I1" s="11" t="n"/>
      <c r="J1" s="11" t="n"/>
      <c r="K1" s="11" t="n"/>
      <c r="L1" s="11" t="n"/>
      <c r="M1" s="11" t="n"/>
      <c r="N1" s="11" t="n"/>
      <c r="O1" s="11" t="n"/>
      <c r="P1" s="11" t="n"/>
      <c r="Q1" s="11" t="n"/>
      <c r="R1" s="11" t="n"/>
      <c r="S1" s="11" t="n"/>
      <c r="T1" s="11" t="n"/>
      <c r="U1" s="11" t="n"/>
      <c r="V1" s="11" t="n"/>
    </row>
    <row r="2" ht="22" customHeight="1">
      <c r="A2" s="31" t="inlineStr">
        <is>
          <t>Top 10 by combined score  |  June 06, 2026</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row>
    <row r="3" ht="8" customHeight="1"/>
    <row r="4" ht="18" customHeight="1">
      <c r="A4" s="18" t="inlineStr">
        <is>
          <t>Rank</t>
        </is>
      </c>
      <c r="B4" s="18" t="inlineStr">
        <is>
          <t>Ticker</t>
        </is>
      </c>
      <c r="C4" s="18" t="inlineStr">
        <is>
          <t>Company Name</t>
        </is>
      </c>
      <c r="D4" s="18" t="inlineStr">
        <is>
          <t>Mkt Cap ($M)</t>
        </is>
      </c>
      <c r="E4" s="18" t="inlineStr">
        <is>
          <t>Price</t>
        </is>
      </c>
      <c r="F4" s="18" t="inlineStr">
        <is>
          <t>Rev Growth YoY</t>
        </is>
      </c>
      <c r="G4" s="18" t="inlineStr">
        <is>
          <t>Rev Accel</t>
        </is>
      </c>
      <c r="H4" s="18" t="inlineStr">
        <is>
          <t>Gross Margin</t>
        </is>
      </c>
      <c r="I4" s="18" t="inlineStr">
        <is>
          <t>Dilution 3yr</t>
        </is>
      </c>
      <c r="J4" s="18" t="inlineStr">
        <is>
          <t>Insider %</t>
        </is>
      </c>
      <c r="K4" s="18" t="inlineStr">
        <is>
          <t>Composite</t>
        </is>
      </c>
      <c r="L4" s="18" t="inlineStr">
        <is>
          <t>Fingerprint</t>
        </is>
      </c>
      <c r="M4" s="18" t="inlineStr">
        <is>
          <t>Combined</t>
        </is>
      </c>
      <c r="N4" s="18" t="inlineStr">
        <is>
          <t>WPS</t>
        </is>
      </c>
      <c r="O4" s="18" t="inlineStr">
        <is>
          <t>WPS Pattern</t>
        </is>
      </c>
      <c r="P4" s="18" t="inlineStr">
        <is>
          <t>Run Maturity</t>
        </is>
      </c>
      <c r="Q4" s="18" t="inlineStr">
        <is>
          <t>Conviction</t>
        </is>
      </c>
      <c r="R4" s="18" t="inlineStr">
        <is>
          <t>1M</t>
        </is>
      </c>
      <c r="S4" s="18" t="inlineStr">
        <is>
          <t>3M</t>
        </is>
      </c>
      <c r="T4" s="18" t="inlineStr">
        <is>
          <t>6M</t>
        </is>
      </c>
      <c r="U4" s="18" t="inlineStr">
        <is>
          <t>YTD</t>
        </is>
      </c>
      <c r="V4" s="18" t="inlineStr">
        <is>
          <t>1Y</t>
        </is>
      </c>
    </row>
    <row r="5" ht="16" customHeight="1">
      <c r="A5" s="32" t="n">
        <v>1</v>
      </c>
      <c r="B5" s="19" t="inlineStr">
        <is>
          <t>KRMN</t>
        </is>
      </c>
      <c r="C5" s="20" t="inlineStr">
        <is>
          <t>Karman Holdings Inc.</t>
        </is>
      </c>
      <c r="D5" s="21" t="n">
        <v>6552.1</v>
      </c>
      <c r="E5" s="33" t="n">
        <v>49.44</v>
      </c>
      <c r="F5" s="34" t="n">
        <v>0.51</v>
      </c>
      <c r="G5" s="34" t="n">
        <v>0.333</v>
      </c>
      <c r="H5" s="34" t="n">
        <v>0.422</v>
      </c>
      <c r="I5" s="34" t="n">
        <v>0.003</v>
      </c>
      <c r="J5" s="34" t="n">
        <v>0.777</v>
      </c>
      <c r="K5" s="35" t="n">
        <v>100</v>
      </c>
      <c r="L5" s="35" t="n">
        <v>60</v>
      </c>
      <c r="M5" s="36" t="n">
        <v>84</v>
      </c>
      <c r="N5" s="28" t="n">
        <v>65.8</v>
      </c>
      <c r="O5" s="38" t="inlineStr">
        <is>
          <t>—</t>
        </is>
      </c>
      <c r="P5" s="39" t="n">
        <v>6.8</v>
      </c>
      <c r="Q5" s="23" t="inlineStr">
        <is>
          <t>Medium-High</t>
        </is>
      </c>
      <c r="R5" s="34" t="n">
        <v>-0.2138655</v>
      </c>
      <c r="S5" s="34" t="n">
        <v>-0.4910439</v>
      </c>
      <c r="T5" s="34" t="n">
        <v>-0.2446142</v>
      </c>
      <c r="U5" s="34" t="n">
        <v>-0.3243132</v>
      </c>
      <c r="V5" s="34" t="n">
        <v>0.074549</v>
      </c>
    </row>
    <row r="6" ht="16" customHeight="1">
      <c r="A6" s="32" t="n">
        <v>2</v>
      </c>
      <c r="B6" s="24" t="inlineStr">
        <is>
          <t>ESI</t>
        </is>
      </c>
      <c r="C6" s="25" t="inlineStr">
        <is>
          <t>Element Solutions Inc</t>
        </is>
      </c>
      <c r="D6" s="26" t="n">
        <v>9705.299999999999</v>
      </c>
      <c r="E6" s="40" t="n">
        <v>39.84</v>
      </c>
      <c r="F6" s="41" t="n">
        <v>0.415</v>
      </c>
      <c r="G6" s="41" t="n">
        <v>0.446</v>
      </c>
      <c r="H6" s="41" t="n">
        <v>0.384</v>
      </c>
      <c r="I6" s="41" t="n">
        <v>0.006999999999999999</v>
      </c>
      <c r="J6" s="41" t="n">
        <v>0.064</v>
      </c>
      <c r="K6" s="42" t="n">
        <v>88.7</v>
      </c>
      <c r="L6" s="42" t="n">
        <v>80</v>
      </c>
      <c r="M6" s="43" t="n">
        <v>79.8</v>
      </c>
      <c r="N6" s="28" t="n">
        <v>51.4</v>
      </c>
      <c r="O6" s="44" t="inlineStr">
        <is>
          <t>—</t>
        </is>
      </c>
      <c r="P6" s="45" t="n">
        <v>52.7</v>
      </c>
      <c r="Q6" s="23" t="inlineStr">
        <is>
          <t>Medium-High</t>
        </is>
      </c>
      <c r="R6" s="41" t="n">
        <v>-0.09433960000000001</v>
      </c>
      <c r="S6" s="41" t="n">
        <v>0.2032619</v>
      </c>
      <c r="T6" s="41" t="n">
        <v>0.5096628</v>
      </c>
      <c r="U6" s="41" t="n">
        <v>0.5942377</v>
      </c>
      <c r="V6" s="41" t="n">
        <v>0.8739417</v>
      </c>
    </row>
    <row r="7" ht="16" customHeight="1">
      <c r="A7" s="32" t="n">
        <v>3</v>
      </c>
      <c r="B7" s="19" t="inlineStr">
        <is>
          <t>RUN</t>
        </is>
      </c>
      <c r="C7" s="20" t="inlineStr">
        <is>
          <t>Sunrun Inc.</t>
        </is>
      </c>
      <c r="D7" s="21" t="n">
        <v>3185.8</v>
      </c>
      <c r="E7" s="33" t="n">
        <v>13.355</v>
      </c>
      <c r="F7" s="34" t="n">
        <v>0.4320000000000001</v>
      </c>
      <c r="G7" s="34" t="n">
        <v>0.469</v>
      </c>
      <c r="H7" s="34" t="n">
        <v>0.304</v>
      </c>
      <c r="I7" s="34" t="n">
        <v>0.08599999999999999</v>
      </c>
      <c r="J7" s="34" t="n">
        <v>0.036</v>
      </c>
      <c r="K7" s="35" t="n">
        <v>78.59999999999999</v>
      </c>
      <c r="L7" s="35" t="n">
        <v>76</v>
      </c>
      <c r="M7" s="36" t="n">
        <v>77.59999999999999</v>
      </c>
      <c r="N7" s="28" t="n">
        <v>53.3</v>
      </c>
      <c r="O7" s="38" t="inlineStr">
        <is>
          <t>—</t>
        </is>
      </c>
      <c r="P7" s="39" t="n">
        <v>39.7</v>
      </c>
      <c r="Q7" s="23" t="inlineStr">
        <is>
          <t>Medium-High</t>
        </is>
      </c>
      <c r="R7" s="34" t="n">
        <v>-0.007800891500000001</v>
      </c>
      <c r="S7" s="34" t="n">
        <v>0.1327396</v>
      </c>
      <c r="T7" s="34" t="n">
        <v>-0.2403299</v>
      </c>
      <c r="U7" s="34" t="n">
        <v>-0.2741848</v>
      </c>
      <c r="V7" s="34" t="n">
        <v>0.5936754</v>
      </c>
    </row>
    <row r="8" ht="16" customHeight="1">
      <c r="A8" s="32" t="n">
        <v>4</v>
      </c>
      <c r="B8" s="24" t="inlineStr">
        <is>
          <t>LYFT</t>
        </is>
      </c>
      <c r="C8" s="25" t="inlineStr">
        <is>
          <t>Lyft, Inc.</t>
        </is>
      </c>
      <c r="D8" s="26" t="n">
        <v>5182.7</v>
      </c>
      <c r="E8" s="40" t="n">
        <v>13.65</v>
      </c>
      <c r="F8" s="41" t="n">
        <v>0.138</v>
      </c>
      <c r="G8" s="41" t="n">
        <v>0.128</v>
      </c>
      <c r="H8" s="41" t="n">
        <v>0.476</v>
      </c>
      <c r="I8" s="41" t="n">
        <v>0.035</v>
      </c>
      <c r="J8" s="41" t="n">
        <v>0.13</v>
      </c>
      <c r="K8" s="42" t="n">
        <v>75.59999999999999</v>
      </c>
      <c r="L8" s="42" t="n">
        <v>80</v>
      </c>
      <c r="M8" s="43" t="n">
        <v>77.40000000000001</v>
      </c>
      <c r="N8" s="42" t="n">
        <v>42.2</v>
      </c>
      <c r="O8" s="44" t="inlineStr">
        <is>
          <t>—</t>
        </is>
      </c>
      <c r="P8" s="39" t="n">
        <v>4</v>
      </c>
      <c r="Q8" s="23" t="inlineStr">
        <is>
          <t>Medium-High</t>
        </is>
      </c>
      <c r="R8" s="41" t="n">
        <v>-0.0312278</v>
      </c>
      <c r="S8" s="41" t="n">
        <v>0.0356601</v>
      </c>
      <c r="T8" s="41" t="n">
        <v>-0.4057466</v>
      </c>
      <c r="U8" s="41" t="n">
        <v>-0.295302</v>
      </c>
      <c r="V8" s="41" t="n">
        <v>-0.121056</v>
      </c>
    </row>
    <row r="9" ht="16" customHeight="1">
      <c r="A9" s="32" t="n">
        <v>5</v>
      </c>
      <c r="B9" s="19" t="inlineStr">
        <is>
          <t>FELE</t>
        </is>
      </c>
      <c r="C9" s="20" t="inlineStr">
        <is>
          <t>Franklin Electric Co., Inc.</t>
        </is>
      </c>
      <c r="D9" s="21" t="n">
        <v>4354.6</v>
      </c>
      <c r="E9" s="33" t="n">
        <v>98.56</v>
      </c>
      <c r="F9" s="34" t="n">
        <v>0.099</v>
      </c>
      <c r="G9" s="34" t="n">
        <v>0.261</v>
      </c>
      <c r="H9" s="34" t="n">
        <v>0.35</v>
      </c>
      <c r="I9" s="34" t="n">
        <v>-0.043</v>
      </c>
      <c r="J9" s="34" t="n">
        <v>0.142</v>
      </c>
      <c r="K9" s="35" t="n">
        <v>73.40000000000001</v>
      </c>
      <c r="L9" s="35" t="n">
        <v>79.5</v>
      </c>
      <c r="M9" s="36" t="n">
        <v>75.8</v>
      </c>
      <c r="N9" s="28" t="n">
        <v>54.2</v>
      </c>
      <c r="O9" s="38" t="inlineStr">
        <is>
          <t>—</t>
        </is>
      </c>
      <c r="P9" s="39" t="n">
        <v>27</v>
      </c>
      <c r="Q9" s="23" t="inlineStr">
        <is>
          <t>Medium-High</t>
        </is>
      </c>
      <c r="R9" s="34" t="n">
        <v>-0.0144986</v>
      </c>
      <c r="S9" s="34" t="n">
        <v>0.0034616168</v>
      </c>
      <c r="T9" s="34" t="n">
        <v>0.0471738</v>
      </c>
      <c r="U9" s="34" t="n">
        <v>0.0317178</v>
      </c>
      <c r="V9" s="34" t="n">
        <v>0.1501926</v>
      </c>
    </row>
    <row r="10" ht="16" customHeight="1">
      <c r="A10" s="32" t="n">
        <v>6</v>
      </c>
      <c r="B10" s="24" t="inlineStr">
        <is>
          <t>ALGM</t>
        </is>
      </c>
      <c r="C10" s="25" t="inlineStr">
        <is>
          <t>Allegro MicroSystems, Inc.</t>
        </is>
      </c>
      <c r="D10" s="26" t="n">
        <v>8638.799999999999</v>
      </c>
      <c r="E10" s="40" t="n">
        <v>46.39</v>
      </c>
      <c r="F10" s="41" t="n">
        <v>0.261</v>
      </c>
      <c r="G10" s="41" t="n">
        <v>0.106</v>
      </c>
      <c r="H10" s="41" t="n">
        <v>0.471</v>
      </c>
      <c r="I10" s="41" t="n">
        <v>-0.035</v>
      </c>
      <c r="J10" s="41" t="n">
        <v>0.334</v>
      </c>
      <c r="K10" s="42" t="n">
        <v>82.09999999999999</v>
      </c>
      <c r="L10" s="42" t="n">
        <v>77.3</v>
      </c>
      <c r="M10" s="43" t="n">
        <v>75</v>
      </c>
      <c r="N10" s="28" t="n">
        <v>53.1</v>
      </c>
      <c r="O10" s="44" t="inlineStr">
        <is>
          <t>—</t>
        </is>
      </c>
      <c r="P10" s="45" t="n">
        <v>52.9</v>
      </c>
      <c r="Q10" s="23" t="inlineStr">
        <is>
          <t>Medium-High</t>
        </is>
      </c>
      <c r="R10" s="41" t="n">
        <v>-0.0662238</v>
      </c>
      <c r="S10" s="41" t="n">
        <v>0.4151922</v>
      </c>
      <c r="T10" s="41" t="n">
        <v>0.5876112</v>
      </c>
      <c r="U10" s="41" t="n">
        <v>0.7585292</v>
      </c>
      <c r="V10" s="41" t="n">
        <v>0.6597495999999999</v>
      </c>
    </row>
    <row r="11" ht="16" customHeight="1">
      <c r="A11" s="32" t="n">
        <v>7</v>
      </c>
      <c r="B11" s="19" t="inlineStr">
        <is>
          <t>IPGP</t>
        </is>
      </c>
      <c r="C11" s="20" t="inlineStr">
        <is>
          <t>IPG Photonics Corporation</t>
        </is>
      </c>
      <c r="D11" s="21" t="n">
        <v>4557.2</v>
      </c>
      <c r="E11" s="33" t="n">
        <v>107.37</v>
      </c>
      <c r="F11" s="34" t="n">
        <v>0.166</v>
      </c>
      <c r="G11" s="34" t="n">
        <v>0.282</v>
      </c>
      <c r="H11" s="34" t="n">
        <v>0.375</v>
      </c>
      <c r="I11" s="34" t="n">
        <v>-0.107</v>
      </c>
      <c r="J11" s="34" t="n">
        <v>0.354</v>
      </c>
      <c r="K11" s="35" t="n">
        <v>78.7</v>
      </c>
      <c r="L11" s="35" t="n">
        <v>75.7</v>
      </c>
      <c r="M11" s="36" t="n">
        <v>72.90000000000001</v>
      </c>
      <c r="N11" s="22" t="n">
        <v>76</v>
      </c>
      <c r="O11" s="38" t="inlineStr">
        <is>
          <t>—</t>
        </is>
      </c>
      <c r="P11" s="45" t="n">
        <v>51.9</v>
      </c>
      <c r="Q11" s="46" t="inlineStr">
        <is>
          <t>Medium</t>
        </is>
      </c>
      <c r="R11" s="34" t="n">
        <v>0.1819683</v>
      </c>
      <c r="S11" s="34" t="n">
        <v>-0.1530331</v>
      </c>
      <c r="T11" s="34" t="n">
        <v>0.3106689</v>
      </c>
      <c r="U11" s="34" t="n">
        <v>0.499581</v>
      </c>
      <c r="V11" s="34" t="n">
        <v>0.5688194</v>
      </c>
    </row>
    <row r="12" ht="16" customHeight="1">
      <c r="A12" s="32" t="n">
        <v>8</v>
      </c>
      <c r="B12" s="24" t="inlineStr">
        <is>
          <t>ESAB</t>
        </is>
      </c>
      <c r="C12" s="25" t="inlineStr">
        <is>
          <t>ESAB Corporation</t>
        </is>
      </c>
      <c r="D12" s="26" t="n">
        <v>5354.5</v>
      </c>
      <c r="E12" s="40" t="n">
        <v>87.95</v>
      </c>
      <c r="F12" s="41" t="n">
        <v>0.099</v>
      </c>
      <c r="G12" s="41" t="n">
        <v>0.14</v>
      </c>
      <c r="H12" s="41" t="n">
        <v>0.369</v>
      </c>
      <c r="I12" s="41" t="n">
        <v>0.012</v>
      </c>
      <c r="J12" s="41" t="n">
        <v>0.066</v>
      </c>
      <c r="K12" s="42" t="n">
        <v>67</v>
      </c>
      <c r="L12" s="42" t="n">
        <v>79.5</v>
      </c>
      <c r="M12" s="43" t="n">
        <v>72</v>
      </c>
      <c r="N12" s="42" t="n">
        <v>46.3</v>
      </c>
      <c r="O12" s="44" t="inlineStr">
        <is>
          <t>—</t>
        </is>
      </c>
      <c r="P12" s="39" t="n">
        <v>5.3</v>
      </c>
      <c r="Q12" s="46" t="inlineStr">
        <is>
          <t>Medium</t>
        </is>
      </c>
      <c r="R12" s="41" t="n">
        <v>-0.09544380000000001</v>
      </c>
      <c r="S12" s="41" t="n">
        <v>-0.2244268</v>
      </c>
      <c r="T12" s="41" t="n">
        <v>-0.2051514</v>
      </c>
      <c r="U12" s="41" t="n">
        <v>-0.2127641</v>
      </c>
      <c r="V12" s="41" t="n">
        <v>-0.3001512</v>
      </c>
    </row>
    <row r="13" ht="16" customHeight="1">
      <c r="A13" s="32" t="n">
        <v>9</v>
      </c>
      <c r="B13" s="19" t="inlineStr">
        <is>
          <t>PINS</t>
        </is>
      </c>
      <c r="C13" s="20" t="inlineStr">
        <is>
          <t>Pinterest, Inc.</t>
        </is>
      </c>
      <c r="D13" s="21" t="n">
        <v>14237.6</v>
      </c>
      <c r="E13" s="33" t="n">
        <v>21.42</v>
      </c>
      <c r="F13" s="34" t="n">
        <v>0.178</v>
      </c>
      <c r="G13" s="34" t="n">
        <v>0.176</v>
      </c>
      <c r="H13" s="34" t="n">
        <v>0.763</v>
      </c>
      <c r="I13" s="34" t="n">
        <v>-0.05599999999999999</v>
      </c>
      <c r="J13" s="34" t="n">
        <v>0.284</v>
      </c>
      <c r="K13" s="35" t="n">
        <v>79.8</v>
      </c>
      <c r="L13" s="35" t="n">
        <v>60</v>
      </c>
      <c r="M13" s="36" t="n">
        <v>71.90000000000001</v>
      </c>
      <c r="N13" s="35" t="n">
        <v>39.5</v>
      </c>
      <c r="O13" s="38" t="inlineStr">
        <is>
          <t>—</t>
        </is>
      </c>
      <c r="P13" s="39" t="n">
        <v>15.5</v>
      </c>
      <c r="Q13" s="46" t="inlineStr">
        <is>
          <t>Medium</t>
        </is>
      </c>
      <c r="R13" s="34" t="n">
        <v>-0.0385996</v>
      </c>
      <c r="S13" s="34" t="n">
        <v>0.08455700000000001</v>
      </c>
      <c r="T13" s="34" t="n">
        <v>-0.1992523</v>
      </c>
      <c r="U13" s="34" t="n">
        <v>-0.1726535</v>
      </c>
      <c r="V13" s="34" t="n">
        <v>-0.3655213</v>
      </c>
    </row>
    <row r="14" ht="16" customHeight="1">
      <c r="A14" s="32" t="n">
        <v>10</v>
      </c>
      <c r="B14" s="24" t="inlineStr">
        <is>
          <t>RVTY</t>
        </is>
      </c>
      <c r="C14" s="25" t="inlineStr">
        <is>
          <t>Revvity, Inc.</t>
        </is>
      </c>
      <c r="D14" s="26" t="n">
        <v>10974.2</v>
      </c>
      <c r="E14" s="40" t="n">
        <v>98.37</v>
      </c>
      <c r="F14" s="41" t="n">
        <v>0.07000000000000001</v>
      </c>
      <c r="G14" s="41" t="n">
        <v>0.109</v>
      </c>
      <c r="H14" s="41" t="n">
        <v>0.545</v>
      </c>
      <c r="I14" s="41" t="n">
        <v>-0.107</v>
      </c>
      <c r="J14" s="41" t="n">
        <v>0.08400000000000001</v>
      </c>
      <c r="K14" s="42" t="n">
        <v>68.40000000000001</v>
      </c>
      <c r="L14" s="42" t="n">
        <v>75.2</v>
      </c>
      <c r="M14" s="43" t="n">
        <v>71.09999999999999</v>
      </c>
      <c r="N14" s="42" t="n">
        <v>41.8</v>
      </c>
      <c r="O14" s="44" t="inlineStr">
        <is>
          <t>—</t>
        </is>
      </c>
      <c r="P14" s="39" t="n">
        <v>25.7</v>
      </c>
      <c r="Q14" s="46" t="inlineStr">
        <is>
          <t>Medium</t>
        </is>
      </c>
      <c r="R14" s="41" t="n">
        <v>0.0657638</v>
      </c>
      <c r="S14" s="41" t="n">
        <v>0.0186393</v>
      </c>
      <c r="T14" s="41" t="n">
        <v>-0.0240103</v>
      </c>
      <c r="U14" s="41" t="n">
        <v>0.0167442</v>
      </c>
      <c r="V14" s="41" t="n">
        <v>0.08696130000000001</v>
      </c>
    </row>
    <row r="17" ht="22" customHeight="1">
      <c r="A17" s="16" t="inlineStr">
        <is>
          <t>SCORE COMPONENT BREAKDOWN</t>
        </is>
      </c>
      <c r="B17" s="17" t="n"/>
      <c r="C17" s="17" t="n"/>
      <c r="D17" s="17" t="n"/>
      <c r="E17" s="17" t="n"/>
      <c r="F17" s="17" t="n"/>
      <c r="G17" s="17" t="n"/>
      <c r="H17" s="17" t="n"/>
      <c r="I17" s="17" t="n"/>
      <c r="J17" s="17" t="n"/>
      <c r="K17" s="17" t="n"/>
      <c r="L17" s="17" t="n"/>
      <c r="M17" s="17" t="n"/>
      <c r="N17" s="17" t="n"/>
      <c r="O17" s="17" t="n"/>
      <c r="P17" s="17" t="n"/>
      <c r="Q17" s="17" t="n"/>
      <c r="R17" s="17" t="n"/>
      <c r="S17" s="17" t="n"/>
      <c r="T17" s="17" t="n"/>
      <c r="U17" s="17" t="n"/>
      <c r="V17" s="17" t="n"/>
    </row>
    <row r="18" ht="18" customHeight="1">
      <c r="A18" s="18" t="inlineStr">
        <is>
          <t>Ticker</t>
        </is>
      </c>
      <c r="B18" s="18" t="inlineStr">
        <is>
          <t>Rev Growth</t>
        </is>
      </c>
      <c r="C18" s="18" t="inlineStr">
        <is>
          <t>Gross Margin</t>
        </is>
      </c>
      <c r="D18" s="18" t="inlineStr">
        <is>
          <t>Dilution</t>
        </is>
      </c>
      <c r="E18" s="18" t="inlineStr">
        <is>
          <t>Insider Own</t>
        </is>
      </c>
      <c r="F18" s="18" t="inlineStr">
        <is>
          <t>Acceleration</t>
        </is>
      </c>
    </row>
    <row r="19" ht="16" customHeight="1">
      <c r="A19" s="19" t="inlineStr">
        <is>
          <t>KRMN</t>
        </is>
      </c>
      <c r="B19" s="35" t="n">
        <v>100</v>
      </c>
      <c r="C19" s="35" t="n">
        <v>100</v>
      </c>
      <c r="D19" s="35" t="n">
        <v>100</v>
      </c>
      <c r="E19" s="35" t="n">
        <v>100</v>
      </c>
      <c r="F19" s="35" t="n">
        <v>100</v>
      </c>
    </row>
    <row r="20" ht="16" customHeight="1">
      <c r="A20" s="24" t="inlineStr">
        <is>
          <t>ESI</t>
        </is>
      </c>
      <c r="B20" s="42" t="n">
        <v>83</v>
      </c>
      <c r="C20" s="42" t="n">
        <v>96</v>
      </c>
      <c r="D20" s="42" t="n">
        <v>100</v>
      </c>
      <c r="E20" s="42" t="n">
        <v>64</v>
      </c>
      <c r="F20" s="42" t="n">
        <v>100</v>
      </c>
    </row>
    <row r="21" ht="16" customHeight="1">
      <c r="A21" s="19" t="inlineStr">
        <is>
          <t>RUN</t>
        </is>
      </c>
      <c r="B21" s="35" t="n">
        <v>86.40000000000001</v>
      </c>
      <c r="C21" s="35" t="n">
        <v>76</v>
      </c>
      <c r="D21" s="35" t="n">
        <v>85.59999999999999</v>
      </c>
      <c r="E21" s="35" t="n">
        <v>36</v>
      </c>
      <c r="F21" s="35" t="n">
        <v>100</v>
      </c>
    </row>
    <row r="22" ht="16" customHeight="1">
      <c r="A22" s="24" t="inlineStr">
        <is>
          <t>LYFT</t>
        </is>
      </c>
      <c r="B22" s="42" t="n">
        <v>27.6</v>
      </c>
      <c r="C22" s="42" t="n">
        <v>100</v>
      </c>
      <c r="D22" s="42" t="n">
        <v>100</v>
      </c>
      <c r="E22" s="42" t="n">
        <v>100</v>
      </c>
      <c r="F22" s="42" t="n">
        <v>82</v>
      </c>
    </row>
    <row r="23" ht="16" customHeight="1">
      <c r="A23" s="19" t="inlineStr">
        <is>
          <t>FELE</t>
        </is>
      </c>
      <c r="B23" s="35" t="n">
        <v>19.8</v>
      </c>
      <c r="C23" s="35" t="n">
        <v>87.5</v>
      </c>
      <c r="D23" s="35" t="n">
        <v>100</v>
      </c>
      <c r="E23" s="35" t="n">
        <v>100</v>
      </c>
      <c r="F23" s="35" t="n">
        <v>100</v>
      </c>
    </row>
    <row r="24" ht="16" customHeight="1">
      <c r="A24" s="24" t="inlineStr">
        <is>
          <t>ALGM</t>
        </is>
      </c>
      <c r="B24" s="42" t="n">
        <v>52.2</v>
      </c>
      <c r="C24" s="42" t="n">
        <v>100</v>
      </c>
      <c r="D24" s="42" t="n">
        <v>100</v>
      </c>
      <c r="E24" s="42" t="n">
        <v>100</v>
      </c>
      <c r="F24" s="42" t="n">
        <v>76.5</v>
      </c>
    </row>
    <row r="25" ht="16" customHeight="1">
      <c r="A25" s="19" t="inlineStr">
        <is>
          <t>IPGP</t>
        </is>
      </c>
      <c r="B25" s="35" t="n">
        <v>33.2</v>
      </c>
      <c r="C25" s="35" t="n">
        <v>93.8</v>
      </c>
      <c r="D25" s="35" t="n">
        <v>100</v>
      </c>
      <c r="E25" s="35" t="n">
        <v>100</v>
      </c>
      <c r="F25" s="35" t="n">
        <v>100</v>
      </c>
    </row>
    <row r="26" ht="16" customHeight="1">
      <c r="A26" s="24" t="inlineStr">
        <is>
          <t>ESAB</t>
        </is>
      </c>
      <c r="B26" s="42" t="n">
        <v>19.8</v>
      </c>
      <c r="C26" s="42" t="n">
        <v>92.2</v>
      </c>
      <c r="D26" s="42" t="n">
        <v>100</v>
      </c>
      <c r="E26" s="42" t="n">
        <v>66</v>
      </c>
      <c r="F26" s="42" t="n">
        <v>85</v>
      </c>
    </row>
    <row r="27" ht="16" customHeight="1">
      <c r="A27" s="19" t="inlineStr">
        <is>
          <t>PINS</t>
        </is>
      </c>
      <c r="B27" s="35" t="n">
        <v>35.6</v>
      </c>
      <c r="C27" s="35" t="n">
        <v>100</v>
      </c>
      <c r="D27" s="35" t="n">
        <v>100</v>
      </c>
      <c r="E27" s="35" t="n">
        <v>100</v>
      </c>
      <c r="F27" s="35" t="n">
        <v>94</v>
      </c>
    </row>
    <row r="28" ht="16" customHeight="1">
      <c r="A28" s="24" t="inlineStr">
        <is>
          <t>RVTY</t>
        </is>
      </c>
      <c r="B28" s="42" t="n">
        <v>14</v>
      </c>
      <c r="C28" s="42" t="n">
        <v>100</v>
      </c>
      <c r="D28" s="42" t="n">
        <v>100</v>
      </c>
      <c r="E28" s="42" t="n">
        <v>84</v>
      </c>
      <c r="F28" s="42" t="n">
        <v>77.2</v>
      </c>
    </row>
    <row r="60">
      <c r="A60" t="inlineStr">
        <is>
          <t>Ticker</t>
        </is>
      </c>
      <c r="B60" t="inlineStr">
        <is>
          <t>Gross Margin</t>
        </is>
      </c>
      <c r="C60" t="inlineStr">
        <is>
          <t>Rev Growth</t>
        </is>
      </c>
      <c r="D60" t="inlineStr">
        <is>
          <t>Mkt Cap</t>
        </is>
      </c>
    </row>
    <row r="61">
      <c r="A61" t="inlineStr">
        <is>
          <t>KRMN</t>
        </is>
      </c>
      <c r="B61" t="n">
        <v>42.2</v>
      </c>
      <c r="C61" t="n">
        <v>51</v>
      </c>
      <c r="D61" t="n">
        <v>6552.1</v>
      </c>
    </row>
    <row r="62">
      <c r="A62" t="inlineStr">
        <is>
          <t>ESI</t>
        </is>
      </c>
      <c r="B62" t="n">
        <v>38.4</v>
      </c>
      <c r="C62" t="n">
        <v>41.5</v>
      </c>
      <c r="D62" t="n">
        <v>9705.299999999999</v>
      </c>
    </row>
    <row r="63">
      <c r="A63" t="inlineStr">
        <is>
          <t>RUN</t>
        </is>
      </c>
      <c r="B63" t="n">
        <v>30.4</v>
      </c>
      <c r="C63" t="n">
        <v>43.2</v>
      </c>
      <c r="D63" t="n">
        <v>3185.8</v>
      </c>
    </row>
    <row r="64">
      <c r="A64" t="inlineStr">
        <is>
          <t>LYFT</t>
        </is>
      </c>
      <c r="B64" t="n">
        <v>47.6</v>
      </c>
      <c r="C64" t="n">
        <v>13.8</v>
      </c>
      <c r="D64" t="n">
        <v>5182.7</v>
      </c>
    </row>
    <row r="65">
      <c r="A65" t="inlineStr">
        <is>
          <t>FELE</t>
        </is>
      </c>
      <c r="B65" t="n">
        <v>35</v>
      </c>
      <c r="C65" t="n">
        <v>9.9</v>
      </c>
      <c r="D65" t="n">
        <v>4354.6</v>
      </c>
    </row>
    <row r="66">
      <c r="A66" t="inlineStr">
        <is>
          <t>ALGM</t>
        </is>
      </c>
      <c r="B66" t="n">
        <v>47.1</v>
      </c>
      <c r="C66" t="n">
        <v>26.1</v>
      </c>
      <c r="D66" t="n">
        <v>8638.799999999999</v>
      </c>
    </row>
    <row r="67">
      <c r="A67" t="inlineStr">
        <is>
          <t>IPGP</t>
        </is>
      </c>
      <c r="B67" t="n">
        <v>37.5</v>
      </c>
      <c r="C67" t="n">
        <v>16.6</v>
      </c>
      <c r="D67" t="n">
        <v>4557.2</v>
      </c>
    </row>
    <row r="68">
      <c r="A68" t="inlineStr">
        <is>
          <t>ESAB</t>
        </is>
      </c>
      <c r="B68" t="n">
        <v>36.9</v>
      </c>
      <c r="C68" t="n">
        <v>9.9</v>
      </c>
      <c r="D68" t="n">
        <v>5354.5</v>
      </c>
    </row>
    <row r="69">
      <c r="A69" t="inlineStr">
        <is>
          <t>PINS</t>
        </is>
      </c>
      <c r="B69" t="n">
        <v>76.3</v>
      </c>
      <c r="C69" t="n">
        <v>17.8</v>
      </c>
      <c r="D69" t="n">
        <v>14237.6</v>
      </c>
    </row>
    <row r="70">
      <c r="A70" t="inlineStr">
        <is>
          <t>RVTY</t>
        </is>
      </c>
      <c r="B70" t="n">
        <v>54.5</v>
      </c>
      <c r="C70" t="n">
        <v>7</v>
      </c>
      <c r="D70" t="n">
        <v>10974.2</v>
      </c>
    </row>
  </sheetData>
  <mergeCells count="3">
    <mergeCell ref="A2:V2"/>
    <mergeCell ref="A1:V1"/>
    <mergeCell ref="A17:V17"/>
  </mergeCells>
  <conditionalFormatting sqref="K5:K14">
    <cfRule type="colorScale" priority="1">
      <colorScale>
        <cfvo type="num" val="0"/>
        <cfvo type="num" val="50"/>
        <cfvo type="num" val="100"/>
        <color rgb="00C1121F"/>
        <color rgb="00F9C74F"/>
        <color rgb="001A6B3C"/>
      </colorScale>
    </cfRule>
  </conditionalFormatting>
  <conditionalFormatting sqref="L5:L14">
    <cfRule type="colorScale" priority="2">
      <colorScale>
        <cfvo type="num" val="0"/>
        <cfvo type="num" val="50"/>
        <cfvo type="num" val="100"/>
        <color rgb="00C1121F"/>
        <color rgb="00F9C74F"/>
        <color rgb="001A6B3C"/>
      </colorScale>
    </cfRule>
  </conditionalFormatting>
  <conditionalFormatting sqref="M5:M14">
    <cfRule type="colorScale" priority="3">
      <colorScale>
        <cfvo type="num" val="0"/>
        <cfvo type="num" val="50"/>
        <cfvo type="num" val="100"/>
        <color rgb="00C1121F"/>
        <color rgb="00F9C74F"/>
        <color rgb="001A6B3C"/>
      </colorScale>
    </cfRule>
  </conditionalFormatting>
  <conditionalFormatting sqref="N5:N14">
    <cfRule type="colorScale" priority="4">
      <colorScale>
        <cfvo type="num" val="0"/>
        <cfvo type="num" val="50"/>
        <cfvo type="num" val="100"/>
        <color rgb="00C1121F"/>
        <color rgb="00F9C74F"/>
        <color rgb="001A6B3C"/>
      </colorScale>
    </cfRule>
  </conditionalFormatting>
  <conditionalFormatting sqref="P5:P14">
    <cfRule type="colorScale" priority="5">
      <colorScale>
        <cfvo type="min"/>
        <cfvo type="max"/>
        <color rgb="002A9D8F"/>
        <color rgb="00E76F51"/>
      </colorScale>
    </cfRule>
  </conditionalFormatting>
  <conditionalFormatting sqref="F5:F14">
    <cfRule type="colorScale" priority="6">
      <colorScale>
        <cfvo type="min"/>
        <cfvo type="max"/>
        <color rgb="00FFFFFF"/>
        <color rgb="002A9D8F"/>
      </colorScale>
    </cfRule>
  </conditionalFormatting>
  <conditionalFormatting sqref="H5:H14">
    <cfRule type="colorScale" priority="7">
      <colorScale>
        <cfvo type="min"/>
        <cfvo type="max"/>
        <color rgb="00FFFFFF"/>
        <color rgb="002A9D8F"/>
      </colorScale>
    </cfRule>
  </conditionalFormatting>
  <conditionalFormatting sqref="I5:I14">
    <cfRule type="colorScale" priority="8">
      <colorScale>
        <cfvo type="min"/>
        <cfvo type="max"/>
        <color rgb="002A9D8F"/>
        <color rgb="00E76F51"/>
      </colorScale>
    </cfRule>
  </conditionalFormatting>
  <conditionalFormatting sqref="J5:J14">
    <cfRule type="colorScale" priority="9">
      <colorScale>
        <cfvo type="min"/>
        <cfvo type="max"/>
        <color rgb="00FFFFFF"/>
        <color rgb="002A9D8F"/>
      </colorScale>
    </cfRule>
  </conditionalFormatting>
  <conditionalFormatting sqref="R5:R14">
    <cfRule type="colorScale" priority="10">
      <colorScale>
        <cfvo type="min"/>
        <cfvo type="num" val="0"/>
        <cfvo type="max"/>
        <color rgb="00E76F51"/>
        <color rgb="00FFFFFF"/>
        <color rgb="002A9D8F"/>
      </colorScale>
    </cfRule>
  </conditionalFormatting>
  <conditionalFormatting sqref="S5:S14">
    <cfRule type="colorScale" priority="11">
      <colorScale>
        <cfvo type="min"/>
        <cfvo type="num" val="0"/>
        <cfvo type="max"/>
        <color rgb="00E76F51"/>
        <color rgb="00FFFFFF"/>
        <color rgb="002A9D8F"/>
      </colorScale>
    </cfRule>
  </conditionalFormatting>
  <conditionalFormatting sqref="T5:T14">
    <cfRule type="colorScale" priority="12">
      <colorScale>
        <cfvo type="min"/>
        <cfvo type="num" val="0"/>
        <cfvo type="max"/>
        <color rgb="00E76F51"/>
        <color rgb="00FFFFFF"/>
        <color rgb="002A9D8F"/>
      </colorScale>
    </cfRule>
  </conditionalFormatting>
  <conditionalFormatting sqref="U5:U14">
    <cfRule type="colorScale" priority="13">
      <colorScale>
        <cfvo type="min"/>
        <cfvo type="num" val="0"/>
        <cfvo type="max"/>
        <color rgb="00E76F51"/>
        <color rgb="00FFFFFF"/>
        <color rgb="002A9D8F"/>
      </colorScale>
    </cfRule>
  </conditionalFormatting>
  <conditionalFormatting sqref="V5:V14">
    <cfRule type="colorScale" priority="14">
      <colorScale>
        <cfvo type="min"/>
        <cfvo type="num" val="0"/>
        <cfvo type="max"/>
        <color rgb="00E76F51"/>
        <color rgb="00FFFFFF"/>
        <color rgb="002A9D8F"/>
      </colorScale>
    </cfRule>
  </conditionalFormatting>
  <conditionalFormatting sqref="B19:B28">
    <cfRule type="colorScale" priority="15">
      <colorScale>
        <cfvo type="num" val="0"/>
        <cfvo type="num" val="50"/>
        <cfvo type="num" val="100"/>
        <color rgb="00C1121F"/>
        <color rgb="00F9C74F"/>
        <color rgb="001A6B3C"/>
      </colorScale>
    </cfRule>
  </conditionalFormatting>
  <conditionalFormatting sqref="C19:C28">
    <cfRule type="colorScale" priority="16">
      <colorScale>
        <cfvo type="num" val="0"/>
        <cfvo type="num" val="50"/>
        <cfvo type="num" val="100"/>
        <color rgb="00C1121F"/>
        <color rgb="00F9C74F"/>
        <color rgb="001A6B3C"/>
      </colorScale>
    </cfRule>
  </conditionalFormatting>
  <conditionalFormatting sqref="D19:D28">
    <cfRule type="colorScale" priority="17">
      <colorScale>
        <cfvo type="num" val="0"/>
        <cfvo type="num" val="50"/>
        <cfvo type="num" val="100"/>
        <color rgb="00C1121F"/>
        <color rgb="00F9C74F"/>
        <color rgb="001A6B3C"/>
      </colorScale>
    </cfRule>
  </conditionalFormatting>
  <conditionalFormatting sqref="E19:E28">
    <cfRule type="colorScale" priority="18">
      <colorScale>
        <cfvo type="num" val="0"/>
        <cfvo type="num" val="50"/>
        <cfvo type="num" val="100"/>
        <color rgb="00C1121F"/>
        <color rgb="00F9C74F"/>
        <color rgb="001A6B3C"/>
      </colorScale>
    </cfRule>
  </conditionalFormatting>
  <conditionalFormatting sqref="F19:F28">
    <cfRule type="colorScale" priority="19">
      <colorScale>
        <cfvo type="num" val="0"/>
        <cfvo type="num" val="50"/>
        <cfvo type="num" val="100"/>
        <color rgb="00C1121F"/>
        <color rgb="00F9C74F"/>
        <color rgb="001A6B3C"/>
      </colorScale>
    </cfRule>
  </conditionalFormatting>
  <pageMargins left="0.75" right="0.75" top="1" bottom="1" header="0.5" footer="0.5"/>
  <pageSetup orientation="landscape" fitToWidth="1"/>
  <drawing xmlns:r="http://schemas.openxmlformats.org/officeDocument/2006/relationships" r:id="rId1"/>
</worksheet>
</file>

<file path=xl/worksheets/sheet5.xml><?xml version="1.0" encoding="utf-8"?>
<worksheet xmlns="http://schemas.openxmlformats.org/spreadsheetml/2006/main">
  <sheetPr>
    <tabColor rgb="002E3B4E"/>
    <outlinePr summaryBelow="1" summaryRight="1"/>
    <pageSetUpPr fitToPage="1"/>
  </sheetPr>
  <dimension ref="A1:F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8" customWidth="1" min="3" max="3"/>
    <col width="22" customWidth="1" min="4" max="4"/>
    <col width="12" customWidth="1" min="5" max="5"/>
    <col width="55" customWidth="1" min="6" max="6"/>
  </cols>
  <sheetData>
    <row r="1" ht="28" customHeight="1">
      <c r="A1" s="30" t="inlineStr">
        <is>
          <t>Company Descriptions &amp; Profiles</t>
        </is>
      </c>
      <c r="B1" s="11" t="n"/>
      <c r="C1" s="11" t="n"/>
      <c r="D1" s="11" t="n"/>
      <c r="E1" s="11" t="n"/>
      <c r="F1" s="11" t="n"/>
    </row>
    <row r="2" ht="22" customHeight="1">
      <c r="A2" s="31" t="inlineStr">
        <is>
          <t>All screened companies  |  June 06, 2026</t>
        </is>
      </c>
      <c r="B2" s="12" t="n"/>
      <c r="C2" s="12" t="n"/>
      <c r="D2" s="12" t="n"/>
      <c r="E2" s="12" t="n"/>
      <c r="F2" s="12" t="n"/>
    </row>
    <row r="3" ht="8" customHeight="1"/>
    <row r="4" ht="18" customHeight="1">
      <c r="A4" s="18" t="inlineStr">
        <is>
          <t>Ticker</t>
        </is>
      </c>
      <c r="B4" s="18" t="inlineStr">
        <is>
          <t>Company</t>
        </is>
      </c>
      <c r="C4" s="18" t="inlineStr">
        <is>
          <t>Sector</t>
        </is>
      </c>
      <c r="D4" s="18" t="inlineStr">
        <is>
          <t>Industry</t>
        </is>
      </c>
      <c r="E4" s="18" t="inlineStr">
        <is>
          <t>Tier</t>
        </is>
      </c>
      <c r="F4" s="18" t="inlineStr">
        <is>
          <t>Description</t>
        </is>
      </c>
    </row>
    <row r="5" ht="60" customHeight="1">
      <c r="A5" s="19" t="inlineStr">
        <is>
          <t>KULR</t>
        </is>
      </c>
      <c r="B5" s="20" t="inlineStr">
        <is>
          <t>KULR Technology Group, Inc.</t>
        </is>
      </c>
      <c r="C5" s="20" t="inlineStr">
        <is>
          <t>Technology</t>
        </is>
      </c>
      <c r="D5" s="20" t="inlineStr">
        <is>
          <t>Hardware, Equipment &amp; Parts</t>
        </is>
      </c>
      <c r="E5" s="47" t="inlineStr">
        <is>
          <t>Nano Cap</t>
        </is>
      </c>
      <c r="F5" s="48" t="inlineStr">
        <is>
          <t>KULR Technology Group, Inc., through its subsidiary, KULR Technology Corporation, develops and commercializes thermal management technologies for batteries, electronics, and other components applications in the United States. It offers lithium-ion battery thermal runaway shields; fiber thermal interface materials; phase change material heatsinks; internal short circuit device; KULR battery cell screening and testing automation system and tech safe case; cellcheck; and CRUX cathodes. The company's technologies are used in electric vehicles, energy storage, battery recycling transportation, cloud computing, and 5G communication devices. It sells its products for applications, such as lithium-ion battery energy storage, electric vehicles, 5G communication, cloud computer infrastructure, consumer, and industrial devices. The company was formerly known as KT High-Tech Marketing Inc. and changed its name to KULR Technology Group, Inc. in August 2018. KULR Technology Group, Inc. was founded i</t>
        </is>
      </c>
    </row>
    <row r="6" ht="60" customHeight="1">
      <c r="A6" s="24" t="inlineStr">
        <is>
          <t>KVHI</t>
        </is>
      </c>
      <c r="B6" s="25" t="inlineStr">
        <is>
          <t>KVH Industries, Inc.</t>
        </is>
      </c>
      <c r="C6" s="25" t="inlineStr">
        <is>
          <t>Technology</t>
        </is>
      </c>
      <c r="D6" s="49" t="inlineStr">
        <is>
          <t>Communication Equipment</t>
        </is>
      </c>
      <c r="E6" s="50" t="inlineStr">
        <is>
          <t>Nano Cap</t>
        </is>
      </c>
      <c r="F6" s="51" t="inlineStr">
        <is>
          <t>KVH Industries, Inc. designs, develops, manufactures, and markets mobile connectivity products and services for the marine and land mobile markets in the United States and internationally. The company operates through Mobile Connectivity and Inertial Navigation segments. The company offers mobile satellite TV and communications products; two-way satellite communications systems; onboard TracPhone terminals and hub equipment; data management software; and Iridium OpenPort hardware products and services. It also offers airtime plans that enable customers to obtain Internet and voice services; and value-added, and news and radio content services to retail customers. In addition, the company provides navigation, guidance, and stabilization products for the commercial and defense markets comprising precision fiber optic gyro-based systems; tactical navigation systems for tactical trucks and light armored vehicles; and commercial products, such as navigation and positioning systems for vario</t>
        </is>
      </c>
    </row>
    <row r="7" ht="60" customHeight="1">
      <c r="A7" s="19" t="inlineStr">
        <is>
          <t>INTT</t>
        </is>
      </c>
      <c r="B7" s="20" t="inlineStr">
        <is>
          <t>inTEST Corporation</t>
        </is>
      </c>
      <c r="C7" s="20" t="inlineStr">
        <is>
          <t>Technology</t>
        </is>
      </c>
      <c r="D7" s="52" t="inlineStr">
        <is>
          <t>Semiconductors</t>
        </is>
      </c>
      <c r="E7" s="47" t="inlineStr">
        <is>
          <t>Nano Cap</t>
        </is>
      </c>
      <c r="F7" s="48" t="inlineStr">
        <is>
          <t xml:space="preserve">inTEST Corporation supplies test and process solutions for use in manufacturing and testing in automotive, defense/aerospace, industrial, life sciences, security, and semiconductor markets worldwide. The company operates through two segments, Thermal Products (Thermal) and Electromechanical Semiconductor Products (EMS). The Thermal segment offers ThermoStream products that are used in the semi market as a stand-alone temperature management tool, or in various electronic test applications; Thermal Chambers; Thermal Platforms; Thermonics temperature conditioning products that provide tempered gas or fluid; ultra-cold storage solutions, including biomedical freezers, refrigerators, and mobile storage solutions; EKOHEAT and EASYHEAT induction heating systems; and digital streaming and image capturing solutions. The EMS segment provides in2, Cobal, and LS series manipulators that hold various test heads and enable an operator to reposition a test head for alternate use with various probers </t>
        </is>
      </c>
    </row>
    <row r="8" ht="60" customHeight="1">
      <c r="A8" s="24" t="inlineStr">
        <is>
          <t>CODA</t>
        </is>
      </c>
      <c r="B8" s="25" t="inlineStr">
        <is>
          <t>Coda Octopus Group, Inc.</t>
        </is>
      </c>
      <c r="C8" s="25" t="inlineStr">
        <is>
          <t>Industrials</t>
        </is>
      </c>
      <c r="D8" s="53" t="inlineStr">
        <is>
          <t>Aerospace &amp; Defense</t>
        </is>
      </c>
      <c r="E8" s="50" t="inlineStr">
        <is>
          <t>Nano Cap</t>
        </is>
      </c>
      <c r="F8" s="51" t="inlineStr">
        <is>
          <t>Coda Octopus Group, Inc., together with its subsidiaries, develops and sells underwater technologies and equipment for 3D imaging, mapping, defense, and survey applications in the Americas, Europe, Australia, Asia, the Middle East, and Africa. The company operates through two segments, Marine Engineering Business and Marine Technology Business. It sells technology solutions to the subsea and underwater markets. The company's solutions include geophysical systems, a geophysical data acquisition systems, processing, and analysis software that are used primarily by survey companies, offshore renewable companies, research institutions, and salvage companies; GNSS-aided navigation systems; Echoscope and Echoscope PIPE used for real time monitoring of cable installations for offshore wind projects; and diver augmented vision display system. It offers CodaOctopus GeoSurvey products, such as hardware and software solutions for field acquisition of sidescan sonar and sub-bottom profiler; and Co</t>
        </is>
      </c>
    </row>
    <row r="9" ht="60" customHeight="1">
      <c r="A9" s="19" t="inlineStr">
        <is>
          <t>WSTL</t>
        </is>
      </c>
      <c r="B9" s="20" t="inlineStr">
        <is>
          <t>Westell Technologies, Inc.</t>
        </is>
      </c>
      <c r="C9" s="20" t="inlineStr">
        <is>
          <t>Technology</t>
        </is>
      </c>
      <c r="D9" s="49" t="inlineStr">
        <is>
          <t>Communication Equipment</t>
        </is>
      </c>
      <c r="E9" s="47" t="inlineStr">
        <is>
          <t>Nano Cap</t>
        </is>
      </c>
      <c r="F9" s="48" t="inlineStr">
        <is>
          <t>Westell Technologies, Inc., through its subsidiary, Westell, Inc., designs, manufactures, and distributes telecommunications products to telephone companies in the United States. It operates through three segments: In-Building Wireless (IBW), Intelligent Site Management (ISM), and Communications Network Solutions (CNS). The IBW segment provides indoor distributed antenna systems (DAS); DAS conditioners and digital repeaters; class A and B repeaters, class A/B fiber DAS systems, and battery backup units; and system components and antennas for cellular services and public safety markets. The ISM segment offers a suite of remote units, which provide machine-to-machine communications that enable operators to remotely monitor, manage, and control site infrastructure and support systems, as well as support and deployment services. The CNS segment provides a range of indoor and outdoor network infrastructure, such as integrated cabinets, power distribution products, copper and fiber network c</t>
        </is>
      </c>
    </row>
    <row r="10" ht="60" customHeight="1">
      <c r="A10" s="24" t="inlineStr">
        <is>
          <t>SCTQ</t>
        </is>
      </c>
      <c r="B10" s="25" t="inlineStr">
        <is>
          <t>Spectra Systems Corporation</t>
        </is>
      </c>
      <c r="C10" s="25" t="inlineStr">
        <is>
          <t>Technology</t>
        </is>
      </c>
      <c r="D10" s="25" t="inlineStr">
        <is>
          <t>Software - Application</t>
        </is>
      </c>
      <c r="E10" s="50" t="inlineStr">
        <is>
          <t>Nano Cap</t>
        </is>
      </c>
      <c r="F10" s="51" t="inlineStr">
        <is>
          <t>Spectra Systems Corporation invents, develops, and sells integrated optical systems in Rhode Island and internationally. It operates through three segments: Authentication Systems, Secure Transactions, and Banknote Cleaning. The company offers integrated solutions, including a system of taggant materials and sensor technology to authenticate banknotes that are used by central banks, as well as G7 country for passport security; banknote cleaning and disinfection systems that lifts sebum and other substances from the banknote through a dry process based on supercritical CO2 cleaning; and solutions to authenticate brand name products. It also provides optical materials for security and quality control, such as fluorescent and phosphorescent pigments and dyes, invisible pigments and dyes, and gasochromic response materials; customized materials and hardware solutions; and internal control systems used to verify the accuracy of transactions logged by providers of lottery and gaming operator</t>
        </is>
      </c>
    </row>
    <row r="11" ht="60" customHeight="1">
      <c r="A11" s="19" t="inlineStr">
        <is>
          <t>ESP</t>
        </is>
      </c>
      <c r="B11" s="20" t="inlineStr">
        <is>
          <t>Espey Mfg. &amp; Electronics Corp.</t>
        </is>
      </c>
      <c r="C11" s="20" t="inlineStr">
        <is>
          <t>Industrials</t>
        </is>
      </c>
      <c r="D11" s="20" t="inlineStr">
        <is>
          <t>Electrical Equipment &amp; Parts</t>
        </is>
      </c>
      <c r="E11" s="47" t="inlineStr">
        <is>
          <t>Nano Cap</t>
        </is>
      </c>
      <c r="F11" s="48" t="inlineStr">
        <is>
          <t>Espey Mfg. &amp; Electronics Corp., a power electronics design and original equipment manufacturing company, designs, manufactures, and tests electronic equipment primarily for use in military and industrial applications in the United States and internationally. The company's principal products include power supplies, power converters, filters, power transformers, magnetic components, power distribution equipment, UPS systems, antennas, and high-power radar systems for use in AC and DC locomotives, shipboard power, shipboard radar, airborne power, ground-based radar, and ground mobile power applications. It also provides various services comprising design and development to specification, build to print, design services, design studies, environmental testing services, metal fabrication, painting services, and development of automatic testing equipment. In addition, the company produces individual components, such as inductors, printed circuit boards, wires, and tests items. It serves indus</t>
        </is>
      </c>
    </row>
    <row r="12" ht="60" customHeight="1">
      <c r="A12" s="24" t="inlineStr">
        <is>
          <t>BZAI</t>
        </is>
      </c>
      <c r="B12" s="25" t="inlineStr">
        <is>
          <t>Blaize Holdings, Inc.</t>
        </is>
      </c>
      <c r="C12" s="25" t="inlineStr">
        <is>
          <t>Technology</t>
        </is>
      </c>
      <c r="D12" s="52" t="inlineStr">
        <is>
          <t>Semiconductors</t>
        </is>
      </c>
      <c r="E12" s="50" t="inlineStr">
        <is>
          <t>Nano Cap</t>
        </is>
      </c>
      <c r="F12" s="51" t="inlineStr">
        <is>
          <t>Blaize Holdings, Inc. provides artificial intelligence (AI)-enabled edge computing solutions. It offers AI edge computing products, including Blaize Pathfinder P1600 embedded system on modules, Blaize Xplorer X1600E EDSFF small form factor accelerators, Blaize Xplorer X600M M.2 small form factor accelerator platforms, Blaize Xplorer X1600P PCIe accelerators, Blaize Xplorer X1600P-Q PCIe accelerators, and Blaize Pathfinder 1600-DK embedded kits. The company also provides Blaize AI studio that delivers AI-driven application end-to-end data operations, development operations, and machine learning operation tools; and AI Studio marketplace, which allows users to browse and use AI/ML artifacts to run or share securely across their team and organization. It serves automotive, smart vision, and enterprise computing markets. The company was founded in 2010 and is headquartered in El Dorado Hills, California.</t>
        </is>
      </c>
    </row>
    <row r="13" ht="60" customHeight="1">
      <c r="A13" s="19" t="inlineStr">
        <is>
          <t>TAYD</t>
        </is>
      </c>
      <c r="B13" s="20" t="inlineStr">
        <is>
          <t>Taylor Devices, Inc.</t>
        </is>
      </c>
      <c r="C13" s="20" t="inlineStr">
        <is>
          <t>Industrials</t>
        </is>
      </c>
      <c r="D13" s="20" t="inlineStr">
        <is>
          <t>Industrial - Machinery</t>
        </is>
      </c>
      <c r="E13" s="47" t="inlineStr">
        <is>
          <t>Nano Cap</t>
        </is>
      </c>
      <c r="F13" s="48" t="inlineStr">
        <is>
          <t>Taylor Devices, Inc. engages in design, development, manufacture, and marketing of shock absorption, rate control, and energy storage devices for use in machinery, equipment, and structures in North America, Asia, and internationally. Its products include seismic dampers that are designed to mitigate the effects of earthquakes on structures; Fluidicshoks, which are compact shock absorbers primarily used in defense, aerospace, and commercial industries; and crane and industrial buffers, which are larger versions of the Fluidicshoks for industrial application on cranes and crane trolleys, truck docks, ladle and ingot cars, ore trolleys, and car stops. The company's products also comprise self-adjusting shock absorbers that include versions of Fluidicshoks, and crane and industrial buffers, which automatically adjust to various impact conditions and are designed for high cycle application primarily in the heavy industry; liquid die springs that are used as component parts of machinery and</t>
        </is>
      </c>
    </row>
    <row r="14" ht="60" customHeight="1">
      <c r="A14" s="24" t="inlineStr">
        <is>
          <t>BYRN</t>
        </is>
      </c>
      <c r="B14" s="25" t="inlineStr">
        <is>
          <t>Byrna Technologies Inc.</t>
        </is>
      </c>
      <c r="C14" s="25" t="inlineStr">
        <is>
          <t>Industrials</t>
        </is>
      </c>
      <c r="D14" s="53" t="inlineStr">
        <is>
          <t>Aerospace &amp; Defense</t>
        </is>
      </c>
      <c r="E14" s="50" t="inlineStr">
        <is>
          <t>Nano Cap</t>
        </is>
      </c>
      <c r="F14" s="51" t="inlineStr">
        <is>
          <t>Byrna Technologies Inc., a less-lethal defense technology company, develops and manufactures less-lethal munitions. It offers a Byrna line of handheld personal security devices, including the Byrna SD and Byrna SD .68 caliber handheld personal security devices that are designed to be used by civilians and private security professionals, as well as Byrna HD magazines, shoulder-fired launchers, and projectiles. The company also offers accessories and related safety products, including the Byrna Banshee, Byrna Shield, compressed carbon dioxide canisters, sighting systems, holsters, and Byrna-branded apparels. It operates in the United States and South Africa. The company was formerly known as Security Devices International, Inc. and changed its name to Byrna Technologies Inc. in March 2020. Byrna Technologies Inc. was incorporated in 2005 and is headquartered in Andover, Massachusetts.</t>
        </is>
      </c>
    </row>
    <row r="15" ht="60" customHeight="1">
      <c r="A15" s="19" t="inlineStr">
        <is>
          <t>DSP</t>
        </is>
      </c>
      <c r="B15" s="20" t="inlineStr">
        <is>
          <t>Viant Technology Inc.</t>
        </is>
      </c>
      <c r="C15" s="20" t="inlineStr">
        <is>
          <t>Technology</t>
        </is>
      </c>
      <c r="D15" s="20" t="inlineStr">
        <is>
          <t>Software - Application</t>
        </is>
      </c>
      <c r="E15" s="47" t="inlineStr">
        <is>
          <t>Small Cap</t>
        </is>
      </c>
      <c r="F15" s="48" t="inlineStr">
        <is>
          <t>Viant Technology Inc. operates as an advertising technology company. It provides ViantAI, an artificial intelligence product suite; Holistic, Omnichannel DSP, an integrated platform that manages omnichannel campaigns and access metrics; Household ID, which combines digital and personal identifiers into a normalized household profile; IRIS_ID, a content identifier that allows partners to share video-level data to power planning, targeting, and measurement solutions in ad-supported streaming media; and Viant Data Platform, which offers the ability to integrate first-party data with data from top third-party data providers in order to obtain key insights, reporting, and attribution opportunities. The company also offers Direct Access, a supply path optimization program that creates a direct path to premium inventory; Advanced Reporting and Measurement that offers conversion lift, multi-touch attribution, foot-traffic data reports, digital-out-of-home lift, sales reporting, and ROAS analyt</t>
        </is>
      </c>
    </row>
    <row r="16" ht="60" customHeight="1">
      <c r="A16" s="24" t="inlineStr">
        <is>
          <t>EVLV</t>
        </is>
      </c>
      <c r="B16" s="25" t="inlineStr">
        <is>
          <t>Evolv Technologies Holdings, Inc.</t>
        </is>
      </c>
      <c r="C16" s="25" t="inlineStr">
        <is>
          <t>Industrials</t>
        </is>
      </c>
      <c r="D16" s="25" t="inlineStr">
        <is>
          <t>Security &amp; Protection Services</t>
        </is>
      </c>
      <c r="E16" s="50" t="inlineStr">
        <is>
          <t>Small Cap</t>
        </is>
      </c>
      <c r="F16" s="51" t="inlineStr">
        <is>
          <t>Evolv Technologies Holdings, Inc. provides artificial intelligence (AI)-based touchless security screening systems. Its products include Evolv Express, a touchless security screening system designed to detect firearms, improvised explosive devices, and tactical knives as visitors walk through at a normal pace; Evolv Insights that provides self-serve access, insights regarding visitor flow and arrival curves, location specific performance, system detection performance, and alarm statistics; and Evolv Edge to detect non-metallic explosive devices, explosive devices, firearms, and tactical knives without requiring visitors to divest or empty their pockets. The company is headquartered in Waltham, Massachusetts.</t>
        </is>
      </c>
    </row>
    <row r="17" ht="60" customHeight="1">
      <c r="A17" s="19" t="inlineStr">
        <is>
          <t>PKE</t>
        </is>
      </c>
      <c r="B17" s="20" t="inlineStr">
        <is>
          <t>Park Aerospace Corp.</t>
        </is>
      </c>
      <c r="C17" s="20" t="inlineStr">
        <is>
          <t>Industrials</t>
        </is>
      </c>
      <c r="D17" s="53" t="inlineStr">
        <is>
          <t>Aerospace &amp; Defense</t>
        </is>
      </c>
      <c r="E17" s="47" t="inlineStr">
        <is>
          <t>Small Cap</t>
        </is>
      </c>
      <c r="F17" s="48" t="inlineStr">
        <is>
          <t>Park Aerospace Corp. develops and manufactures solution and hot-melt advanced composite materials used to produce composite structures for the aerospace market in North America, Asia, and Europe. It offers advanced composite materials, including film adhesives and lightning strike materials that are used to produce primary and secondary structures for jet engines, large and regional transport aircrafts, military aircrafts, unmanned aerial vehicles, business jets, general aviation aircrafts, and rotary wing aircrafts. The company also provides specialty ablative materials for rocket motors and nozzles; and specially designed materials for radome applications. In addition, it designs and fabricates composite parts, structures and assemblies, and low volume tooling for the aerospace industry. The company was formerly known as Park Electrochemical Corp. and changed its name to Park Aerospace Corp. in July 2019. Park Aerospace Corp. was incorporated in 1954 and is based in Westbury, New Yor</t>
        </is>
      </c>
    </row>
    <row r="18" ht="60" customHeight="1">
      <c r="A18" s="24" t="inlineStr">
        <is>
          <t>CMCO</t>
        </is>
      </c>
      <c r="B18" s="25" t="inlineStr">
        <is>
          <t>Columbus McKinnon Corporation</t>
        </is>
      </c>
      <c r="C18" s="25" t="inlineStr">
        <is>
          <t>Industrials</t>
        </is>
      </c>
      <c r="D18" s="25" t="inlineStr">
        <is>
          <t>Agricultural - Machinery</t>
        </is>
      </c>
      <c r="E18" s="50" t="inlineStr">
        <is>
          <t>Small Cap</t>
        </is>
      </c>
      <c r="F18" s="51" t="inlineStr">
        <is>
          <t>Columbus McKinnon Corporation designs, manufactures, and markets intelligent motion solutions to ergonomically move, lift, position, and secure materials worldwide. The company offers electric, air-powered, lever, and hand hoists; hoist trolleys, explosion-protected and custom engineered hoists, and winches; crane systems, such as crane components and kits, enclosed track rail systems, mobile and jib cranes, and fall protection systems, as well as material handling solutions; rigging equipment comprising below-the-hook lifting devices, shackles, chains and chains accessories, forestry and hand tools, lifting slings, lashing systems, and tie-downs and load binders; rotary unions and swivel joints; and mechanical and electromechanical actuators. It also provides power and motion technology products, including AC motor controls and line regenerative systems, automation and diagnostics, brakes, cable and festoon systems, collision avoidance systems, conductor bar systems, DC motor and magn</t>
        </is>
      </c>
    </row>
    <row r="19" ht="60" customHeight="1">
      <c r="A19" s="19" t="inlineStr">
        <is>
          <t>CDRE</t>
        </is>
      </c>
      <c r="B19" s="20" t="inlineStr">
        <is>
          <t>Cadre Holdings, Inc.</t>
        </is>
      </c>
      <c r="C19" s="20" t="inlineStr">
        <is>
          <t>Industrials</t>
        </is>
      </c>
      <c r="D19" s="53" t="inlineStr">
        <is>
          <t>Aerospace &amp; Defense</t>
        </is>
      </c>
      <c r="E19" s="47" t="inlineStr">
        <is>
          <t>Small Cap</t>
        </is>
      </c>
      <c r="F19" s="48" t="inlineStr">
        <is>
          <t>Cadre Holdings, Inc. manufactures and distributes safety and survivability equipment that provides protection to users in hazardous or life-threatening situations in the United States and internationally. The company operates in two segments, Products and Distribution. It primarily provides body armor product, such as concealable, corrections, and tactical armor under the Safariland and Protech Tactical brands; survival suits, remotely operated vehicles, specialty tools, blast sensors, accessories, and vehicle blast attenuation seats for bomb safety technicians; bomb suits; duty gear, including belts and accessories; and other protective and law enforcement equipment comprising communications gear, forensic and investigation products, firearms cleaning solutions, and crowd control products. The company also offers third-party products, such as uniforms, optics, boots, firearms, and ammunition. It serves first responders, such as state and local law enforcement, fire and rescue, explosi</t>
        </is>
      </c>
    </row>
    <row r="20" ht="60" customHeight="1">
      <c r="A20" s="24" t="inlineStr">
        <is>
          <t>ADTN</t>
        </is>
      </c>
      <c r="B20" s="25" t="inlineStr">
        <is>
          <t>ADTRAN Holdings, Inc.</t>
        </is>
      </c>
      <c r="C20" s="25" t="inlineStr">
        <is>
          <t>Technology</t>
        </is>
      </c>
      <c r="D20" s="49" t="inlineStr">
        <is>
          <t>Communication Equipment</t>
        </is>
      </c>
      <c r="E20" s="50" t="inlineStr">
        <is>
          <t>Small Cap</t>
        </is>
      </c>
      <c r="F20" s="51" t="inlineStr">
        <is>
          <t>ADTRAN Holdings, Inc., through its subsidiaries, provides end-to-end fiber networking solutions for communications service provider, enterprises, and government customers in the United States, Germany, the United Kingdom, Mexico, and internationally. It operates through two segments, Network Solutions, and Services &amp; Support. The company offers fiber access and fiber to the node platforms; transceivers, cables, and other miscellaneous materials; passive optical network optical line terminals; fiber to the distribution point Gfast distribution point units; cabinet and outside plant enclosures and services; packet optical transports; fixed wireless access platforms; and network management and subscriber services, and control and orchestration software. It also provides broadband customer premises solutions, ethernet switches and routers, residential gateways, cloud-based software-as-a-service management platforms, virtual wireless local area networks, Internet of Things gateways, pre-sal</t>
        </is>
      </c>
    </row>
    <row r="21" ht="60" customHeight="1">
      <c r="A21" s="19" t="inlineStr">
        <is>
          <t>WYFI</t>
        </is>
      </c>
      <c r="B21" s="20" t="inlineStr">
        <is>
          <t>WhiteFiber, Inc. Ordinary Shares</t>
        </is>
      </c>
      <c r="C21" s="20" t="inlineStr">
        <is>
          <t>Technology</t>
        </is>
      </c>
      <c r="D21" s="20" t="inlineStr">
        <is>
          <t>Information Technology Services</t>
        </is>
      </c>
      <c r="E21" s="47" t="inlineStr">
        <is>
          <t>Small Cap</t>
        </is>
      </c>
      <c r="F21" s="48" t="inlineStr">
        <is>
          <t>WhiteFiber, Inc. provides AI-focused infrastructure solutions through the development and operation of GPU-optimized data centers and cloud platforms. The company offers colocation, hosting, and GPU-as-a-service, supporting compute, storage, and networking needs for AI and machine learning workloads. WhiteFiber operates on a vertically integrated model and was spun off from Bit Digital, Inc. before going public in August 2025. It is headquartered in the United States.</t>
        </is>
      </c>
    </row>
    <row r="22" ht="60" customHeight="1">
      <c r="A22" s="24" t="inlineStr">
        <is>
          <t>SWBI</t>
        </is>
      </c>
      <c r="B22" s="25" t="inlineStr">
        <is>
          <t>Smith &amp; Wesson Brands, Inc.</t>
        </is>
      </c>
      <c r="C22" s="25" t="inlineStr">
        <is>
          <t>Industrials</t>
        </is>
      </c>
      <c r="D22" s="53" t="inlineStr">
        <is>
          <t>Aerospace &amp; Defense</t>
        </is>
      </c>
      <c r="E22" s="50" t="inlineStr">
        <is>
          <t>Small Cap</t>
        </is>
      </c>
      <c r="F22" s="51" t="inlineStr">
        <is>
          <t>Smith &amp; Wesson Brands, Inc. designs, manufactures, and sells firearms worldwide. The company offers handguns, including revolvers and pistols; long guns, such as modern sporting rifles, bolt action rifles; handcuffs; suppressors; and other firearm-related products under the Smith &amp; Wesson, M&amp;P, and Gemtech brands. It also provides manufacturing services comprising forging, heat treating, rapid prototyping, tooling, finishing, plating, machining, and custom plastic injection molding to other businesses under the Smith &amp; Wesson and Smith &amp; Wesson Precision Components brand names; and sells parts purchased through third parties. The company sells its products to firearm enthusiasts, collectors, hunters, sportsmen, competitive shooters, individuals desiring home and personal protection, law enforcement, security agencies and officers, and military agencies. It markets its products through independent dealers, retailers, in-store retails, and direct to consumers; print, broadcast, and digit</t>
        </is>
      </c>
    </row>
    <row r="23" ht="60" customHeight="1">
      <c r="A23" s="19" t="inlineStr">
        <is>
          <t>ROCK</t>
        </is>
      </c>
      <c r="B23" s="20" t="inlineStr">
        <is>
          <t>Gibraltar Industries, Inc.</t>
        </is>
      </c>
      <c r="C23" s="20" t="inlineStr">
        <is>
          <t>Industrials</t>
        </is>
      </c>
      <c r="D23" s="20" t="inlineStr">
        <is>
          <t>Construction</t>
        </is>
      </c>
      <c r="E23" s="47" t="inlineStr">
        <is>
          <t>Small Cap</t>
        </is>
      </c>
      <c r="F23" s="48" t="inlineStr">
        <is>
          <t>Gibraltar Industries, Inc. manufactures and distributes building products for the renewable energy, residential, agtech, and infrastructure markets in North America and Asia. It operates through four segments: Renewables, Residential, Agtech, and Infrastructure. The Renewables segment designs, engineers, manufactures, and installs solar racking and electrical balance of systems. The Residential segment offers roof and foundation ventilation products and accessories, such as solar powered units; mail and electronic package solutions, including single mailboxes, cluster style mail and parcel boxes for single and multi-family housing, and electronic package locker systems; roof edgings and flashings; soffits and trims; drywall corner beads; metal roofing products and accessories; rain dispersion products comprising gutters and accessories; and exterior retractable awnings. This segment also provides electronic parcel lockers, rooftop safety kits, chimney caps, heat trace coils and exterio</t>
        </is>
      </c>
    </row>
    <row r="24" ht="60" customHeight="1">
      <c r="A24" s="24" t="inlineStr">
        <is>
          <t>BUKS</t>
        </is>
      </c>
      <c r="B24" s="25" t="inlineStr">
        <is>
          <t>Butler National Corporation</t>
        </is>
      </c>
      <c r="C24" s="25" t="inlineStr">
        <is>
          <t>Industrials</t>
        </is>
      </c>
      <c r="D24" s="53" t="inlineStr">
        <is>
          <t>Aerospace &amp; Defense</t>
        </is>
      </c>
      <c r="E24" s="50" t="inlineStr">
        <is>
          <t>Small Cap</t>
        </is>
      </c>
      <c r="F24" s="51" t="inlineStr">
        <is>
          <t>Butler National Corporation, together with its subsidiaries, engages in the designs, engineers, manufactures, sells, integrates, installs, repairs, modifies, overhauls, services, and distributes a portfolio of aerostructures, aircraft components, avionics, accessories, subassemblies, and systems worldwide. The company operates in two segments, Aerospace Products and Professional Services. The Aerospace Products segment provides aircraft modifications, which include business-size aircraft from passenger to freighter configuration, radar systems, addition of aerial photography capabilities, intelligence surveillance reconnaissance modifications, and stability enhancing modifications for Learjet, Beechcraft, Cessna, and Dassault Falcon aircraft along with other specialized modifications. This segment also manufactures, sells, and services electronics upgrades for classic weapon control systems that are used on military aircraft and vehicles; and sells, installs, and repairs avionics equip</t>
        </is>
      </c>
    </row>
    <row r="25" ht="60" customHeight="1">
      <c r="A25" s="19" t="inlineStr">
        <is>
          <t>KRMN</t>
        </is>
      </c>
      <c r="B25" s="20" t="inlineStr">
        <is>
          <t>Karman Holdings Inc.</t>
        </is>
      </c>
      <c r="C25" s="20" t="inlineStr">
        <is>
          <t>Industrials</t>
        </is>
      </c>
      <c r="D25" s="53" t="inlineStr">
        <is>
          <t>Aerospace &amp; Defense</t>
        </is>
      </c>
      <c r="E25" s="47" t="inlineStr">
        <is>
          <t>Breakout</t>
        </is>
      </c>
      <c r="F25" s="48" t="inlineStr">
        <is>
          <t>Karman Holdings Inc., through its subsidiary, Karman Space and Defense, engages in designing, testing, manufacturing, and sale of mission-critical systems for missile and defense, space programs, hypersonic, and launch vehicle markets. It also supplies metallic and composite flight hardware and sub-assemblies. In addition, the company provides solutions for payload protection and deployment systems, aerodynamic interstage systems, and propulsion systems. The company was incorporated in 2020 and is based in Huntington Beach, California. Karman Holdings Inc. is a subsidiary of TCFIII Spaceco SPV LP.</t>
        </is>
      </c>
    </row>
    <row r="26" ht="60" customHeight="1">
      <c r="A26" s="24" t="inlineStr">
        <is>
          <t>ESI</t>
        </is>
      </c>
      <c r="B26" s="25" t="inlineStr">
        <is>
          <t>Element Solutions Inc</t>
        </is>
      </c>
      <c r="C26" s="25" t="inlineStr">
        <is>
          <t>Basic Materials</t>
        </is>
      </c>
      <c r="D26" s="25" t="inlineStr">
        <is>
          <t>Chemicals - Specialty</t>
        </is>
      </c>
      <c r="E26" s="50" t="inlineStr">
        <is>
          <t>Breakout</t>
        </is>
      </c>
      <c r="F26" s="51" t="inlineStr">
        <is>
          <t>Element Solutions Inc operates as a specialty chemicals company in the United States, China, and internationally. The company operates in two segments, Electronics, and Industrial &amp; Specialty. The Electronics segment researches, formulates, and sells specialty chemicals and materials for various types of electronics hardware products. This segment also supplies solder technologies, fluxes, cleaners, and other attachment materials for the electronics assembly industry; proprietary liquid chemical processes to manufacture printed circuit boards; and advanced copper interconnects, die attachment, wafer bump processes, and photomask technologies for integrated circuit fabrication and semiconductor packaging. It primarily serves mobile communications, computers, automobiles, and aerospace equipment industries. The Industrial &amp; Specialty segment provides industrial solutions, which include chemical systems that protect and decorate metal and plastic surfaces; consumable chemicals that enable</t>
        </is>
      </c>
    </row>
    <row r="27" ht="60" customHeight="1">
      <c r="A27" s="19" t="inlineStr">
        <is>
          <t>RUN</t>
        </is>
      </c>
      <c r="B27" s="20" t="inlineStr">
        <is>
          <t>Sunrun Inc.</t>
        </is>
      </c>
      <c r="C27" s="20" t="inlineStr">
        <is>
          <t>Energy</t>
        </is>
      </c>
      <c r="D27" s="54" t="inlineStr">
        <is>
          <t>Solar</t>
        </is>
      </c>
      <c r="E27" s="47" t="inlineStr">
        <is>
          <t>Breakout</t>
        </is>
      </c>
      <c r="F27" s="48" t="inlineStr">
        <is>
          <t>Sunrun Inc. engages in the design, development, installation, sale, ownership, and maintenance of residential solar energy systems in the United States. It also sells solar energy systems and products, such as panels and racking; and solar leads generated to customers. In addition, the company offers battery storage along with solar energy systems. Its primary customers are residential homeowners. The company markets and sells its products through direct-to-consumer approach across online, retail, mass media, digital media, canvassing, field marketing, and referral channels, as well as its partner network. Sunrun Inc. was founded in 2007 and is headquartered in San Francisco, California.</t>
        </is>
      </c>
    </row>
    <row r="28" ht="60" customHeight="1">
      <c r="A28" s="24" t="inlineStr">
        <is>
          <t>LYFT</t>
        </is>
      </c>
      <c r="B28" s="25" t="inlineStr">
        <is>
          <t>Lyft, Inc.</t>
        </is>
      </c>
      <c r="C28" s="25" t="inlineStr">
        <is>
          <t>Technology</t>
        </is>
      </c>
      <c r="D28" s="25" t="inlineStr">
        <is>
          <t>Software - Application</t>
        </is>
      </c>
      <c r="E28" s="50" t="inlineStr">
        <is>
          <t>Breakout</t>
        </is>
      </c>
      <c r="F28" s="51" t="inlineStr">
        <is>
          <t>Lyft, Inc. operates a peer-to-peer marketplace for on-demand ridesharing in the United States and Canada. The company operates multimodal transportation networks that offer riders personalized and on-demand access to various mobility options. It provides Ridesharing Marketplace, which connects drivers with riders; Express Drive, a flexible car rentals program for drivers; Lyft Rentals that provides vehicles for long-distance trips; and a network of shared bikes and scooters in various cities to address the needs of riders for short trips. The company also integrates third-party public transit data into the Lyft app to offer riders various transportation options. In addition, it offers access to autonomous vehicles; centralized tools and enterprise transportation solutions, such as concierge transportation solutions for organizations; Lyft Pink subscription plans; Lyft Pass commuter programs; first-mile and last-mile services; and university safe rides programs. The company was formerly</t>
        </is>
      </c>
    </row>
    <row r="29" ht="60" customHeight="1">
      <c r="A29" s="19" t="inlineStr">
        <is>
          <t>FELE</t>
        </is>
      </c>
      <c r="B29" s="20" t="inlineStr">
        <is>
          <t>Franklin Electric Co., Inc.</t>
        </is>
      </c>
      <c r="C29" s="20" t="inlineStr">
        <is>
          <t>Industrials</t>
        </is>
      </c>
      <c r="D29" s="20" t="inlineStr">
        <is>
          <t>Industrial - Machinery</t>
        </is>
      </c>
      <c r="E29" s="47" t="inlineStr">
        <is>
          <t>Breakout</t>
        </is>
      </c>
      <c r="F29" s="48" t="inlineStr">
        <is>
          <t>Franklin Electric Co., Inc., together with its subsidiaries, designs, manufactures, and distributes water and fuel pumping systems worldwide. It operates through three segments: Water Systems, Fueling Systems, and Distribution. The Water Systems segment offers submersible motors, pumps, drives, electronic controls, water treatment systems, monitoring devices, and related parts and equipment. Its motors and pumps are used principally for pumping clean water and wastewater in various residential, agricultural, municipal, and industrial applications; and manufactures electronic drives and controls that are used in motors for controlling functionality, as well as provides protection from various hazards, such as electrical surges, over-heating, and dry wells or tanks. The Fueling Systems segment provides pumps, pipes, sumps, fittings, vapor recovery components, electronic controls, monitoring devices, and related parts and equipment primarily for use in fueling system applications. This se</t>
        </is>
      </c>
    </row>
    <row r="30" ht="60" customHeight="1">
      <c r="A30" s="24" t="inlineStr">
        <is>
          <t>ALGM</t>
        </is>
      </c>
      <c r="B30" s="25" t="inlineStr">
        <is>
          <t>Allegro MicroSystems, Inc.</t>
        </is>
      </c>
      <c r="C30" s="25" t="inlineStr">
        <is>
          <t>Technology</t>
        </is>
      </c>
      <c r="D30" s="52" t="inlineStr">
        <is>
          <t>Semiconductors</t>
        </is>
      </c>
      <c r="E30" s="50" t="inlineStr">
        <is>
          <t>Breakout</t>
        </is>
      </c>
      <c r="F30" s="51" t="inlineStr">
        <is>
          <t>Allegro MicroSystems, Inc. designs, develops, manufactures, and markets sensor integrated circuits (ICs) and application-specific analog power ICs for motion control and energy-efficient systems. Its products include magnetic sensor ICs, such as position, speed, and current sensor ICs; power ICs comprising motor driver ICs, and regulator and LED driver ICs; and photonic and 3D sensing components, including photodiodes, eye-safe lasers, and readout ICs for LiDAR applications. The company sells its products to original equipment manufacturers and suppliers primarily in the automotive and industrial markets through its direct sales force, third party distributors, independent sales representatives, and consignment. It operates in the United States, rest of the Americas, Europe, Japan, Greater China, South Korea, and other Asian markets. The company was founded in 1990 and is headquartered in Manchester, New Hampshire. Allegro MicroSystems, Inc. is a subsidiary of Sanken Electric Co., Ltd.</t>
        </is>
      </c>
    </row>
    <row r="31" ht="60" customHeight="1">
      <c r="A31" s="19" t="inlineStr">
        <is>
          <t>IPGP</t>
        </is>
      </c>
      <c r="B31" s="20" t="inlineStr">
        <is>
          <t>IPG Photonics Corporation</t>
        </is>
      </c>
      <c r="C31" s="20" t="inlineStr">
        <is>
          <t>Technology</t>
        </is>
      </c>
      <c r="D31" s="52" t="inlineStr">
        <is>
          <t>Semiconductors</t>
        </is>
      </c>
      <c r="E31" s="47" t="inlineStr">
        <is>
          <t>Breakout</t>
        </is>
      </c>
      <c r="F31" s="48" t="inlineStr">
        <is>
          <t>IPG Photonics Corporation develops, manufactures, and sells various high-performance fiber lasers, fiber amplifiers, and diode lasers used in various applications primarily in materials processing worldwide. The company's laser products include hybrid fiber-solid state lasers with green and ultraviolet wavelengths; fiber pigtailed packaged diodes and fiber coupled direct diode laser systems; high-energy pulsed lasers, multi-wavelength and tunable lasers, and single-polarization and single-frequency lasers; and high-power optical fiber delivery cables, fiber couplers, beam switches, chillers, scanners, and other accessories. It also provides erbium-doped fiber and Raman amplifiers, and integrated communications systems, which are deployed in broadband networks; and ytterbium and thulium specialty fiber amplifiers and broadband light sources. In addition, the company offers integrated laser systems; 2D compact flat sheet cutter systems and multi-axis systems; welding seam stepper and pic</t>
        </is>
      </c>
    </row>
    <row r="32" ht="60" customHeight="1">
      <c r="A32" s="24" t="inlineStr">
        <is>
          <t>ESAB</t>
        </is>
      </c>
      <c r="B32" s="25" t="inlineStr">
        <is>
          <t>ESAB Corporation</t>
        </is>
      </c>
      <c r="C32" s="25" t="inlineStr">
        <is>
          <t>Industrials</t>
        </is>
      </c>
      <c r="D32" s="25" t="inlineStr">
        <is>
          <t>Manufacturing - Metal Fabrication</t>
        </is>
      </c>
      <c r="E32" s="50" t="inlineStr">
        <is>
          <t>Breakout</t>
        </is>
      </c>
      <c r="F32" s="51" t="inlineStr">
        <is>
          <t>ESAB Corporation formulates, develops, manufactures, and supplies consumable products and equipment for use in cutting, joining, and automated welding, as well as gas control equipment. Its comprehensive range of welding consumables includes electrodes, cored and solid wires, and fluxes using a range of specialty and other materials; and cutting consumables, including electrodes, nozzles, shields, and tips. The company's fabrication technology equipment ranges from portable welding machines to large customized automated cutting and welding systems. It also offers a range of digital software and solutions to help its customers increase their productivity, remotely monitor their welding operations, and digitize their documentation. The company sells its products under the ESAB brand to various end markets, including general industry, construction, infrastructure, transportation, energy, renewable energy, and medical and life sciences. It offers its products through independent distributo</t>
        </is>
      </c>
    </row>
    <row r="33" ht="60" customHeight="1">
      <c r="A33" s="19" t="inlineStr">
        <is>
          <t>PINS</t>
        </is>
      </c>
      <c r="B33" s="20" t="inlineStr">
        <is>
          <t>Pinterest, Inc.</t>
        </is>
      </c>
      <c r="C33" s="20" t="inlineStr">
        <is>
          <t>Communication Services</t>
        </is>
      </c>
      <c r="D33" s="20" t="inlineStr">
        <is>
          <t>Internet Content &amp; Information</t>
        </is>
      </c>
      <c r="E33" s="47" t="inlineStr">
        <is>
          <t>Breakout</t>
        </is>
      </c>
      <c r="F33" s="48" t="inlineStr">
        <is>
          <t>Pinterest, Inc. operates as a visual discovery engine in the United States and internationally. The company's engine allows people to find inspiration for their lives, including recipes, style and home inspiration, DIY, and others; and provides video, product, and idea pins. It shows visual machine learning recommendations based on pinners taste and interests. The company was formerly known as Cold Brew Labs Inc. and changed its name to Pinterest, Inc. in April 2012. Pinterest, Inc. was incorporated in 2008 and is headquartered in San Francisco, California.</t>
        </is>
      </c>
    </row>
    <row r="34" ht="60" customHeight="1">
      <c r="A34" s="24" t="inlineStr">
        <is>
          <t>RVTY</t>
        </is>
      </c>
      <c r="B34" s="25" t="inlineStr">
        <is>
          <t>Revvity, Inc.</t>
        </is>
      </c>
      <c r="C34" s="25" t="inlineStr">
        <is>
          <t>Healthcare</t>
        </is>
      </c>
      <c r="D34" s="25" t="inlineStr">
        <is>
          <t>Medical - Diagnostics &amp; Research</t>
        </is>
      </c>
      <c r="E34" s="50" t="inlineStr">
        <is>
          <t>Breakout</t>
        </is>
      </c>
      <c r="F34" s="51" t="inlineStr">
        <is>
          <t xml:space="preserve">Revvity, Inc. provides products, services, and solutions to the diagnostics, life sciences, and applied services markets worldwide. It operates through two segments, Discovery &amp; Analytical Solutions and Diagnostics. The Discovery &amp; Analytical Solutions segment provides instruments, reagents, informatics, software, subscriptions, detection, and imaging technologies that enable scientists to enhance research breakthroughs in the life sciences research market, as well as contract research and laboratory services. It also provides analytical technologies, solutions, and services for its customers to understand the characterize the health of various aspects, including air, water, and soil. In addition, this segment offers solutions to farmers and food producers; and analytical instrumentation for the industrial market, which includes the chemical, semiconductor and electronics, energy, lubricant, petrochemical, and polymer industries. The Diagnostics segment provides instruments, reagents, </t>
        </is>
      </c>
    </row>
  </sheetData>
  <autoFilter ref="A4:F34"/>
  <mergeCells count="2">
    <mergeCell ref="A2:F2"/>
    <mergeCell ref="A1:F1"/>
  </mergeCells>
  <pageMargins left="0.75" right="0.75" top="1" bottom="1" header="0.5" footer="0.5"/>
  <pageSetup orientation="landscape" fitToWidth="1"/>
</worksheet>
</file>

<file path=xl/worksheets/sheet6.xml><?xml version="1.0" encoding="utf-8"?>
<worksheet xmlns="http://schemas.openxmlformats.org/spreadsheetml/2006/main">
  <sheetPr>
    <tabColor rgb="002A9D8F"/>
    <outlinePr summaryBelow="1" summaryRight="1"/>
    <pageSetUpPr fitToPage="1"/>
  </sheetPr>
  <dimension ref="A1:G3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22" customWidth="1" min="3" max="3"/>
    <col width="12" customWidth="1" min="4" max="4"/>
    <col width="10" customWidth="1" min="5" max="5"/>
    <col width="10" customWidth="1" min="6" max="6"/>
    <col width="65" customWidth="1" min="7" max="7"/>
  </cols>
  <sheetData>
    <row r="1" ht="28" customHeight="1">
      <c r="A1" s="30" t="inlineStr">
        <is>
          <t>Competitive Moats &amp; Structural Advantages</t>
        </is>
      </c>
      <c r="B1" s="11" t="n"/>
      <c r="C1" s="11" t="n"/>
      <c r="D1" s="11" t="n"/>
      <c r="E1" s="11" t="n"/>
      <c r="F1" s="11" t="n"/>
      <c r="G1" s="11" t="n"/>
    </row>
    <row r="2" ht="22" customHeight="1">
      <c r="A2" s="31" t="inlineStr">
        <is>
          <t>Derived from financial metrics  |  June 06, 2026</t>
        </is>
      </c>
      <c r="B2" s="12" t="n"/>
      <c r="C2" s="12" t="n"/>
      <c r="D2" s="12" t="n"/>
      <c r="E2" s="12" t="n"/>
      <c r="F2" s="12" t="n"/>
      <c r="G2" s="12" t="n"/>
    </row>
    <row r="3" ht="8" customHeight="1"/>
    <row r="4" ht="18" customHeight="1">
      <c r="A4" s="18" t="inlineStr">
        <is>
          <t>Ticker</t>
        </is>
      </c>
      <c r="B4" s="18" t="inlineStr">
        <is>
          <t>Company</t>
        </is>
      </c>
      <c r="C4" s="18" t="inlineStr">
        <is>
          <t>Industry</t>
        </is>
      </c>
      <c r="D4" s="18" t="inlineStr">
        <is>
          <t>Tier</t>
        </is>
      </c>
      <c r="E4" s="18" t="inlineStr">
        <is>
          <t>GM%</t>
        </is>
      </c>
      <c r="F4" s="18" t="inlineStr">
        <is>
          <t>FP Score</t>
        </is>
      </c>
      <c r="G4" s="18" t="inlineStr">
        <is>
          <t>Moat Analysis</t>
        </is>
      </c>
    </row>
    <row r="5" ht="80" customHeight="1">
      <c r="A5" s="19" t="inlineStr">
        <is>
          <t>KULR</t>
        </is>
      </c>
      <c r="B5" s="20" t="inlineStr">
        <is>
          <t>KULR Technology Group, Inc.</t>
        </is>
      </c>
      <c r="C5" s="20" t="inlineStr">
        <is>
          <t>Hardware, Equipment &amp; Parts</t>
        </is>
      </c>
      <c r="D5" s="47" t="inlineStr">
        <is>
          <t>Nano Cap</t>
        </is>
      </c>
      <c r="E5" s="47" t="inlineStr">
        <is>
          <t>29%</t>
        </is>
      </c>
      <c r="F5" s="47" t="inlineStr">
        <is>
          <t>99</t>
        </is>
      </c>
      <c r="G5" s="48" t="inlineStr">
        <is>
          <t>Moderate margins (GM 29%) — competitive market, but cost structure supports reinvestment. Rapid revenue growth (98% YoY) signals strong product-market fit and expanding TAM capture. Revenue acceleration (97% QoQ) — growth is compounding, indicating an inflection point or expanding customer adoption. Exceptional capital discipline (-60% share growth over 3yr) — management avoids dilution, signaling confidence in organic cash generation. Fingerprint score of 99 — structural profile closely matches historical multi-bagger winners at their inflection points.</t>
        </is>
      </c>
    </row>
    <row r="6" ht="80" customHeight="1">
      <c r="A6" s="24" t="inlineStr">
        <is>
          <t>KVHI</t>
        </is>
      </c>
      <c r="B6" s="25" t="inlineStr">
        <is>
          <t>KVH Industries, Inc.</t>
        </is>
      </c>
      <c r="C6" s="25" t="inlineStr">
        <is>
          <t>Communication Equipment</t>
        </is>
      </c>
      <c r="D6" s="50" t="inlineStr">
        <is>
          <t>Nano Cap</t>
        </is>
      </c>
      <c r="E6" s="50" t="inlineStr">
        <is>
          <t>29%</t>
        </is>
      </c>
      <c r="F6" s="50" t="inlineStr">
        <is>
          <t>96</t>
        </is>
      </c>
      <c r="G6" s="51" t="inlineStr">
        <is>
          <t>Moderate margins (GM 29%) — competitive market, but cost structure supports reinvestment. Solid revenue growth (27% YoY) suggests growing demand and competitive positioning in target markets. Revenue acceleration (39% QoQ) — growth is compounding, indicating an inflection point or expanding customer adoption. Exceptional capital discipline (1% share growth over 3yr) — management avoids dilution, signaling confidence in organic cash generation. High insider ownership (35%) — founder/management skin in the game strongly aligns incentives with shareholders. Networking/communications infrastructure — installed base and switching costs create customer lock-in. Fingerprint score of 96 — structural profile closely matches historical multi-bagger winners at their inflection points.</t>
        </is>
      </c>
    </row>
    <row r="7" ht="80" customHeight="1">
      <c r="A7" s="19" t="inlineStr">
        <is>
          <t>INTT</t>
        </is>
      </c>
      <c r="B7" s="20" t="inlineStr">
        <is>
          <t>inTEST Corporation</t>
        </is>
      </c>
      <c r="C7" s="20" t="inlineStr">
        <is>
          <t>Semiconductors</t>
        </is>
      </c>
      <c r="D7" s="47" t="inlineStr">
        <is>
          <t>Nano Cap</t>
        </is>
      </c>
      <c r="E7" s="47" t="inlineStr">
        <is>
          <t>43%</t>
        </is>
      </c>
      <c r="F7" s="47" t="inlineStr">
        <is>
          <t>97</t>
        </is>
      </c>
      <c r="G7" s="48" t="inlineStr">
        <is>
          <t>Healthy margins (GM 43%) indicate differentiated products with some pricing power above commodity levels. Solid revenue growth (27% YoY) suggests growing demand and competitive positioning in target markets. Revenue acceleration (49% QoQ) — growth is compounding, indicating an inflection point or expanding customer adoption. Reasonable capital discipline (9% 3yr dilution) — moderate equity issuance suggests funded growth without excessive shareholder dilution. Meaningful insider ownership (14%) — management has material personal stake in company performance. Semiconductor design/fab expertise represents years of R&amp;D investment — a significant moat against new entrants. Fingerprint score of 97 — structural profile closely matches historical multi-bagger winners at their inflection points.</t>
        </is>
      </c>
    </row>
    <row r="8" ht="80" customHeight="1">
      <c r="A8" s="24" t="inlineStr">
        <is>
          <t>CODA</t>
        </is>
      </c>
      <c r="B8" s="25" t="inlineStr">
        <is>
          <t>Coda Octopus Group, Inc.</t>
        </is>
      </c>
      <c r="C8" s="25" t="inlineStr">
        <is>
          <t>Aerospace &amp; Defense</t>
        </is>
      </c>
      <c r="D8" s="50" t="inlineStr">
        <is>
          <t>Nano Cap</t>
        </is>
      </c>
      <c r="E8" s="50" t="inlineStr">
        <is>
          <t>65%</t>
        </is>
      </c>
      <c r="F8" s="50" t="inlineStr">
        <is>
          <t>72</t>
        </is>
      </c>
      <c r="G8" s="51" t="inlineStr">
        <is>
          <t>Strong pricing power (GM 65%) suggests proprietary technology or IP-protected products with limited direct competition. Solid revenue growth (29% YoY) suggests growing demand and competitive positioning in target markets. Revenue acceleration (31% QoQ) — growth is compounding, indicating an inflection point or expanding customer adoption. Exceptional capital discipline (2% share growth over 3yr) — management avoids dilution, signaling confidence in organic cash generation. High insider ownership (49%) — founder/management skin in the game strongly aligns incentives with shareholders. Defense/aerospace positioning creates high barriers to entry via security clearances, government contracts, and long procurement cycles. Fingerprint score of 72 — structural profile closely matches historical multi-bagger winners at their inflection points.</t>
        </is>
      </c>
    </row>
    <row r="9" ht="80" customHeight="1">
      <c r="A9" s="19" t="inlineStr">
        <is>
          <t>WSTL</t>
        </is>
      </c>
      <c r="B9" s="20" t="inlineStr">
        <is>
          <t>Westell Technologies, Inc.</t>
        </is>
      </c>
      <c r="C9" s="20" t="inlineStr">
        <is>
          <t>Communication Equipment</t>
        </is>
      </c>
      <c r="D9" s="47" t="inlineStr">
        <is>
          <t>Nano Cap</t>
        </is>
      </c>
      <c r="E9" s="47" t="inlineStr">
        <is>
          <t>41%</t>
        </is>
      </c>
      <c r="F9" s="47" t="inlineStr">
        <is>
          <t>99</t>
        </is>
      </c>
      <c r="G9" s="48" t="inlineStr">
        <is>
          <t>Healthy margins (GM 41%) indicate differentiated products with some pricing power above commodity levels. Solid revenue growth (47% YoY) suggests growing demand and competitive positioning in target markets. Exceptional capital discipline (-11% share growth over 3yr) — management avoids dilution, signaling confidence in organic cash generation. Meaningful insider ownership (19%) — management has material personal stake in company performance. Networking/communications infrastructure — installed base and switching costs create customer lock-in. Fingerprint score of 99 — structural profile closely matches historical multi-bagger winners at their inflection points.</t>
        </is>
      </c>
    </row>
    <row r="10" ht="80" customHeight="1">
      <c r="A10" s="24" t="inlineStr">
        <is>
          <t>SCTQ</t>
        </is>
      </c>
      <c r="B10" s="25" t="inlineStr">
        <is>
          <t>Spectra Systems Corporation</t>
        </is>
      </c>
      <c r="C10" s="25" t="inlineStr">
        <is>
          <t>Software - Application</t>
        </is>
      </c>
      <c r="D10" s="50" t="inlineStr">
        <is>
          <t>Nano Cap</t>
        </is>
      </c>
      <c r="E10" s="50" t="inlineStr">
        <is>
          <t>57%</t>
        </is>
      </c>
      <c r="F10" s="50" t="inlineStr">
        <is>
          <t>73</t>
        </is>
      </c>
      <c r="G10" s="51" t="inlineStr">
        <is>
          <t>Healthy margins (GM 57%) indicate differentiated products with some pricing power above commodity levels. Rapid revenue growth (502% YoY) signals strong product-market fit and expanding TAM capture. Reasonable capital discipline (5% 3yr dilution) — moderate equity issuance suggests funded growth without excessive shareholder dilution. Meaningful insider ownership (18%) — management has material personal stake in company performance. Fingerprint score of 73 — structural profile closely matches historical multi-bagger winners at their inflection points.</t>
        </is>
      </c>
    </row>
    <row r="11" ht="80" customHeight="1">
      <c r="A11" s="19" t="inlineStr">
        <is>
          <t>ESP</t>
        </is>
      </c>
      <c r="B11" s="20" t="inlineStr">
        <is>
          <t>Espey Mfg. &amp; Electronics Corp.</t>
        </is>
      </c>
      <c r="C11" s="20" t="inlineStr">
        <is>
          <t>Electrical Equipment &amp; Parts</t>
        </is>
      </c>
      <c r="D11" s="47" t="inlineStr">
        <is>
          <t>Nano Cap</t>
        </is>
      </c>
      <c r="E11" s="47" t="inlineStr">
        <is>
          <t>37%</t>
        </is>
      </c>
      <c r="F11" s="47" t="inlineStr">
        <is>
          <t>93</t>
        </is>
      </c>
      <c r="G11" s="48" t="inlineStr">
        <is>
          <t>Moderate margins (GM 37%) — competitive market, but cost structure supports reinvestment. Revenue acceleration (22% QoQ) — growth is compounding, indicating an inflection point or expanding customer adoption. High insider ownership (29%) — founder/management skin in the game strongly aligns incentives with shareholders. Fingerprint score of 93 — structural profile closely matches historical multi-bagger winners at their inflection points.</t>
        </is>
      </c>
    </row>
    <row r="12" ht="80" customHeight="1">
      <c r="A12" s="24" t="inlineStr">
        <is>
          <t>BZAI</t>
        </is>
      </c>
      <c r="B12" s="25" t="inlineStr">
        <is>
          <t>Blaize Holdings, Inc.</t>
        </is>
      </c>
      <c r="C12" s="25" t="inlineStr">
        <is>
          <t>Semiconductors</t>
        </is>
      </c>
      <c r="D12" s="50" t="inlineStr">
        <is>
          <t>Nano Cap</t>
        </is>
      </c>
      <c r="E12" s="50" t="inlineStr">
        <is>
          <t>51%</t>
        </is>
      </c>
      <c r="F12" s="50" t="inlineStr">
        <is>
          <t>64</t>
        </is>
      </c>
      <c r="G12" s="51" t="inlineStr">
        <is>
          <t>Healthy margins (GM 51%) indicate differentiated products with some pricing power above commodity levels. Rapid revenue growth (172% YoY) signals strong product-market fit and expanding TAM capture. Exceptional capital discipline (-36% share growth over 3yr) — management avoids dilution, signaling confidence in organic cash generation. High insider ownership (52%) — founder/management skin in the game strongly aligns incentives with shareholders. Semiconductor design/fab expertise represents years of R&amp;D investment — a significant moat against new entrants.</t>
        </is>
      </c>
    </row>
    <row r="13" ht="80" customHeight="1">
      <c r="A13" s="19" t="inlineStr">
        <is>
          <t>TAYD</t>
        </is>
      </c>
      <c r="B13" s="20" t="inlineStr">
        <is>
          <t>Taylor Devices, Inc.</t>
        </is>
      </c>
      <c r="C13" s="20" t="inlineStr">
        <is>
          <t>Industrial - Machinery</t>
        </is>
      </c>
      <c r="D13" s="47" t="inlineStr">
        <is>
          <t>Nano Cap</t>
        </is>
      </c>
      <c r="E13" s="47" t="inlineStr">
        <is>
          <t>40%</t>
        </is>
      </c>
      <c r="F13" s="47" t="inlineStr">
        <is>
          <t>96</t>
        </is>
      </c>
      <c r="G13" s="48" t="inlineStr">
        <is>
          <t>Healthy margins (GM 40%) indicate differentiated products with some pricing power above commodity levels. Revenue acceleration (18% QoQ) — growth is compounding, indicating an inflection point or expanding customer adoption. Exceptional capital discipline (-10% share growth over 3yr) — management avoids dilution, signaling confidence in organic cash generation. Fingerprint score of 96 — structural profile closely matches historical multi-bagger winners at their inflection points.</t>
        </is>
      </c>
    </row>
    <row r="14" ht="80" customHeight="1">
      <c r="A14" s="24" t="inlineStr">
        <is>
          <t>BYRN</t>
        </is>
      </c>
      <c r="B14" s="25" t="inlineStr">
        <is>
          <t>Byrna Technologies Inc.</t>
        </is>
      </c>
      <c r="C14" s="25" t="inlineStr">
        <is>
          <t>Aerospace &amp; Defense</t>
        </is>
      </c>
      <c r="D14" s="50" t="inlineStr">
        <is>
          <t>Nano Cap</t>
        </is>
      </c>
      <c r="E14" s="50" t="inlineStr">
        <is>
          <t>60%</t>
        </is>
      </c>
      <c r="F14" s="50" t="inlineStr">
        <is>
          <t>92</t>
        </is>
      </c>
      <c r="G14" s="51" t="inlineStr">
        <is>
          <t>Healthy margins (GM 60%) indicate differentiated products with some pricing power above commodity levels. Reasonable capital discipline (4% 3yr dilution) — moderate equity issuance suggests funded growth without excessive shareholder dilution. High insider ownership (22%) — founder/management skin in the game strongly aligns incentives with shareholders. Defense/aerospace positioning creates high barriers to entry via security clearances, government contracts, and long procurement cycles. Fingerprint score of 92 — structural profile closely matches historical multi-bagger winners at their inflection points.</t>
        </is>
      </c>
    </row>
    <row r="15" ht="80" customHeight="1">
      <c r="A15" s="19" t="inlineStr">
        <is>
          <t>DSP</t>
        </is>
      </c>
      <c r="B15" s="20" t="inlineStr">
        <is>
          <t>Viant Technology Inc.</t>
        </is>
      </c>
      <c r="C15" s="20" t="inlineStr">
        <is>
          <t>Software - Application</t>
        </is>
      </c>
      <c r="D15" s="47" t="inlineStr">
        <is>
          <t>Small Cap</t>
        </is>
      </c>
      <c r="E15" s="47" t="inlineStr">
        <is>
          <t>84%</t>
        </is>
      </c>
      <c r="F15" s="47" t="inlineStr">
        <is>
          <t>80</t>
        </is>
      </c>
      <c r="G15" s="48" t="inlineStr">
        <is>
          <t>Strong pricing power (GM 84%) suggests proprietary technology or IP-protected products with limited direct competition. Solid revenue growth (25% YoY) suggests growing demand and competitive positioning in target markets. Revenue acceleration (18% QoQ) — growth is compounding, indicating an inflection point or expanding customer adoption. Exceptional capital discipline (0% share growth over 3yr) — management avoids dilution, signaling confidence in organic cash generation. Meaningful insider ownership (18%) — management has material personal stake in company performance. Fingerprint score of 80 — structural profile closely matches historical multi-bagger winners at their inflection points.</t>
        </is>
      </c>
    </row>
    <row r="16" ht="80" customHeight="1">
      <c r="A16" s="24" t="inlineStr">
        <is>
          <t>EVLV</t>
        </is>
      </c>
      <c r="B16" s="25" t="inlineStr">
        <is>
          <t>Evolv Technologies Holdings, Inc.</t>
        </is>
      </c>
      <c r="C16" s="25" t="inlineStr">
        <is>
          <t>Security &amp; Protection Services</t>
        </is>
      </c>
      <c r="D16" s="50" t="inlineStr">
        <is>
          <t>Small Cap</t>
        </is>
      </c>
      <c r="E16" s="50" t="inlineStr">
        <is>
          <t>51%</t>
        </is>
      </c>
      <c r="F16" s="50" t="inlineStr">
        <is>
          <t>88</t>
        </is>
      </c>
      <c r="G16" s="51" t="inlineStr">
        <is>
          <t>Healthy margins (GM 51%) indicate differentiated products with some pricing power above commodity levels. Solid revenue growth (45% YoY) suggests growing demand and competitive positioning in target markets. Revenue acceleration (19% QoQ) — growth is compounding, indicating an inflection point or expanding customer adoption. Fingerprint score of 88 — structural profile closely matches historical multi-bagger winners at their inflection points.</t>
        </is>
      </c>
    </row>
    <row r="17" ht="80" customHeight="1">
      <c r="A17" s="19" t="inlineStr">
        <is>
          <t>PKE</t>
        </is>
      </c>
      <c r="B17" s="20" t="inlineStr">
        <is>
          <t>Park Aerospace Corp.</t>
        </is>
      </c>
      <c r="C17" s="20" t="inlineStr">
        <is>
          <t>Aerospace &amp; Defense</t>
        </is>
      </c>
      <c r="D17" s="47" t="inlineStr">
        <is>
          <t>Small Cap</t>
        </is>
      </c>
      <c r="E17" s="47" t="inlineStr">
        <is>
          <t>29%</t>
        </is>
      </c>
      <c r="F17" s="47" t="inlineStr">
        <is>
          <t>100</t>
        </is>
      </c>
      <c r="G17" s="48" t="inlineStr">
        <is>
          <t>Moderate margins (GM 29%) — competitive market, but cost structure supports reinvestment. Solid revenue growth (43% YoY) suggests growing demand and competitive positioning in target markets. Revenue acceleration (22% QoQ) — growth is compounding, indicating an inflection point or expanding customer adoption. Exceptional capital discipline (-1% share growth over 3yr) — management avoids dilution, signaling confidence in organic cash generation. Defense/aerospace positioning creates high barriers to entry via security clearances, government contracts, and long procurement cycles. Fingerprint score of 100 — structural profile closely matches historical multi-bagger winners at their inflection points.</t>
        </is>
      </c>
    </row>
    <row r="18" ht="80" customHeight="1">
      <c r="A18" s="24" t="inlineStr">
        <is>
          <t>CMCO</t>
        </is>
      </c>
      <c r="B18" s="25" t="inlineStr">
        <is>
          <t>Columbus McKinnon Corporation</t>
        </is>
      </c>
      <c r="C18" s="25" t="inlineStr">
        <is>
          <t>Agricultural - Machinery</t>
        </is>
      </c>
      <c r="D18" s="50" t="inlineStr">
        <is>
          <t>Small Cap</t>
        </is>
      </c>
      <c r="E18" s="50" t="inlineStr">
        <is>
          <t>28%</t>
        </is>
      </c>
      <c r="F18" s="50" t="inlineStr">
        <is>
          <t>78</t>
        </is>
      </c>
      <c r="G18" s="51" t="inlineStr">
        <is>
          <t>Moderate margins (GM 28%) — competitive market, but cost structure supports reinvestment. Rapid revenue growth (358% YoY) signals strong product-market fit and expanding TAM capture. Revenue acceleration (355% QoQ) — growth is compounding, indicating an inflection point or expanding customer adoption. Exceptional capital discipline (0% share growth over 3yr) — management avoids dilution, signaling confidence in organic cash generation. Fingerprint score of 78 — structural profile closely matches historical multi-bagger winners at their inflection points.</t>
        </is>
      </c>
    </row>
    <row r="19" ht="80" customHeight="1">
      <c r="A19" s="19" t="inlineStr">
        <is>
          <t>CDRE</t>
        </is>
      </c>
      <c r="B19" s="20" t="inlineStr">
        <is>
          <t>Cadre Holdings, Inc.</t>
        </is>
      </c>
      <c r="C19" s="20" t="inlineStr">
        <is>
          <t>Aerospace &amp; Defense</t>
        </is>
      </c>
      <c r="D19" s="47" t="inlineStr">
        <is>
          <t>Small Cap</t>
        </is>
      </c>
      <c r="E19" s="47" t="inlineStr">
        <is>
          <t>38%</t>
        </is>
      </c>
      <c r="F19" s="47" t="inlineStr">
        <is>
          <t>88</t>
        </is>
      </c>
      <c r="G19" s="48" t="inlineStr">
        <is>
          <t>Moderate margins (GM 38%) — competitive market, but cost structure supports reinvestment. Revenue acceleration (29% QoQ) — growth is compounding, indicating an inflection point or expanding customer adoption. High insider ownership (35%) — founder/management skin in the game strongly aligns incentives with shareholders. Defense/aerospace positioning creates high barriers to entry via security clearances, government contracts, and long procurement cycles. Fingerprint score of 88 — structural profile closely matches historical multi-bagger winners at their inflection points.</t>
        </is>
      </c>
    </row>
    <row r="20" ht="80" customHeight="1">
      <c r="A20" s="24" t="inlineStr">
        <is>
          <t>ADTN</t>
        </is>
      </c>
      <c r="B20" s="25" t="inlineStr">
        <is>
          <t>ADTRAN Holdings, Inc.</t>
        </is>
      </c>
      <c r="C20" s="25" t="inlineStr">
        <is>
          <t>Communication Equipment</t>
        </is>
      </c>
      <c r="D20" s="50" t="inlineStr">
        <is>
          <t>Small Cap</t>
        </is>
      </c>
      <c r="E20" s="50" t="inlineStr">
        <is>
          <t>40%</t>
        </is>
      </c>
      <c r="F20" s="50" t="inlineStr">
        <is>
          <t>99</t>
        </is>
      </c>
      <c r="G20" s="51" t="inlineStr">
        <is>
          <t>Moderate margins (GM 40%) — competitive market, but cost structure supports reinvestment. Revenue acceleration (6% QoQ) — growth is compounding, indicating an inflection point or expanding customer adoption. Exceptional capital discipline (2% share growth over 3yr) — management avoids dilution, signaling confidence in organic cash generation. Networking/communications infrastructure — installed base and switching costs create customer lock-in. Fingerprint score of 99 — structural profile closely matches historical multi-bagger winners at their inflection points.</t>
        </is>
      </c>
    </row>
    <row r="21" ht="80" customHeight="1">
      <c r="A21" s="19" t="inlineStr">
        <is>
          <t>WYFI</t>
        </is>
      </c>
      <c r="B21" s="20" t="inlineStr">
        <is>
          <t>WhiteFiber, Inc. Ordinary Shares</t>
        </is>
      </c>
      <c r="C21" s="20" t="inlineStr">
        <is>
          <t>Information Technology Services</t>
        </is>
      </c>
      <c r="D21" s="47" t="inlineStr">
        <is>
          <t>Small Cap</t>
        </is>
      </c>
      <c r="E21" s="47" t="inlineStr">
        <is>
          <t>60%</t>
        </is>
      </c>
      <c r="F21" s="47" t="inlineStr">
        <is>
          <t>72</t>
        </is>
      </c>
      <c r="G21" s="48" t="inlineStr">
        <is>
          <t>Strong pricing power (GM 60%) suggests proprietary technology or IP-protected products with limited direct competition. Solid revenue growth (31% YoY) suggests growing demand and competitive positioning in target markets. Exceptional capital discipline (2% share growth over 3yr) — management avoids dilution, signaling confidence in organic cash generation. High insider ownership (75%) — founder/management skin in the game strongly aligns incentives with shareholders. Fingerprint score of 72 — structural profile closely matches historical multi-bagger winners at their inflection points.</t>
        </is>
      </c>
    </row>
    <row r="22" ht="80" customHeight="1">
      <c r="A22" s="24" t="inlineStr">
        <is>
          <t>SWBI</t>
        </is>
      </c>
      <c r="B22" s="25" t="inlineStr">
        <is>
          <t>Smith &amp; Wesson Brands, Inc.</t>
        </is>
      </c>
      <c r="C22" s="25" t="inlineStr">
        <is>
          <t>Aerospace &amp; Defense</t>
        </is>
      </c>
      <c r="D22" s="50" t="inlineStr">
        <is>
          <t>Small Cap</t>
        </is>
      </c>
      <c r="E22" s="50" t="inlineStr">
        <is>
          <t>26%</t>
        </is>
      </c>
      <c r="F22" s="50" t="inlineStr">
        <is>
          <t>98</t>
        </is>
      </c>
      <c r="G22" s="51" t="inlineStr">
        <is>
          <t>Moderate margins (GM 26%) — competitive market, but cost structure supports reinvestment. Revenue acceleration (44% QoQ) — growth is compounding, indicating an inflection point or expanding customer adoption. Exceptional capital discipline (-3% share growth over 3yr) — management avoids dilution, signaling confidence in organic cash generation. Defense/aerospace positioning creates high barriers to entry via security clearances, government contracts, and long procurement cycles. Fingerprint score of 98 — structural profile closely matches historical multi-bagger winners at their inflection points.</t>
        </is>
      </c>
    </row>
    <row r="23" ht="80" customHeight="1">
      <c r="A23" s="19" t="inlineStr">
        <is>
          <t>ROCK</t>
        </is>
      </c>
      <c r="B23" s="20" t="inlineStr">
        <is>
          <t>Gibraltar Industries, Inc.</t>
        </is>
      </c>
      <c r="C23" s="20" t="inlineStr">
        <is>
          <t>Construction</t>
        </is>
      </c>
      <c r="D23" s="47" t="inlineStr">
        <is>
          <t>Small Cap</t>
        </is>
      </c>
      <c r="E23" s="47" t="inlineStr">
        <is>
          <t>22%</t>
        </is>
      </c>
      <c r="F23" s="47" t="inlineStr">
        <is>
          <t>95</t>
        </is>
      </c>
      <c r="G23" s="48" t="inlineStr">
        <is>
          <t>Revenue acceleration (17% QoQ) — growth is compounding, indicating an inflection point or expanding customer adoption. Exceptional capital discipline (-2% share growth over 3yr) — management avoids dilution, signaling confidence in organic cash generation. Fingerprint score of 95 — structural profile closely matches historical multi-bagger winners at their inflection points.</t>
        </is>
      </c>
    </row>
    <row r="24" ht="80" customHeight="1">
      <c r="A24" s="24" t="inlineStr">
        <is>
          <t>BUKS</t>
        </is>
      </c>
      <c r="B24" s="25" t="inlineStr">
        <is>
          <t>Butler National Corporation</t>
        </is>
      </c>
      <c r="C24" s="25" t="inlineStr">
        <is>
          <t>Aerospace &amp; Defense</t>
        </is>
      </c>
      <c r="D24" s="50" t="inlineStr">
        <is>
          <t>Small Cap</t>
        </is>
      </c>
      <c r="E24" s="50" t="inlineStr">
        <is>
          <t>54%</t>
        </is>
      </c>
      <c r="F24" s="50" t="inlineStr">
        <is>
          <t>95</t>
        </is>
      </c>
      <c r="G24" s="51" t="inlineStr">
        <is>
          <t>Healthy margins (GM 54%) indicate differentiated products with some pricing power above commodity levels. Solid revenue growth (27% YoY) suggests growing demand and competitive positioning in target markets. Revenue acceleration (34% QoQ) — growth is compounding, indicating an inflection point or expanding customer adoption. Exceptional capital discipline (-16% share growth over 3yr) — management avoids dilution, signaling confidence in organic cash generation. High insider ownership (33%) — founder/management skin in the game strongly aligns incentives with shareholders. Defense/aerospace positioning creates high barriers to entry via security clearances, government contracts, and long procurement cycles. Fingerprint score of 95 — structural profile closely matches historical multi-bagger winners at their inflection points.</t>
        </is>
      </c>
    </row>
    <row r="25" ht="80" customHeight="1">
      <c r="A25" s="19" t="inlineStr">
        <is>
          <t>KRMN</t>
        </is>
      </c>
      <c r="B25" s="20" t="inlineStr">
        <is>
          <t>Karman Holdings Inc.</t>
        </is>
      </c>
      <c r="C25" s="20" t="inlineStr">
        <is>
          <t>Aerospace &amp; Defense</t>
        </is>
      </c>
      <c r="D25" s="47" t="inlineStr">
        <is>
          <t>Breakout</t>
        </is>
      </c>
      <c r="E25" s="47" t="inlineStr">
        <is>
          <t>42%</t>
        </is>
      </c>
      <c r="F25" s="47" t="inlineStr">
        <is>
          <t>60</t>
        </is>
      </c>
      <c r="G25" s="48" t="inlineStr">
        <is>
          <t>Healthy margins (GM 42%) indicate differentiated products with some pricing power above commodity levels. Rapid revenue growth (51% YoY) signals strong product-market fit and expanding TAM capture. Revenue acceleration (33% QoQ) — growth is compounding, indicating an inflection point or expanding customer adoption. Exceptional capital discipline (0% share growth over 3yr) — management avoids dilution, signaling confidence in organic cash generation. High insider ownership (78%) — founder/management skin in the game strongly aligns incentives with shareholders. Defense/aerospace positioning creates high barriers to entry via security clearances, government contracts, and long procurement cycles.</t>
        </is>
      </c>
    </row>
    <row r="26" ht="80" customHeight="1">
      <c r="A26" s="24" t="inlineStr">
        <is>
          <t>ESI</t>
        </is>
      </c>
      <c r="B26" s="25" t="inlineStr">
        <is>
          <t>Element Solutions Inc</t>
        </is>
      </c>
      <c r="C26" s="25" t="inlineStr">
        <is>
          <t>Chemicals - Specialty</t>
        </is>
      </c>
      <c r="D26" s="50" t="inlineStr">
        <is>
          <t>Breakout</t>
        </is>
      </c>
      <c r="E26" s="50" t="inlineStr">
        <is>
          <t>38%</t>
        </is>
      </c>
      <c r="F26" s="50" t="inlineStr">
        <is>
          <t>80</t>
        </is>
      </c>
      <c r="G26" s="51" t="inlineStr">
        <is>
          <t>Moderate margins (GM 38%) — competitive market, but cost structure supports reinvestment. Solid revenue growth (42% YoY) suggests growing demand and competitive positioning in target markets. Revenue acceleration (45% QoQ) — growth is compounding, indicating an inflection point or expanding customer adoption. Exceptional capital discipline (1% share growth over 3yr) — management avoids dilution, signaling confidence in organic cash generation. Fingerprint score of 80 — structural profile closely matches historical multi-bagger winners at their inflection points.</t>
        </is>
      </c>
    </row>
    <row r="27" ht="80" customHeight="1">
      <c r="A27" s="19" t="inlineStr">
        <is>
          <t>RUN</t>
        </is>
      </c>
      <c r="B27" s="20" t="inlineStr">
        <is>
          <t>Sunrun Inc.</t>
        </is>
      </c>
      <c r="C27" s="20" t="inlineStr">
        <is>
          <t>Solar</t>
        </is>
      </c>
      <c r="D27" s="47" t="inlineStr">
        <is>
          <t>Breakout</t>
        </is>
      </c>
      <c r="E27" s="47" t="inlineStr">
        <is>
          <t>30%</t>
        </is>
      </c>
      <c r="F27" s="47" t="inlineStr">
        <is>
          <t>76</t>
        </is>
      </c>
      <c r="G27" s="48" t="inlineStr">
        <is>
          <t>Moderate margins (GM 30%) — competitive market, but cost structure supports reinvestment. Solid revenue growth (43% YoY) suggests growing demand and competitive positioning in target markets. Revenue acceleration (47% QoQ) — growth is compounding, indicating an inflection point or expanding customer adoption. Reasonable capital discipline (9% 3yr dilution) — moderate equity issuance suggests funded growth without excessive shareholder dilution. Fingerprint score of 76 — structural profile closely matches historical multi-bagger winners at their inflection points.</t>
        </is>
      </c>
    </row>
    <row r="28" ht="80" customHeight="1">
      <c r="A28" s="24" t="inlineStr">
        <is>
          <t>LYFT</t>
        </is>
      </c>
      <c r="B28" s="25" t="inlineStr">
        <is>
          <t>Lyft, Inc.</t>
        </is>
      </c>
      <c r="C28" s="25" t="inlineStr">
        <is>
          <t>Software - Application</t>
        </is>
      </c>
      <c r="D28" s="50" t="inlineStr">
        <is>
          <t>Breakout</t>
        </is>
      </c>
      <c r="E28" s="50" t="inlineStr">
        <is>
          <t>48%</t>
        </is>
      </c>
      <c r="F28" s="50" t="inlineStr">
        <is>
          <t>80</t>
        </is>
      </c>
      <c r="G28" s="51" t="inlineStr">
        <is>
          <t>Healthy margins (GM 48%) indicate differentiated products with some pricing power above commodity levels. Revenue acceleration (13% QoQ) — growth is compounding, indicating an inflection point or expanding customer adoption. Reasonable capital discipline (4% 3yr dilution) — moderate equity issuance suggests funded growth without excessive shareholder dilution. Meaningful insider ownership (13%) — management has material personal stake in company performance. Fingerprint score of 80 — structural profile closely matches historical multi-bagger winners at their inflection points.</t>
        </is>
      </c>
    </row>
    <row r="29" ht="80" customHeight="1">
      <c r="A29" s="19" t="inlineStr">
        <is>
          <t>FELE</t>
        </is>
      </c>
      <c r="B29" s="20" t="inlineStr">
        <is>
          <t>Franklin Electric Co., Inc.</t>
        </is>
      </c>
      <c r="C29" s="20" t="inlineStr">
        <is>
          <t>Industrial - Machinery</t>
        </is>
      </c>
      <c r="D29" s="47" t="inlineStr">
        <is>
          <t>Breakout</t>
        </is>
      </c>
      <c r="E29" s="47" t="inlineStr">
        <is>
          <t>35%</t>
        </is>
      </c>
      <c r="F29" s="47" t="inlineStr">
        <is>
          <t>80</t>
        </is>
      </c>
      <c r="G29" s="48" t="inlineStr">
        <is>
          <t>Moderate margins (GM 35%) — competitive market, but cost structure supports reinvestment. Revenue acceleration (26% QoQ) — growth is compounding, indicating an inflection point or expanding customer adoption. Exceptional capital discipline (-4% share growth over 3yr) — management avoids dilution, signaling confidence in organic cash generation. Meaningful insider ownership (14%) — management has material personal stake in company performance. Fingerprint score of 80 — structural profile closely matches historical multi-bagger winners at their inflection points.</t>
        </is>
      </c>
    </row>
    <row r="30" ht="80" customHeight="1">
      <c r="A30" s="24" t="inlineStr">
        <is>
          <t>ALGM</t>
        </is>
      </c>
      <c r="B30" s="25" t="inlineStr">
        <is>
          <t>Allegro MicroSystems, Inc.</t>
        </is>
      </c>
      <c r="C30" s="25" t="inlineStr">
        <is>
          <t>Semiconductors</t>
        </is>
      </c>
      <c r="D30" s="50" t="inlineStr">
        <is>
          <t>Breakout</t>
        </is>
      </c>
      <c r="E30" s="50" t="inlineStr">
        <is>
          <t>47%</t>
        </is>
      </c>
      <c r="F30" s="50" t="inlineStr">
        <is>
          <t>77</t>
        </is>
      </c>
      <c r="G30" s="51" t="inlineStr">
        <is>
          <t>Healthy margins (GM 47%) indicate differentiated products with some pricing power above commodity levels. Solid revenue growth (26% YoY) suggests growing demand and competitive positioning in target markets. Revenue acceleration (11% QoQ) — growth is compounding, indicating an inflection point or expanding customer adoption. Exceptional capital discipline (-4% share growth over 3yr) — management avoids dilution, signaling confidence in organic cash generation. High insider ownership (33%) — founder/management skin in the game strongly aligns incentives with shareholders. Semiconductor design/fab expertise represents years of R&amp;D investment — a significant moat against new entrants. Fingerprint score of 77 — structural profile closely matches historical multi-bagger winners at their inflection points.</t>
        </is>
      </c>
    </row>
    <row r="31" ht="80" customHeight="1">
      <c r="A31" s="19" t="inlineStr">
        <is>
          <t>IPGP</t>
        </is>
      </c>
      <c r="B31" s="20" t="inlineStr">
        <is>
          <t>IPG Photonics Corporation</t>
        </is>
      </c>
      <c r="C31" s="20" t="inlineStr">
        <is>
          <t>Semiconductors</t>
        </is>
      </c>
      <c r="D31" s="47" t="inlineStr">
        <is>
          <t>Breakout</t>
        </is>
      </c>
      <c r="E31" s="47" t="inlineStr">
        <is>
          <t>38%</t>
        </is>
      </c>
      <c r="F31" s="47" t="inlineStr">
        <is>
          <t>76</t>
        </is>
      </c>
      <c r="G31" s="48" t="inlineStr">
        <is>
          <t>Moderate margins (GM 38%) — competitive market, but cost structure supports reinvestment. Revenue acceleration (28% QoQ) — growth is compounding, indicating an inflection point or expanding customer adoption. Exceptional capital discipline (-11% share growth over 3yr) — management avoids dilution, signaling confidence in organic cash generation. High insider ownership (35%) — founder/management skin in the game strongly aligns incentives with shareholders. Semiconductor design/fab expertise represents years of R&amp;D investment — a significant moat against new entrants. Fingerprint score of 76 — structural profile closely matches historical multi-bagger winners at their inflection points.</t>
        </is>
      </c>
    </row>
    <row r="32" ht="80" customHeight="1">
      <c r="A32" s="24" t="inlineStr">
        <is>
          <t>ESAB</t>
        </is>
      </c>
      <c r="B32" s="25" t="inlineStr">
        <is>
          <t>ESAB Corporation</t>
        </is>
      </c>
      <c r="C32" s="25" t="inlineStr">
        <is>
          <t>Manufacturing - Metal Fabrication</t>
        </is>
      </c>
      <c r="D32" s="50" t="inlineStr">
        <is>
          <t>Breakout</t>
        </is>
      </c>
      <c r="E32" s="50" t="inlineStr">
        <is>
          <t>37%</t>
        </is>
      </c>
      <c r="F32" s="50" t="inlineStr">
        <is>
          <t>80</t>
        </is>
      </c>
      <c r="G32" s="51" t="inlineStr">
        <is>
          <t>Moderate margins (GM 37%) — competitive market, but cost structure supports reinvestment. Revenue acceleration (14% QoQ) — growth is compounding, indicating an inflection point or expanding customer adoption. Exceptional capital discipline (1% share growth over 3yr) — management avoids dilution, signaling confidence in organic cash generation. Fingerprint score of 80 — structural profile closely matches historical multi-bagger winners at their inflection points.</t>
        </is>
      </c>
    </row>
    <row r="33" ht="80" customHeight="1">
      <c r="A33" s="19" t="inlineStr">
        <is>
          <t>PINS</t>
        </is>
      </c>
      <c r="B33" s="20" t="inlineStr">
        <is>
          <t>Pinterest, Inc.</t>
        </is>
      </c>
      <c r="C33" s="20" t="inlineStr">
        <is>
          <t>Internet Content &amp; Information</t>
        </is>
      </c>
      <c r="D33" s="47" t="inlineStr">
        <is>
          <t>Breakout</t>
        </is>
      </c>
      <c r="E33" s="47" t="inlineStr">
        <is>
          <t>76%</t>
        </is>
      </c>
      <c r="F33" s="47" t="inlineStr">
        <is>
          <t>60</t>
        </is>
      </c>
      <c r="G33" s="48" t="inlineStr">
        <is>
          <t>Strong pricing power (GM 76%) suggests proprietary technology or IP-protected products with limited direct competition. Revenue acceleration (18% QoQ) — growth is compounding, indicating an inflection point or expanding customer adoption. Exceptional capital discipline (-6% share growth over 3yr) — management avoids dilution, signaling confidence in organic cash generation. High insider ownership (28%) — founder/management skin in the game strongly aligns incentives with shareholders.</t>
        </is>
      </c>
    </row>
    <row r="34" ht="80" customHeight="1">
      <c r="A34" s="24" t="inlineStr">
        <is>
          <t>RVTY</t>
        </is>
      </c>
      <c r="B34" s="25" t="inlineStr">
        <is>
          <t>Revvity, Inc.</t>
        </is>
      </c>
      <c r="C34" s="25" t="inlineStr">
        <is>
          <t>Medical - Diagnostics &amp; Research</t>
        </is>
      </c>
      <c r="D34" s="50" t="inlineStr">
        <is>
          <t>Breakout</t>
        </is>
      </c>
      <c r="E34" s="50" t="inlineStr">
        <is>
          <t>54%</t>
        </is>
      </c>
      <c r="F34" s="50" t="inlineStr">
        <is>
          <t>75</t>
        </is>
      </c>
      <c r="G34" s="51" t="inlineStr">
        <is>
          <t>Healthy margins (GM 54%) indicate differentiated products with some pricing power above commodity levels. Revenue acceleration (11% QoQ) — growth is compounding, indicating an inflection point or expanding customer adoption. Exceptional capital discipline (-11% share growth over 3yr) — management avoids dilution, signaling confidence in organic cash generation. Fingerprint score of 75 — structural profile closely matches historical multi-bagger winners at their inflection points.</t>
        </is>
      </c>
    </row>
  </sheetData>
  <autoFilter ref="A4:G34"/>
  <mergeCells count="2">
    <mergeCell ref="A2:G2"/>
    <mergeCell ref="A1:G1"/>
  </mergeCells>
  <pageMargins left="0.75" right="0.75" top="1" bottom="1" header="0.5" footer="0.5"/>
  <pageSetup orientation="landscape" fitToWidth="1"/>
</worksheet>
</file>

<file path=xl/worksheets/sheet7.xml><?xml version="1.0" encoding="utf-8"?>
<worksheet xmlns="http://schemas.openxmlformats.org/spreadsheetml/2006/main">
  <sheetPr>
    <tabColor rgb="00C9A84C"/>
    <outlinePr summaryBelow="1" summaryRight="1"/>
    <pageSetUpPr fitToPage="1"/>
  </sheetPr>
  <dimension ref="A1:N34"/>
  <sheetViews>
    <sheetView showGridLines="0" workbookViewId="0">
      <pane ySplit="3" topLeftCell="A4" activePane="bottomLeft" state="frozen"/>
      <selection pane="bottomLeft" activeCell="A1" sqref="A1"/>
    </sheetView>
  </sheetViews>
  <sheetFormatPr baseColWidth="8" defaultRowHeight="15"/>
  <cols>
    <col width="3" customWidth="1" min="1" max="1"/>
    <col width="6" customWidth="1" min="2" max="2"/>
    <col width="9" customWidth="1" min="3" max="3"/>
    <col width="24" customWidth="1" min="4" max="4"/>
    <col width="14" customWidth="1" min="5" max="5"/>
    <col width="10" customWidth="1" min="6" max="6"/>
    <col width="12" customWidth="1" min="7" max="7"/>
    <col width="3" customWidth="1" min="8" max="8"/>
    <col width="6" customWidth="1" min="9" max="9"/>
    <col width="9" customWidth="1" min="10" max="10"/>
    <col width="24" customWidth="1" min="11" max="11"/>
    <col width="14" customWidth="1" min="12" max="12"/>
    <col width="10" customWidth="1" min="13" max="13"/>
    <col width="12" customWidth="1" min="14" max="14"/>
  </cols>
  <sheetData>
    <row r="1" ht="28" customHeight="1">
      <c r="A1" s="30" t="inlineStr">
        <is>
          <t>CROSS-TIER STANDOUTS</t>
        </is>
      </c>
      <c r="B1" s="11" t="n"/>
      <c r="C1" s="11" t="n"/>
      <c r="D1" s="11" t="n"/>
      <c r="E1" s="11" t="n"/>
      <c r="F1" s="11" t="n"/>
      <c r="G1" s="11" t="n"/>
      <c r="H1" s="11" t="n"/>
      <c r="I1" s="11" t="n"/>
      <c r="J1" s="11" t="n"/>
      <c r="K1" s="11" t="n"/>
      <c r="L1" s="11" t="n"/>
      <c r="M1" s="11" t="n"/>
      <c r="N1" s="11" t="n"/>
    </row>
    <row r="2" ht="22" customHeight="1">
      <c r="A2" s="31" t="inlineStr">
        <is>
          <t>Top performers across all metrics  |  June 06, 2026</t>
        </is>
      </c>
      <c r="B2" s="12" t="n"/>
      <c r="C2" s="12" t="n"/>
      <c r="D2" s="12" t="n"/>
      <c r="E2" s="12" t="n"/>
      <c r="F2" s="12" t="n"/>
      <c r="G2" s="12" t="n"/>
      <c r="H2" s="12" t="n"/>
      <c r="I2" s="12" t="n"/>
      <c r="J2" s="12" t="n"/>
      <c r="K2" s="12" t="n"/>
      <c r="L2" s="12" t="n"/>
      <c r="M2" s="12" t="n"/>
      <c r="N2" s="12" t="n"/>
    </row>
    <row r="3" ht="8" customHeight="1"/>
    <row r="4" ht="22" customHeight="1">
      <c r="B4" s="55" t="inlineStr">
        <is>
          <t>🏆 Highest Score</t>
        </is>
      </c>
      <c r="C4" s="17" t="n"/>
      <c r="D4" s="17" t="n"/>
      <c r="E4" s="17" t="n"/>
      <c r="F4" s="17" t="n"/>
      <c r="G4" s="56" t="n"/>
      <c r="I4" s="55" t="inlineStr">
        <is>
          <t>🔒 Lowest Dilution</t>
        </is>
      </c>
      <c r="J4" s="17" t="n"/>
      <c r="K4" s="17" t="n"/>
      <c r="L4" s="17" t="n"/>
      <c r="M4" s="17" t="n"/>
      <c r="N4" s="56" t="n"/>
    </row>
    <row r="5" ht="18" customHeight="1">
      <c r="B5" s="57" t="inlineStr">
        <is>
          <t>Rank</t>
        </is>
      </c>
      <c r="C5" s="18" t="inlineStr">
        <is>
          <t>Ticker</t>
        </is>
      </c>
      <c r="D5" s="18" t="inlineStr">
        <is>
          <t>Company</t>
        </is>
      </c>
      <c r="E5" s="18" t="inlineStr">
        <is>
          <t>Score</t>
        </is>
      </c>
      <c r="F5" s="18" t="inlineStr">
        <is>
          <t>Tier</t>
        </is>
      </c>
      <c r="G5" s="58" t="inlineStr">
        <is>
          <t>Score</t>
        </is>
      </c>
      <c r="I5" s="57" t="inlineStr">
        <is>
          <t>Rank</t>
        </is>
      </c>
      <c r="J5" s="18" t="inlineStr">
        <is>
          <t>Ticker</t>
        </is>
      </c>
      <c r="K5" s="18" t="inlineStr">
        <is>
          <t>Company</t>
        </is>
      </c>
      <c r="L5" s="18" t="inlineStr">
        <is>
          <t>Dil %</t>
        </is>
      </c>
      <c r="M5" s="18" t="inlineStr">
        <is>
          <t>Tier</t>
        </is>
      </c>
      <c r="N5" s="58" t="inlineStr">
        <is>
          <t>Score</t>
        </is>
      </c>
    </row>
    <row r="6" ht="16" customHeight="1">
      <c r="B6" s="59" t="inlineStr">
        <is>
          <t>🥇</t>
        </is>
      </c>
      <c r="C6" s="19" t="inlineStr">
        <is>
          <t>KULR</t>
        </is>
      </c>
      <c r="D6" s="20" t="inlineStr">
        <is>
          <t>KULR Technology Group, Inc.</t>
        </is>
      </c>
      <c r="E6" s="35" t="n">
        <v>91.3</v>
      </c>
      <c r="F6" s="47" t="inlineStr">
        <is>
          <t>Nano Cap</t>
        </is>
      </c>
      <c r="G6" s="60" t="n">
        <v>91.3</v>
      </c>
      <c r="I6" s="59" t="inlineStr">
        <is>
          <t>🥇</t>
        </is>
      </c>
      <c r="J6" s="19" t="inlineStr">
        <is>
          <t>KULR</t>
        </is>
      </c>
      <c r="K6" s="20" t="inlineStr">
        <is>
          <t>KULR Technology Group, Inc.</t>
        </is>
      </c>
      <c r="L6" s="35" t="n">
        <v>-59.9</v>
      </c>
      <c r="M6" s="47" t="inlineStr">
        <is>
          <t>Nano Cap</t>
        </is>
      </c>
      <c r="N6" s="60" t="n">
        <v>91.3</v>
      </c>
    </row>
    <row r="7" ht="16" customHeight="1">
      <c r="B7" s="61" t="inlineStr">
        <is>
          <t>🥈</t>
        </is>
      </c>
      <c r="C7" s="24" t="inlineStr">
        <is>
          <t>KVHI</t>
        </is>
      </c>
      <c r="D7" s="25" t="inlineStr">
        <is>
          <t>KVH Industries, Inc.</t>
        </is>
      </c>
      <c r="E7" s="42" t="n">
        <v>86.8</v>
      </c>
      <c r="F7" s="50" t="inlineStr">
        <is>
          <t>Nano Cap</t>
        </is>
      </c>
      <c r="G7" s="62" t="n">
        <v>86.8</v>
      </c>
      <c r="I7" s="61" t="inlineStr">
        <is>
          <t>🥈</t>
        </is>
      </c>
      <c r="J7" s="24" t="inlineStr">
        <is>
          <t>BZAI</t>
        </is>
      </c>
      <c r="K7" s="25" t="inlineStr">
        <is>
          <t>Blaize Holdings, Inc.</t>
        </is>
      </c>
      <c r="L7" s="42" t="n">
        <v>-36.2</v>
      </c>
      <c r="M7" s="50" t="inlineStr">
        <is>
          <t>Nano Cap</t>
        </is>
      </c>
      <c r="N7" s="62" t="n">
        <v>76.40000000000001</v>
      </c>
    </row>
    <row r="8" ht="16" customHeight="1">
      <c r="B8" s="59" t="inlineStr">
        <is>
          <t>🥉</t>
        </is>
      </c>
      <c r="C8" s="19" t="inlineStr">
        <is>
          <t>KRMN</t>
        </is>
      </c>
      <c r="D8" s="20" t="inlineStr">
        <is>
          <t>Karman Holdings Inc.</t>
        </is>
      </c>
      <c r="E8" s="35" t="n">
        <v>84</v>
      </c>
      <c r="F8" s="47" t="inlineStr">
        <is>
          <t>Breakout</t>
        </is>
      </c>
      <c r="G8" s="60" t="n">
        <v>84</v>
      </c>
      <c r="I8" s="59" t="inlineStr">
        <is>
          <t>🥉</t>
        </is>
      </c>
      <c r="J8" s="19" t="inlineStr">
        <is>
          <t>BUKS</t>
        </is>
      </c>
      <c r="K8" s="20" t="inlineStr">
        <is>
          <t>Butler National Corporation</t>
        </is>
      </c>
      <c r="L8" s="35" t="n">
        <v>-16.5</v>
      </c>
      <c r="M8" s="47" t="inlineStr">
        <is>
          <t>Small Cap</t>
        </is>
      </c>
      <c r="N8" s="60" t="n">
        <v>74.2</v>
      </c>
    </row>
    <row r="9" ht="16" customHeight="1">
      <c r="B9" s="61" t="inlineStr">
        <is>
          <t>4th</t>
        </is>
      </c>
      <c r="C9" s="24" t="inlineStr">
        <is>
          <t>DSP</t>
        </is>
      </c>
      <c r="D9" s="25" t="inlineStr">
        <is>
          <t>Viant Technology Inc.</t>
        </is>
      </c>
      <c r="E9" s="42" t="n">
        <v>82.59999999999999</v>
      </c>
      <c r="F9" s="50" t="inlineStr">
        <is>
          <t>Small Cap</t>
        </is>
      </c>
      <c r="G9" s="62" t="n">
        <v>82.59999999999999</v>
      </c>
      <c r="I9" s="61" t="inlineStr">
        <is>
          <t>4th</t>
        </is>
      </c>
      <c r="J9" s="24" t="inlineStr">
        <is>
          <t>WSTL</t>
        </is>
      </c>
      <c r="K9" s="25" t="inlineStr">
        <is>
          <t>Westell Technologies, Inc.</t>
        </is>
      </c>
      <c r="L9" s="42" t="n">
        <v>-11.3</v>
      </c>
      <c r="M9" s="50" t="inlineStr">
        <is>
          <t>Nano Cap</t>
        </is>
      </c>
      <c r="N9" s="62" t="n">
        <v>80.7</v>
      </c>
    </row>
    <row r="10" ht="16" customHeight="1">
      <c r="B10" s="59" t="inlineStr">
        <is>
          <t>5th</t>
        </is>
      </c>
      <c r="C10" s="19" t="inlineStr">
        <is>
          <t>EVLV</t>
        </is>
      </c>
      <c r="D10" s="20" t="inlineStr">
        <is>
          <t>Evolv Technologies Holdings, Inc.</t>
        </is>
      </c>
      <c r="E10" s="35" t="n">
        <v>82</v>
      </c>
      <c r="F10" s="47" t="inlineStr">
        <is>
          <t>Small Cap</t>
        </is>
      </c>
      <c r="G10" s="60" t="n">
        <v>82</v>
      </c>
      <c r="I10" s="59" t="inlineStr">
        <is>
          <t>5th</t>
        </is>
      </c>
      <c r="J10" s="19" t="inlineStr">
        <is>
          <t>IPGP</t>
        </is>
      </c>
      <c r="K10" s="20" t="inlineStr">
        <is>
          <t>IPG Photonics Corporation</t>
        </is>
      </c>
      <c r="L10" s="35" t="n">
        <v>-10.7</v>
      </c>
      <c r="M10" s="47" t="inlineStr">
        <is>
          <t>Breakout</t>
        </is>
      </c>
      <c r="N10" s="60" t="n">
        <v>72.90000000000001</v>
      </c>
    </row>
    <row r="12" ht="22" customHeight="1">
      <c r="B12" s="55" t="inlineStr">
        <is>
          <t>🧬 Best Fingerprint</t>
        </is>
      </c>
      <c r="C12" s="17" t="n"/>
      <c r="D12" s="17" t="n"/>
      <c r="E12" s="17" t="n"/>
      <c r="F12" s="17" t="n"/>
      <c r="G12" s="56" t="n"/>
      <c r="I12" s="55" t="inlineStr">
        <is>
          <t>👤 Highest Insider</t>
        </is>
      </c>
      <c r="J12" s="17" t="n"/>
      <c r="K12" s="17" t="n"/>
      <c r="L12" s="17" t="n"/>
      <c r="M12" s="17" t="n"/>
      <c r="N12" s="56" t="n"/>
    </row>
    <row r="13" ht="18" customHeight="1">
      <c r="B13" s="57" t="inlineStr">
        <is>
          <t>Rank</t>
        </is>
      </c>
      <c r="C13" s="18" t="inlineStr">
        <is>
          <t>Ticker</t>
        </is>
      </c>
      <c r="D13" s="18" t="inlineStr">
        <is>
          <t>Company</t>
        </is>
      </c>
      <c r="E13" s="18" t="inlineStr">
        <is>
          <t>FP Score</t>
        </is>
      </c>
      <c r="F13" s="18" t="inlineStr">
        <is>
          <t>Tier</t>
        </is>
      </c>
      <c r="G13" s="58" t="inlineStr">
        <is>
          <t>Score</t>
        </is>
      </c>
      <c r="I13" s="57" t="inlineStr">
        <is>
          <t>Rank</t>
        </is>
      </c>
      <c r="J13" s="18" t="inlineStr">
        <is>
          <t>Ticker</t>
        </is>
      </c>
      <c r="K13" s="18" t="inlineStr">
        <is>
          <t>Company</t>
        </is>
      </c>
      <c r="L13" s="18" t="inlineStr">
        <is>
          <t>Insider %</t>
        </is>
      </c>
      <c r="M13" s="18" t="inlineStr">
        <is>
          <t>Tier</t>
        </is>
      </c>
      <c r="N13" s="58" t="inlineStr">
        <is>
          <t>Score</t>
        </is>
      </c>
    </row>
    <row r="14" ht="16" customHeight="1">
      <c r="B14" s="59" t="inlineStr">
        <is>
          <t>🥇</t>
        </is>
      </c>
      <c r="C14" s="19" t="inlineStr">
        <is>
          <t>PKE</t>
        </is>
      </c>
      <c r="D14" s="20" t="inlineStr">
        <is>
          <t>Park Aerospace Corp.</t>
        </is>
      </c>
      <c r="E14" s="35" t="n">
        <v>100</v>
      </c>
      <c r="F14" s="47" t="inlineStr">
        <is>
          <t>Small Cap</t>
        </is>
      </c>
      <c r="G14" s="60" t="n">
        <v>81.7</v>
      </c>
      <c r="I14" s="59" t="inlineStr">
        <is>
          <t>🥇</t>
        </is>
      </c>
      <c r="J14" s="19" t="inlineStr">
        <is>
          <t>KRMN</t>
        </is>
      </c>
      <c r="K14" s="20" t="inlineStr">
        <is>
          <t>Karman Holdings Inc.</t>
        </is>
      </c>
      <c r="L14" s="35" t="n">
        <v>77.7</v>
      </c>
      <c r="M14" s="47" t="inlineStr">
        <is>
          <t>Breakout</t>
        </is>
      </c>
      <c r="N14" s="60" t="n">
        <v>84</v>
      </c>
    </row>
    <row r="15" ht="16" customHeight="1">
      <c r="B15" s="61" t="inlineStr">
        <is>
          <t>🥈</t>
        </is>
      </c>
      <c r="C15" s="24" t="inlineStr">
        <is>
          <t>ADTN</t>
        </is>
      </c>
      <c r="D15" s="25" t="inlineStr">
        <is>
          <t>ADTRAN Holdings, Inc.</t>
        </is>
      </c>
      <c r="E15" s="42" t="n">
        <v>99.2</v>
      </c>
      <c r="F15" s="50" t="inlineStr">
        <is>
          <t>Small Cap</t>
        </is>
      </c>
      <c r="G15" s="62" t="n">
        <v>78.90000000000001</v>
      </c>
      <c r="I15" s="61" t="inlineStr">
        <is>
          <t>🥈</t>
        </is>
      </c>
      <c r="J15" s="24" t="inlineStr">
        <is>
          <t>WYFI</t>
        </is>
      </c>
      <c r="K15" s="25" t="inlineStr">
        <is>
          <t>WhiteFiber, Inc. Ordinary Shares</t>
        </is>
      </c>
      <c r="L15" s="42" t="n">
        <v>75.3</v>
      </c>
      <c r="M15" s="50" t="inlineStr">
        <is>
          <t>Small Cap</t>
        </is>
      </c>
      <c r="N15" s="62" t="n">
        <v>76.7</v>
      </c>
    </row>
    <row r="16" ht="16" customHeight="1">
      <c r="B16" s="59" t="inlineStr">
        <is>
          <t>🥉</t>
        </is>
      </c>
      <c r="C16" s="19" t="inlineStr">
        <is>
          <t>KULR</t>
        </is>
      </c>
      <c r="D16" s="20" t="inlineStr">
        <is>
          <t>KULR Technology Group, Inc.</t>
        </is>
      </c>
      <c r="E16" s="35" t="n">
        <v>98.90000000000001</v>
      </c>
      <c r="F16" s="47" t="inlineStr">
        <is>
          <t>Nano Cap</t>
        </is>
      </c>
      <c r="G16" s="60" t="n">
        <v>91.3</v>
      </c>
      <c r="I16" s="59" t="inlineStr">
        <is>
          <t>🥉</t>
        </is>
      </c>
      <c r="J16" s="19" t="inlineStr">
        <is>
          <t>BZAI</t>
        </is>
      </c>
      <c r="K16" s="20" t="inlineStr">
        <is>
          <t>Blaize Holdings, Inc.</t>
        </is>
      </c>
      <c r="L16" s="35" t="n">
        <v>51.7</v>
      </c>
      <c r="M16" s="47" t="inlineStr">
        <is>
          <t>Nano Cap</t>
        </is>
      </c>
      <c r="N16" s="60" t="n">
        <v>76.40000000000001</v>
      </c>
    </row>
    <row r="17" ht="16" customHeight="1">
      <c r="B17" s="61" t="inlineStr">
        <is>
          <t>4th</t>
        </is>
      </c>
      <c r="C17" s="24" t="inlineStr">
        <is>
          <t>WSTL</t>
        </is>
      </c>
      <c r="D17" s="25" t="inlineStr">
        <is>
          <t>Westell Technologies, Inc.</t>
        </is>
      </c>
      <c r="E17" s="42" t="n">
        <v>98.59999999999999</v>
      </c>
      <c r="F17" s="50" t="inlineStr">
        <is>
          <t>Nano Cap</t>
        </is>
      </c>
      <c r="G17" s="62" t="n">
        <v>80.7</v>
      </c>
      <c r="I17" s="61" t="inlineStr">
        <is>
          <t>4th</t>
        </is>
      </c>
      <c r="J17" s="24" t="inlineStr">
        <is>
          <t>CODA</t>
        </is>
      </c>
      <c r="K17" s="25" t="inlineStr">
        <is>
          <t>Coda Octopus Group, Inc.</t>
        </is>
      </c>
      <c r="L17" s="42" t="n">
        <v>49.1</v>
      </c>
      <c r="M17" s="50" t="inlineStr">
        <is>
          <t>Nano Cap</t>
        </is>
      </c>
      <c r="N17" s="62" t="n">
        <v>80.8</v>
      </c>
    </row>
    <row r="18" ht="16" customHeight="1">
      <c r="B18" s="59" t="inlineStr">
        <is>
          <t>5th</t>
        </is>
      </c>
      <c r="C18" s="19" t="inlineStr">
        <is>
          <t>SWBI</t>
        </is>
      </c>
      <c r="D18" s="20" t="inlineStr">
        <is>
          <t>Smith &amp; Wesson Brands, Inc.</t>
        </is>
      </c>
      <c r="E18" s="35" t="n">
        <v>98.5</v>
      </c>
      <c r="F18" s="47" t="inlineStr">
        <is>
          <t>Small Cap</t>
        </is>
      </c>
      <c r="G18" s="60" t="n">
        <v>74.5</v>
      </c>
      <c r="I18" s="59" t="inlineStr">
        <is>
          <t>5th</t>
        </is>
      </c>
      <c r="J18" s="19" t="inlineStr">
        <is>
          <t>IPGP</t>
        </is>
      </c>
      <c r="K18" s="20" t="inlineStr">
        <is>
          <t>IPG Photonics Corporation</t>
        </is>
      </c>
      <c r="L18" s="35" t="n">
        <v>35.4</v>
      </c>
      <c r="M18" s="47" t="inlineStr">
        <is>
          <t>Breakout</t>
        </is>
      </c>
      <c r="N18" s="60" t="n">
        <v>72.90000000000001</v>
      </c>
    </row>
    <row r="20" ht="22" customHeight="1">
      <c r="B20" s="55" t="inlineStr">
        <is>
          <t>🚀 Fastest Growth</t>
        </is>
      </c>
      <c r="C20" s="17" t="n"/>
      <c r="D20" s="17" t="n"/>
      <c r="E20" s="17" t="n"/>
      <c r="F20" s="17" t="n"/>
      <c r="G20" s="56" t="n"/>
      <c r="I20" s="55" t="inlineStr">
        <is>
          <t>🔬 Smallest Cap</t>
        </is>
      </c>
      <c r="J20" s="17" t="n"/>
      <c r="K20" s="17" t="n"/>
      <c r="L20" s="17" t="n"/>
      <c r="M20" s="17" t="n"/>
      <c r="N20" s="56" t="n"/>
    </row>
    <row r="21" ht="18" customHeight="1">
      <c r="B21" s="57" t="inlineStr">
        <is>
          <t>Rank</t>
        </is>
      </c>
      <c r="C21" s="18" t="inlineStr">
        <is>
          <t>Ticker</t>
        </is>
      </c>
      <c r="D21" s="18" t="inlineStr">
        <is>
          <t>Company</t>
        </is>
      </c>
      <c r="E21" s="18" t="inlineStr">
        <is>
          <t>Rev Gr %</t>
        </is>
      </c>
      <c r="F21" s="18" t="inlineStr">
        <is>
          <t>Tier</t>
        </is>
      </c>
      <c r="G21" s="58" t="inlineStr">
        <is>
          <t>Score</t>
        </is>
      </c>
      <c r="I21" s="57" t="inlineStr">
        <is>
          <t>Rank</t>
        </is>
      </c>
      <c r="J21" s="18" t="inlineStr">
        <is>
          <t>Ticker</t>
        </is>
      </c>
      <c r="K21" s="18" t="inlineStr">
        <is>
          <t>Company</t>
        </is>
      </c>
      <c r="L21" s="18" t="inlineStr">
        <is>
          <t>Mkt Cap</t>
        </is>
      </c>
      <c r="M21" s="18" t="inlineStr">
        <is>
          <t>Tier</t>
        </is>
      </c>
      <c r="N21" s="58" t="inlineStr">
        <is>
          <t>Score</t>
        </is>
      </c>
    </row>
    <row r="22" ht="16" customHeight="1">
      <c r="B22" s="59" t="inlineStr">
        <is>
          <t>🥇</t>
        </is>
      </c>
      <c r="C22" s="19" t="inlineStr">
        <is>
          <t>SCTQ</t>
        </is>
      </c>
      <c r="D22" s="20" t="inlineStr">
        <is>
          <t>Spectra Systems Corporation</t>
        </is>
      </c>
      <c r="E22" s="35" t="n">
        <v>501.8</v>
      </c>
      <c r="F22" s="47" t="inlineStr">
        <is>
          <t>Nano Cap</t>
        </is>
      </c>
      <c r="G22" s="60" t="n">
        <v>80.2</v>
      </c>
      <c r="I22" s="59" t="inlineStr">
        <is>
          <t>🥇</t>
        </is>
      </c>
      <c r="J22" s="19" t="inlineStr">
        <is>
          <t>WSTL</t>
        </is>
      </c>
      <c r="K22" s="20" t="inlineStr">
        <is>
          <t>Westell Technologies, Inc.</t>
        </is>
      </c>
      <c r="L22" s="21" t="n">
        <v>75.90000000000001</v>
      </c>
      <c r="M22" s="47" t="inlineStr">
        <is>
          <t>Nano Cap</t>
        </is>
      </c>
      <c r="N22" s="60" t="n">
        <v>80.7</v>
      </c>
    </row>
    <row r="23" ht="16" customHeight="1">
      <c r="B23" s="61" t="inlineStr">
        <is>
          <t>🥈</t>
        </is>
      </c>
      <c r="C23" s="24" t="inlineStr">
        <is>
          <t>CMCO</t>
        </is>
      </c>
      <c r="D23" s="25" t="inlineStr">
        <is>
          <t>Columbus McKinnon Corporation</t>
        </is>
      </c>
      <c r="E23" s="42" t="n">
        <v>357.8</v>
      </c>
      <c r="F23" s="50" t="inlineStr">
        <is>
          <t>Small Cap</t>
        </is>
      </c>
      <c r="G23" s="62" t="n">
        <v>81.2</v>
      </c>
      <c r="I23" s="61" t="inlineStr">
        <is>
          <t>🥈</t>
        </is>
      </c>
      <c r="J23" s="24" t="inlineStr">
        <is>
          <t>SCTQ</t>
        </is>
      </c>
      <c r="K23" s="25" t="inlineStr">
        <is>
          <t>Spectra Systems Corporation</t>
        </is>
      </c>
      <c r="L23" s="26" t="n">
        <v>101.7</v>
      </c>
      <c r="M23" s="50" t="inlineStr">
        <is>
          <t>Nano Cap</t>
        </is>
      </c>
      <c r="N23" s="62" t="n">
        <v>80.2</v>
      </c>
    </row>
    <row r="24" ht="16" customHeight="1">
      <c r="B24" s="59" t="inlineStr">
        <is>
          <t>🥉</t>
        </is>
      </c>
      <c r="C24" s="19" t="inlineStr">
        <is>
          <t>BZAI</t>
        </is>
      </c>
      <c r="D24" s="20" t="inlineStr">
        <is>
          <t>Blaize Holdings, Inc.</t>
        </is>
      </c>
      <c r="E24" s="35" t="n">
        <v>171.9</v>
      </c>
      <c r="F24" s="47" t="inlineStr">
        <is>
          <t>Nano Cap</t>
        </is>
      </c>
      <c r="G24" s="60" t="n">
        <v>76.40000000000001</v>
      </c>
      <c r="I24" s="59" t="inlineStr">
        <is>
          <t>🥉</t>
        </is>
      </c>
      <c r="J24" s="19" t="inlineStr">
        <is>
          <t>CODA</t>
        </is>
      </c>
      <c r="K24" s="20" t="inlineStr">
        <is>
          <t>Coda Octopus Group, Inc.</t>
        </is>
      </c>
      <c r="L24" s="21" t="n">
        <v>133.1</v>
      </c>
      <c r="M24" s="47" t="inlineStr">
        <is>
          <t>Nano Cap</t>
        </is>
      </c>
      <c r="N24" s="60" t="n">
        <v>80.8</v>
      </c>
    </row>
    <row r="25" ht="16" customHeight="1">
      <c r="B25" s="61" t="inlineStr">
        <is>
          <t>4th</t>
        </is>
      </c>
      <c r="C25" s="24" t="inlineStr">
        <is>
          <t>KULR</t>
        </is>
      </c>
      <c r="D25" s="25" t="inlineStr">
        <is>
          <t>KULR Technology Group, Inc.</t>
        </is>
      </c>
      <c r="E25" s="42" t="n">
        <v>97.90000000000001</v>
      </c>
      <c r="F25" s="50" t="inlineStr">
        <is>
          <t>Nano Cap</t>
        </is>
      </c>
      <c r="G25" s="62" t="n">
        <v>91.3</v>
      </c>
      <c r="I25" s="61" t="inlineStr">
        <is>
          <t>4th</t>
        </is>
      </c>
      <c r="J25" s="24" t="inlineStr">
        <is>
          <t>BYRN</t>
        </is>
      </c>
      <c r="K25" s="25" t="inlineStr">
        <is>
          <t>Byrna Technologies Inc.</t>
        </is>
      </c>
      <c r="L25" s="26" t="n">
        <v>134.3</v>
      </c>
      <c r="M25" s="50" t="inlineStr">
        <is>
          <t>Nano Cap</t>
        </is>
      </c>
      <c r="N25" s="62" t="n">
        <v>73.90000000000001</v>
      </c>
    </row>
    <row r="26" ht="16" customHeight="1">
      <c r="B26" s="59" t="inlineStr">
        <is>
          <t>5th</t>
        </is>
      </c>
      <c r="C26" s="19" t="inlineStr">
        <is>
          <t>KRMN</t>
        </is>
      </c>
      <c r="D26" s="20" t="inlineStr">
        <is>
          <t>Karman Holdings Inc.</t>
        </is>
      </c>
      <c r="E26" s="35" t="n">
        <v>51</v>
      </c>
      <c r="F26" s="47" t="inlineStr">
        <is>
          <t>Breakout</t>
        </is>
      </c>
      <c r="G26" s="60" t="n">
        <v>84</v>
      </c>
      <c r="I26" s="59" t="inlineStr">
        <is>
          <t>5th</t>
        </is>
      </c>
      <c r="J26" s="19" t="inlineStr">
        <is>
          <t>KVHI</t>
        </is>
      </c>
      <c r="K26" s="20" t="inlineStr">
        <is>
          <t>KVH Industries, Inc.</t>
        </is>
      </c>
      <c r="L26" s="21" t="n">
        <v>146.6</v>
      </c>
      <c r="M26" s="47" t="inlineStr">
        <is>
          <t>Nano Cap</t>
        </is>
      </c>
      <c r="N26" s="60" t="n">
        <v>86.8</v>
      </c>
    </row>
    <row r="28" ht="22" customHeight="1">
      <c r="B28" s="55" t="inlineStr">
        <is>
          <t>📈 Best Momentum</t>
        </is>
      </c>
      <c r="C28" s="17" t="n"/>
      <c r="D28" s="17" t="n"/>
      <c r="E28" s="17" t="n"/>
      <c r="F28" s="17" t="n"/>
      <c r="G28" s="56" t="n"/>
    </row>
    <row r="29" ht="18" customHeight="1">
      <c r="B29" s="57" t="inlineStr">
        <is>
          <t>Rank</t>
        </is>
      </c>
      <c r="C29" s="18" t="inlineStr">
        <is>
          <t>Ticker</t>
        </is>
      </c>
      <c r="D29" s="18" t="inlineStr">
        <is>
          <t>Company</t>
        </is>
      </c>
      <c r="E29" s="18" t="inlineStr">
        <is>
          <t>3M %</t>
        </is>
      </c>
      <c r="F29" s="18" t="inlineStr">
        <is>
          <t>Tier</t>
        </is>
      </c>
      <c r="G29" s="58" t="inlineStr">
        <is>
          <t>Score</t>
        </is>
      </c>
    </row>
    <row r="30" ht="16" customHeight="1">
      <c r="B30" s="59" t="inlineStr">
        <is>
          <t>🥇</t>
        </is>
      </c>
      <c r="C30" s="19" t="inlineStr">
        <is>
          <t>ADTN</t>
        </is>
      </c>
      <c r="D30" s="20" t="inlineStr">
        <is>
          <t>ADTRAN Holdings, Inc.</t>
        </is>
      </c>
      <c r="E30" s="35" t="n">
        <v>52.58449</v>
      </c>
      <c r="F30" s="47" t="inlineStr">
        <is>
          <t>Small Cap</t>
        </is>
      </c>
      <c r="G30" s="60" t="n">
        <v>78.90000000000001</v>
      </c>
    </row>
    <row r="31" ht="16" customHeight="1">
      <c r="B31" s="61" t="inlineStr">
        <is>
          <t>🥈</t>
        </is>
      </c>
      <c r="C31" s="24" t="inlineStr">
        <is>
          <t>WSTL</t>
        </is>
      </c>
      <c r="D31" s="25" t="inlineStr">
        <is>
          <t>Westell Technologies, Inc.</t>
        </is>
      </c>
      <c r="E31" s="42" t="n">
        <v>49.8994</v>
      </c>
      <c r="F31" s="50" t="inlineStr">
        <is>
          <t>Nano Cap</t>
        </is>
      </c>
      <c r="G31" s="62" t="n">
        <v>80.7</v>
      </c>
    </row>
    <row r="32" ht="16" customHeight="1">
      <c r="B32" s="59" t="inlineStr">
        <is>
          <t>🥉</t>
        </is>
      </c>
      <c r="C32" s="19" t="inlineStr">
        <is>
          <t>WYFI</t>
        </is>
      </c>
      <c r="D32" s="20" t="inlineStr">
        <is>
          <t>WhiteFiber, Inc. Ordinary Shares</t>
        </is>
      </c>
      <c r="E32" s="35" t="n">
        <v>45.98494</v>
      </c>
      <c r="F32" s="47" t="inlineStr">
        <is>
          <t>Small Cap</t>
        </is>
      </c>
      <c r="G32" s="60" t="n">
        <v>76.7</v>
      </c>
    </row>
    <row r="33" ht="16" customHeight="1">
      <c r="B33" s="61" t="inlineStr">
        <is>
          <t>4th</t>
        </is>
      </c>
      <c r="C33" s="24" t="inlineStr">
        <is>
          <t>BZAI</t>
        </is>
      </c>
      <c r="D33" s="25" t="inlineStr">
        <is>
          <t>Blaize Holdings, Inc.</t>
        </is>
      </c>
      <c r="E33" s="42" t="n">
        <v>41.88034</v>
      </c>
      <c r="F33" s="50" t="inlineStr">
        <is>
          <t>Nano Cap</t>
        </is>
      </c>
      <c r="G33" s="62" t="n">
        <v>76.40000000000001</v>
      </c>
    </row>
    <row r="34" ht="16" customHeight="1">
      <c r="B34" s="59" t="inlineStr">
        <is>
          <t>5th</t>
        </is>
      </c>
      <c r="C34" s="19" t="inlineStr">
        <is>
          <t>ALGM</t>
        </is>
      </c>
      <c r="D34" s="20" t="inlineStr">
        <is>
          <t>Allegro MicroSystems, Inc.</t>
        </is>
      </c>
      <c r="E34" s="35" t="n">
        <v>41.51922</v>
      </c>
      <c r="F34" s="47" t="inlineStr">
        <is>
          <t>Breakout</t>
        </is>
      </c>
      <c r="G34" s="60" t="n">
        <v>75</v>
      </c>
    </row>
  </sheetData>
  <mergeCells count="9">
    <mergeCell ref="B20:G20"/>
    <mergeCell ref="B28:G28"/>
    <mergeCell ref="A2:N2"/>
    <mergeCell ref="B4:G4"/>
    <mergeCell ref="B12:G12"/>
    <mergeCell ref="I12:N12"/>
    <mergeCell ref="I4:N4"/>
    <mergeCell ref="I20:N20"/>
    <mergeCell ref="A1:N1"/>
  </mergeCells>
  <pageMargins left="0.75" right="0.75" top="1" bottom="1" header="0.5" footer="0.5"/>
  <pageSetup orientation="landscape" fitToWidth="1"/>
</worksheet>
</file>

<file path=xl/worksheets/sheet8.xml><?xml version="1.0" encoding="utf-8"?>
<worksheet xmlns="http://schemas.openxmlformats.org/spreadsheetml/2006/main">
  <sheetPr>
    <tabColor rgb="002A9D8F"/>
    <outlinePr summaryBelow="1" summaryRight="1"/>
    <pageSetUpPr fitToPage="1"/>
  </sheetPr>
  <dimension ref="A1:I42"/>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2" customWidth="1" min="3" max="3"/>
    <col width="14" customWidth="1" min="4" max="4"/>
    <col width="18" customWidth="1" min="5" max="5"/>
    <col width="12" customWidth="1" min="6" max="6"/>
    <col width="55" customWidth="1" min="7" max="7"/>
    <col width="30" customWidth="1" min="8" max="8"/>
    <col width="30" customWidth="1" min="9" max="9"/>
  </cols>
  <sheetData>
    <row r="1" ht="28" customHeight="1">
      <c r="A1" s="30" t="inlineStr">
        <is>
          <t>INVESTMENT RECOMMENDATIONS</t>
        </is>
      </c>
      <c r="B1" s="11" t="n"/>
      <c r="C1" s="11" t="n"/>
      <c r="D1" s="11" t="n"/>
      <c r="E1" s="11" t="n"/>
      <c r="F1" s="11" t="n"/>
      <c r="G1" s="11" t="n"/>
      <c r="H1" s="11" t="n"/>
      <c r="I1" s="11" t="n"/>
    </row>
    <row r="2" ht="22" customHeight="1">
      <c r="A2" s="31" t="inlineStr">
        <is>
          <t>Conviction levels based on combined scoring, fundamentals, and risk profile  |  June 06, 2026</t>
        </is>
      </c>
      <c r="B2" s="12" t="n"/>
      <c r="C2" s="12" t="n"/>
      <c r="D2" s="12" t="n"/>
      <c r="E2" s="12" t="n"/>
      <c r="F2" s="12" t="n"/>
      <c r="G2" s="12" t="n"/>
      <c r="H2" s="12" t="n"/>
      <c r="I2" s="12" t="n"/>
    </row>
    <row r="3" ht="8" customHeight="1"/>
    <row r="4" ht="22" customHeight="1">
      <c r="A4" s="63" t="inlineStr">
        <is>
          <t>▼ Filter:</t>
        </is>
      </c>
      <c r="B4" s="64" t="inlineStr">
        <is>
          <t>All</t>
        </is>
      </c>
      <c r="C4" s="64" t="inlineStr">
        <is>
          <t>All</t>
        </is>
      </c>
      <c r="D4" s="64" t="inlineStr">
        <is>
          <t>All</t>
        </is>
      </c>
    </row>
    <row r="5" ht="18" customHeight="1">
      <c r="A5" s="18" t="inlineStr">
        <is>
          <t>Ticker</t>
        </is>
      </c>
      <c r="B5" s="18" t="inlineStr">
        <is>
          <t>Name</t>
        </is>
      </c>
      <c r="C5" s="18" t="inlineStr">
        <is>
          <t>Tier</t>
        </is>
      </c>
      <c r="D5" s="18" t="inlineStr">
        <is>
          <t>Conviction</t>
        </is>
      </c>
      <c r="E5" s="18" t="inlineStr">
        <is>
          <t>Thesis Bucket</t>
        </is>
      </c>
      <c r="F5" s="18" t="inlineStr">
        <is>
          <t>Combined</t>
        </is>
      </c>
      <c r="G5" s="18" t="inlineStr">
        <is>
          <t>Rationale</t>
        </is>
      </c>
      <c r="H5" s="18" t="inlineStr">
        <is>
          <t>Key Strengths</t>
        </is>
      </c>
      <c r="I5" s="18" t="inlineStr">
        <is>
          <t>Key Risks</t>
        </is>
      </c>
    </row>
    <row r="6" ht="40" customHeight="1">
      <c r="A6" s="19" t="inlineStr">
        <is>
          <t>KULR</t>
        </is>
      </c>
      <c r="B6" s="20" t="inlineStr">
        <is>
          <t>KULR Technology Group, Inc.</t>
        </is>
      </c>
      <c r="C6" s="47" t="inlineStr">
        <is>
          <t>Nano Cap</t>
        </is>
      </c>
      <c r="D6" s="23" t="inlineStr">
        <is>
          <t>Medium-High</t>
        </is>
      </c>
      <c r="E6" s="20" t="inlineStr">
        <is>
          <t>Fingerprint Match</t>
        </is>
      </c>
      <c r="F6" s="35" t="n">
        <v>91.3</v>
      </c>
      <c r="G6" s="48" t="inlineStr">
        <is>
          <t>Strengths: strong revenue growth, minimal dilution, strong fingerprint match. Risks: thin margins, low insider ownership.</t>
        </is>
      </c>
      <c r="H6" s="65" t="inlineStr">
        <is>
          <t>✓ strong revenue growth
✓ minimal dilution
✓ strong fingerprint match</t>
        </is>
      </c>
      <c r="I6" s="66" t="inlineStr">
        <is>
          <t>⚠ thin margins
⚠ low insider ownership</t>
        </is>
      </c>
    </row>
    <row r="7" ht="40" customHeight="1">
      <c r="A7" s="24" t="inlineStr">
        <is>
          <t>KVHI</t>
        </is>
      </c>
      <c r="B7" s="25" t="inlineStr">
        <is>
          <t>KVH Industries, Inc.</t>
        </is>
      </c>
      <c r="C7" s="50" t="inlineStr">
        <is>
          <t>Nano Cap</t>
        </is>
      </c>
      <c r="D7" s="27" t="inlineStr">
        <is>
          <t>High</t>
        </is>
      </c>
      <c r="E7" s="25" t="inlineStr">
        <is>
          <t>Fingerprint Match</t>
        </is>
      </c>
      <c r="F7" s="42" t="n">
        <v>86.8</v>
      </c>
      <c r="G7" s="51" t="inlineStr">
        <is>
          <t>Strengths: solid revenue growth, high insider alignment, minimal dilution, strong fingerprint match. Risks: thin margins.</t>
        </is>
      </c>
      <c r="H7" s="65" t="inlineStr">
        <is>
          <t>✓ solid revenue growth
✓ high insider alignment
✓ minimal dilution
✓ strong fingerprint match</t>
        </is>
      </c>
      <c r="I7" s="66" t="inlineStr">
        <is>
          <t>⚠ thin margins</t>
        </is>
      </c>
    </row>
    <row r="8" ht="40" customHeight="1">
      <c r="A8" s="19" t="inlineStr">
        <is>
          <t>KRMN</t>
        </is>
      </c>
      <c r="B8" s="20" t="inlineStr">
        <is>
          <t>Karman Holdings Inc.</t>
        </is>
      </c>
      <c r="C8" s="47" t="inlineStr">
        <is>
          <t>Breakout</t>
        </is>
      </c>
      <c r="D8" s="23" t="inlineStr">
        <is>
          <t>Medium-High</t>
        </is>
      </c>
      <c r="E8" s="20" t="inlineStr">
        <is>
          <t>High-Growth Quality</t>
        </is>
      </c>
      <c r="F8" s="35" t="n">
        <v>84</v>
      </c>
      <c r="G8" s="48" t="inlineStr">
        <is>
          <t>Strengths: strong revenue growth, healthy margins, high insider alignment, minimal dilution. Risks: negative momentum.</t>
        </is>
      </c>
      <c r="H8" s="65" t="inlineStr">
        <is>
          <t>✓ strong revenue growth
✓ healthy margins
✓ high insider alignment
✓ minimal dilution</t>
        </is>
      </c>
      <c r="I8" s="66" t="inlineStr">
        <is>
          <t>⚠ negative momentum</t>
        </is>
      </c>
    </row>
    <row r="9" ht="40" customHeight="1">
      <c r="A9" s="24" t="inlineStr">
        <is>
          <t>DSP</t>
        </is>
      </c>
      <c r="B9" s="25" t="inlineStr">
        <is>
          <t>Viant Technology Inc.</t>
        </is>
      </c>
      <c r="C9" s="50" t="inlineStr">
        <is>
          <t>Small Cap</t>
        </is>
      </c>
      <c r="D9" s="23" t="inlineStr">
        <is>
          <t>Medium-High</t>
        </is>
      </c>
      <c r="E9" s="25" t="inlineStr">
        <is>
          <t>Fingerprint Match</t>
        </is>
      </c>
      <c r="F9" s="42" t="n">
        <v>82.59999999999999</v>
      </c>
      <c r="G9" s="51" t="inlineStr">
        <is>
          <t>Strengths: solid revenue growth, high-margin business, high insider alignment, minimal dilution, strong fingerprint match. Risks: none significant.</t>
        </is>
      </c>
      <c r="H9" s="65" t="inlineStr">
        <is>
          <t>✓ solid revenue growth
✓ high-margin business
✓ high insider alignment
✓ minimal dilution
✓ strong fingerprint match</t>
        </is>
      </c>
      <c r="I9" s="66" t="inlineStr">
        <is>
          <t>—</t>
        </is>
      </c>
    </row>
    <row r="10" ht="40" customHeight="1">
      <c r="A10" s="19" t="inlineStr">
        <is>
          <t>EVLV</t>
        </is>
      </c>
      <c r="B10" s="20" t="inlineStr">
        <is>
          <t>Evolv Technologies Holdings, Inc.</t>
        </is>
      </c>
      <c r="C10" s="47" t="inlineStr">
        <is>
          <t>Small Cap</t>
        </is>
      </c>
      <c r="D10" s="23" t="inlineStr">
        <is>
          <t>Medium-High</t>
        </is>
      </c>
      <c r="E10" s="20" t="inlineStr">
        <is>
          <t>High-Growth Quality</t>
        </is>
      </c>
      <c r="F10" s="35" t="n">
        <v>82</v>
      </c>
      <c r="G10" s="48" t="inlineStr">
        <is>
          <t>Strengths: strong revenue growth, high-margin business, strong fingerprint match. Risks: significant dilution.</t>
        </is>
      </c>
      <c r="H10" s="65" t="inlineStr">
        <is>
          <t>✓ strong revenue growth
✓ high-margin business
✓ strong fingerprint match</t>
        </is>
      </c>
      <c r="I10" s="66" t="inlineStr">
        <is>
          <t>⚠ significant dilution</t>
        </is>
      </c>
    </row>
    <row r="11" ht="40" customHeight="1">
      <c r="A11" s="24" t="inlineStr">
        <is>
          <t>PKE</t>
        </is>
      </c>
      <c r="B11" s="25" t="inlineStr">
        <is>
          <t>Park Aerospace Corp.</t>
        </is>
      </c>
      <c r="C11" s="50" t="inlineStr">
        <is>
          <t>Small Cap</t>
        </is>
      </c>
      <c r="D11" s="23" t="inlineStr">
        <is>
          <t>Medium-High</t>
        </is>
      </c>
      <c r="E11" s="25" t="inlineStr">
        <is>
          <t>Fingerprint Match</t>
        </is>
      </c>
      <c r="F11" s="42" t="n">
        <v>81.7</v>
      </c>
      <c r="G11" s="51" t="inlineStr">
        <is>
          <t>Strengths: strong revenue growth, minimal dilution, strong fingerprint match. Risks: thin margins.</t>
        </is>
      </c>
      <c r="H11" s="65" t="inlineStr">
        <is>
          <t>✓ strong revenue growth
✓ minimal dilution
✓ strong fingerprint match</t>
        </is>
      </c>
      <c r="I11" s="66" t="inlineStr">
        <is>
          <t>⚠ thin margins</t>
        </is>
      </c>
    </row>
    <row r="12" ht="40" customHeight="1">
      <c r="A12" s="19" t="inlineStr">
        <is>
          <t>INTT</t>
        </is>
      </c>
      <c r="B12" s="20" t="inlineStr">
        <is>
          <t>inTEST Corporation</t>
        </is>
      </c>
      <c r="C12" s="47" t="inlineStr">
        <is>
          <t>Nano Cap</t>
        </is>
      </c>
      <c r="D12" s="23" t="inlineStr">
        <is>
          <t>Medium-High</t>
        </is>
      </c>
      <c r="E12" s="20" t="inlineStr">
        <is>
          <t>Fingerprint Match</t>
        </is>
      </c>
      <c r="F12" s="35" t="n">
        <v>81.59999999999999</v>
      </c>
      <c r="G12" s="48" t="inlineStr">
        <is>
          <t>Strengths: solid revenue growth, healthy margins, strong fingerprint match. Risks: none significant.</t>
        </is>
      </c>
      <c r="H12" s="65" t="inlineStr">
        <is>
          <t>✓ solid revenue growth
✓ healthy margins
✓ strong fingerprint match</t>
        </is>
      </c>
      <c r="I12" s="66" t="inlineStr">
        <is>
          <t>—</t>
        </is>
      </c>
    </row>
    <row r="13" ht="40" customHeight="1">
      <c r="A13" s="24" t="inlineStr">
        <is>
          <t>CMCO</t>
        </is>
      </c>
      <c r="B13" s="25" t="inlineStr">
        <is>
          <t>Columbus McKinnon Corporation</t>
        </is>
      </c>
      <c r="C13" s="50" t="inlineStr">
        <is>
          <t>Small Cap</t>
        </is>
      </c>
      <c r="D13" s="23" t="inlineStr">
        <is>
          <t>Medium-High</t>
        </is>
      </c>
      <c r="E13" s="25" t="inlineStr">
        <is>
          <t>Growth Inflection</t>
        </is>
      </c>
      <c r="F13" s="42" t="n">
        <v>81.2</v>
      </c>
      <c r="G13" s="51" t="inlineStr">
        <is>
          <t>Strengths: strong revenue growth, minimal dilution. Risks: thin margins, low insider ownership, negative momentum.</t>
        </is>
      </c>
      <c r="H13" s="65" t="inlineStr">
        <is>
          <t>✓ strong revenue growth
✓ minimal dilution</t>
        </is>
      </c>
      <c r="I13" s="66" t="inlineStr">
        <is>
          <t>⚠ thin margins
⚠ low insider ownership
⚠ negative momentum</t>
        </is>
      </c>
    </row>
    <row r="14" ht="40" customHeight="1">
      <c r="A14" s="19" t="inlineStr">
        <is>
          <t>CODA</t>
        </is>
      </c>
      <c r="B14" s="20" t="inlineStr">
        <is>
          <t>Coda Octopus Group, Inc.</t>
        </is>
      </c>
      <c r="C14" s="47" t="inlineStr">
        <is>
          <t>Nano Cap</t>
        </is>
      </c>
      <c r="D14" s="23" t="inlineStr">
        <is>
          <t>Medium-High</t>
        </is>
      </c>
      <c r="E14" s="20" t="inlineStr">
        <is>
          <t>Insider Conviction</t>
        </is>
      </c>
      <c r="F14" s="35" t="n">
        <v>80.8</v>
      </c>
      <c r="G14" s="48" t="inlineStr">
        <is>
          <t>Strengths: solid revenue growth, high-margin business, high insider alignment, minimal dilution. Risks: none significant.</t>
        </is>
      </c>
      <c r="H14" s="65" t="inlineStr">
        <is>
          <t>✓ solid revenue growth
✓ high-margin business
✓ high insider alignment
✓ minimal dilution</t>
        </is>
      </c>
      <c r="I14" s="66" t="inlineStr">
        <is>
          <t>—</t>
        </is>
      </c>
    </row>
    <row r="15" ht="40" customHeight="1">
      <c r="A15" s="24" t="inlineStr">
        <is>
          <t>WSTL</t>
        </is>
      </c>
      <c r="B15" s="25" t="inlineStr">
        <is>
          <t>Westell Technologies, Inc.</t>
        </is>
      </c>
      <c r="C15" s="50" t="inlineStr">
        <is>
          <t>Nano Cap</t>
        </is>
      </c>
      <c r="D15" s="23" t="inlineStr">
        <is>
          <t>Medium-High</t>
        </is>
      </c>
      <c r="E15" s="25" t="inlineStr">
        <is>
          <t>High-Growth Quality</t>
        </is>
      </c>
      <c r="F15" s="42" t="n">
        <v>80.7</v>
      </c>
      <c r="G15" s="51" t="inlineStr">
        <is>
          <t>Strengths: strong revenue growth, healthy margins, high insider alignment, minimal dilution, strong fingerprint match, positive momentum. Risks: none significant.</t>
        </is>
      </c>
      <c r="H15" s="65" t="inlineStr">
        <is>
          <t>✓ strong revenue growth
✓ healthy margins
✓ high insider alignment
✓ minimal dilution
✓ strong fingerprint match
✓ positive momentum</t>
        </is>
      </c>
      <c r="I15" s="66" t="inlineStr">
        <is>
          <t>—</t>
        </is>
      </c>
    </row>
    <row r="16" ht="40" customHeight="1">
      <c r="A16" s="19" t="inlineStr">
        <is>
          <t>SCTQ</t>
        </is>
      </c>
      <c r="B16" s="20" t="inlineStr">
        <is>
          <t>Spectra Systems Corporation</t>
        </is>
      </c>
      <c r="C16" s="47" t="inlineStr">
        <is>
          <t>Nano Cap</t>
        </is>
      </c>
      <c r="D16" s="23" t="inlineStr">
        <is>
          <t>Medium-High</t>
        </is>
      </c>
      <c r="E16" s="20" t="inlineStr">
        <is>
          <t>High-Growth Quality</t>
        </is>
      </c>
      <c r="F16" s="35" t="n">
        <v>80.2</v>
      </c>
      <c r="G16" s="48" t="inlineStr">
        <is>
          <t>Strengths: strong revenue growth, high-margin business, high insider alignment. Risks: none significant.</t>
        </is>
      </c>
      <c r="H16" s="65" t="inlineStr">
        <is>
          <t>✓ strong revenue growth
✓ high-margin business
✓ high insider alignment</t>
        </is>
      </c>
      <c r="I16" s="66" t="inlineStr">
        <is>
          <t>—</t>
        </is>
      </c>
    </row>
    <row r="17" ht="40" customHeight="1">
      <c r="A17" s="24" t="inlineStr">
        <is>
          <t>ESI</t>
        </is>
      </c>
      <c r="B17" s="25" t="inlineStr">
        <is>
          <t>Element Solutions Inc</t>
        </is>
      </c>
      <c r="C17" s="50" t="inlineStr">
        <is>
          <t>Breakout</t>
        </is>
      </c>
      <c r="D17" s="23" t="inlineStr">
        <is>
          <t>Medium-High</t>
        </is>
      </c>
      <c r="E17" s="25" t="inlineStr">
        <is>
          <t>Fingerprint Match</t>
        </is>
      </c>
      <c r="F17" s="42" t="n">
        <v>79.8</v>
      </c>
      <c r="G17" s="51" t="inlineStr">
        <is>
          <t>Strengths: strong revenue growth, healthy margins, minimal dilution, strong fingerprint match. Risks: none significant.</t>
        </is>
      </c>
      <c r="H17" s="65" t="inlineStr">
        <is>
          <t>✓ strong revenue growth
✓ healthy margins
✓ minimal dilution
✓ strong fingerprint match</t>
        </is>
      </c>
      <c r="I17" s="66" t="inlineStr">
        <is>
          <t>—</t>
        </is>
      </c>
    </row>
    <row r="18" ht="40" customHeight="1">
      <c r="A18" s="19" t="inlineStr">
        <is>
          <t>CDRE</t>
        </is>
      </c>
      <c r="B18" s="20" t="inlineStr">
        <is>
          <t>Cadre Holdings, Inc.</t>
        </is>
      </c>
      <c r="C18" s="47" t="inlineStr">
        <is>
          <t>Small Cap</t>
        </is>
      </c>
      <c r="D18" s="23" t="inlineStr">
        <is>
          <t>Medium-High</t>
        </is>
      </c>
      <c r="E18" s="20" t="inlineStr">
        <is>
          <t>Emerging Watch</t>
        </is>
      </c>
      <c r="F18" s="35" t="n">
        <v>79.5</v>
      </c>
      <c r="G18" s="48" t="inlineStr">
        <is>
          <t>Strengths: healthy margins, high insider alignment, strong fingerprint match. Risks: negative momentum.</t>
        </is>
      </c>
      <c r="H18" s="65" t="inlineStr">
        <is>
          <t>✓ healthy margins
✓ high insider alignment
✓ strong fingerprint match</t>
        </is>
      </c>
      <c r="I18" s="66" t="inlineStr">
        <is>
          <t>⚠ negative momentum</t>
        </is>
      </c>
    </row>
    <row r="19" ht="40" customHeight="1">
      <c r="A19" s="24" t="inlineStr">
        <is>
          <t>ADTN</t>
        </is>
      </c>
      <c r="B19" s="25" t="inlineStr">
        <is>
          <t>ADTRAN Holdings, Inc.</t>
        </is>
      </c>
      <c r="C19" s="50" t="inlineStr">
        <is>
          <t>Small Cap</t>
        </is>
      </c>
      <c r="D19" s="23" t="inlineStr">
        <is>
          <t>Medium-High</t>
        </is>
      </c>
      <c r="E19" s="25" t="inlineStr">
        <is>
          <t>Momentum Breakout</t>
        </is>
      </c>
      <c r="F19" s="42" t="n">
        <v>78.90000000000001</v>
      </c>
      <c r="G19" s="51" t="inlineStr">
        <is>
          <t>Strengths: healthy margins, minimal dilution, strong fingerprint match, positive momentum. Risks: none significant.</t>
        </is>
      </c>
      <c r="H19" s="65" t="inlineStr">
        <is>
          <t>✓ healthy margins
✓ minimal dilution
✓ strong fingerprint match
✓ positive momentum</t>
        </is>
      </c>
      <c r="I19" s="66" t="inlineStr">
        <is>
          <t>—</t>
        </is>
      </c>
    </row>
    <row r="20" ht="40" customHeight="1">
      <c r="A20" s="19" t="inlineStr">
        <is>
          <t>ESP</t>
        </is>
      </c>
      <c r="B20" s="20" t="inlineStr">
        <is>
          <t>Espey Mfg. &amp; Electronics Corp.</t>
        </is>
      </c>
      <c r="C20" s="47" t="inlineStr">
        <is>
          <t>Nano Cap</t>
        </is>
      </c>
      <c r="D20" s="23" t="inlineStr">
        <is>
          <t>Medium-High</t>
        </is>
      </c>
      <c r="E20" s="20" t="inlineStr">
        <is>
          <t>Emerging Watch</t>
        </is>
      </c>
      <c r="F20" s="35" t="n">
        <v>78.5</v>
      </c>
      <c r="G20" s="48" t="inlineStr">
        <is>
          <t>Strengths: healthy margins, high insider alignment, strong fingerprint match. Risks: modest growth.</t>
        </is>
      </c>
      <c r="H20" s="65" t="inlineStr">
        <is>
          <t>✓ healthy margins
✓ high insider alignment
✓ strong fingerprint match</t>
        </is>
      </c>
      <c r="I20" s="66" t="inlineStr">
        <is>
          <t>⚠ modest growth</t>
        </is>
      </c>
    </row>
    <row r="21" ht="40" customHeight="1">
      <c r="A21" s="24" t="inlineStr">
        <is>
          <t>RUN</t>
        </is>
      </c>
      <c r="B21" s="25" t="inlineStr">
        <is>
          <t>Sunrun Inc.</t>
        </is>
      </c>
      <c r="C21" s="50" t="inlineStr">
        <is>
          <t>Breakout</t>
        </is>
      </c>
      <c r="D21" s="23" t="inlineStr">
        <is>
          <t>Medium-High</t>
        </is>
      </c>
      <c r="E21" s="25" t="inlineStr">
        <is>
          <t>Growth Inflection</t>
        </is>
      </c>
      <c r="F21" s="42" t="n">
        <v>77.59999999999999</v>
      </c>
      <c r="G21" s="51" t="inlineStr">
        <is>
          <t>Strengths: strong revenue growth. Risks: low insider ownership.</t>
        </is>
      </c>
      <c r="H21" s="65" t="inlineStr">
        <is>
          <t>✓ strong revenue growth</t>
        </is>
      </c>
      <c r="I21" s="66" t="inlineStr">
        <is>
          <t>⚠ low insider ownership</t>
        </is>
      </c>
    </row>
    <row r="22" ht="40" customHeight="1">
      <c r="A22" s="19" t="inlineStr">
        <is>
          <t>LYFT</t>
        </is>
      </c>
      <c r="B22" s="20" t="inlineStr">
        <is>
          <t>Lyft, Inc.</t>
        </is>
      </c>
      <c r="C22" s="47" t="inlineStr">
        <is>
          <t>Breakout</t>
        </is>
      </c>
      <c r="D22" s="23" t="inlineStr">
        <is>
          <t>Medium-High</t>
        </is>
      </c>
      <c r="E22" s="20" t="inlineStr">
        <is>
          <t>Emerging Watch</t>
        </is>
      </c>
      <c r="F22" s="35" t="n">
        <v>77.40000000000001</v>
      </c>
      <c r="G22" s="48" t="inlineStr">
        <is>
          <t>Strengths: healthy margins, minimal dilution, strong fingerprint match. Risks: modest growth.</t>
        </is>
      </c>
      <c r="H22" s="65" t="inlineStr">
        <is>
          <t>✓ healthy margins
✓ minimal dilution
✓ strong fingerprint match</t>
        </is>
      </c>
      <c r="I22" s="66" t="inlineStr">
        <is>
          <t>⚠ modest growth</t>
        </is>
      </c>
    </row>
    <row r="23" ht="40" customHeight="1">
      <c r="A23" s="24" t="inlineStr">
        <is>
          <t>WYFI</t>
        </is>
      </c>
      <c r="B23" s="25" t="inlineStr">
        <is>
          <t>WhiteFiber, Inc. Ordinary Shares</t>
        </is>
      </c>
      <c r="C23" s="50" t="inlineStr">
        <is>
          <t>Small Cap</t>
        </is>
      </c>
      <c r="D23" s="23" t="inlineStr">
        <is>
          <t>Medium-High</t>
        </is>
      </c>
      <c r="E23" s="25" t="inlineStr">
        <is>
          <t>Insider Conviction</t>
        </is>
      </c>
      <c r="F23" s="42" t="n">
        <v>76.7</v>
      </c>
      <c r="G23" s="51" t="inlineStr">
        <is>
          <t>Strengths: solid revenue growth, high-margin business, high insider alignment, minimal dilution, positive momentum. Risks: none significant.</t>
        </is>
      </c>
      <c r="H23" s="65" t="inlineStr">
        <is>
          <t>✓ solid revenue growth
✓ high-margin business
✓ high insider alignment
✓ minimal dilution
✓ positive momentum</t>
        </is>
      </c>
      <c r="I23" s="66" t="inlineStr">
        <is>
          <t>—</t>
        </is>
      </c>
    </row>
    <row r="24" ht="40" customHeight="1">
      <c r="A24" s="19" t="inlineStr">
        <is>
          <t>BZAI</t>
        </is>
      </c>
      <c r="B24" s="20" t="inlineStr">
        <is>
          <t>Blaize Holdings, Inc.</t>
        </is>
      </c>
      <c r="C24" s="47" t="inlineStr">
        <is>
          <t>Nano Cap</t>
        </is>
      </c>
      <c r="D24" s="23" t="inlineStr">
        <is>
          <t>Medium-High</t>
        </is>
      </c>
      <c r="E24" s="20" t="inlineStr">
        <is>
          <t>High-Growth Quality</t>
        </is>
      </c>
      <c r="F24" s="35" t="n">
        <v>76.40000000000001</v>
      </c>
      <c r="G24" s="48" t="inlineStr">
        <is>
          <t>Strengths: strong revenue growth, high-margin business, high insider alignment, minimal dilution, positive momentum. Risks: none significant.</t>
        </is>
      </c>
      <c r="H24" s="65" t="inlineStr">
        <is>
          <t>✓ strong revenue growth
✓ high-margin business
✓ high insider alignment
✓ minimal dilution
✓ positive momentum</t>
        </is>
      </c>
      <c r="I24" s="66" t="inlineStr">
        <is>
          <t>—</t>
        </is>
      </c>
    </row>
    <row r="25" ht="40" customHeight="1">
      <c r="A25" s="24" t="inlineStr">
        <is>
          <t>FELE</t>
        </is>
      </c>
      <c r="B25" s="25" t="inlineStr">
        <is>
          <t>Franklin Electric Co., Inc.</t>
        </is>
      </c>
      <c r="C25" s="50" t="inlineStr">
        <is>
          <t>Breakout</t>
        </is>
      </c>
      <c r="D25" s="23" t="inlineStr">
        <is>
          <t>Medium-High</t>
        </is>
      </c>
      <c r="E25" s="25" t="inlineStr">
        <is>
          <t>Emerging Watch</t>
        </is>
      </c>
      <c r="F25" s="42" t="n">
        <v>75.8</v>
      </c>
      <c r="G25" s="51" t="inlineStr">
        <is>
          <t>Strengths: healthy margins, minimal dilution. Risks: modest growth.</t>
        </is>
      </c>
      <c r="H25" s="65" t="inlineStr">
        <is>
          <t>✓ healthy margins
✓ minimal dilution</t>
        </is>
      </c>
      <c r="I25" s="66" t="inlineStr">
        <is>
          <t>⚠ modest growth</t>
        </is>
      </c>
    </row>
    <row r="26" ht="40" customHeight="1">
      <c r="A26" s="19" t="inlineStr">
        <is>
          <t>TAYD</t>
        </is>
      </c>
      <c r="B26" s="20" t="inlineStr">
        <is>
          <t>Taylor Devices, Inc.</t>
        </is>
      </c>
      <c r="C26" s="47" t="inlineStr">
        <is>
          <t>Nano Cap</t>
        </is>
      </c>
      <c r="D26" s="23" t="inlineStr">
        <is>
          <t>Medium-High</t>
        </is>
      </c>
      <c r="E26" s="20" t="inlineStr">
        <is>
          <t>Emerging Watch</t>
        </is>
      </c>
      <c r="F26" s="35" t="n">
        <v>75.59999999999999</v>
      </c>
      <c r="G26" s="48" t="inlineStr">
        <is>
          <t>Strengths: healthy margins, minimal dilution, strong fingerprint match. Risks: low insider ownership, negative momentum, modest growth.</t>
        </is>
      </c>
      <c r="H26" s="65" t="inlineStr">
        <is>
          <t>✓ healthy margins
✓ minimal dilution
✓ strong fingerprint match</t>
        </is>
      </c>
      <c r="I26" s="66" t="inlineStr">
        <is>
          <t>⚠ low insider ownership
⚠ negative momentum
⚠ modest growth</t>
        </is>
      </c>
    </row>
    <row r="27" ht="40" customHeight="1">
      <c r="A27" s="24" t="inlineStr">
        <is>
          <t>ALGM</t>
        </is>
      </c>
      <c r="B27" s="25" t="inlineStr">
        <is>
          <t>Allegro MicroSystems, Inc.</t>
        </is>
      </c>
      <c r="C27" s="50" t="inlineStr">
        <is>
          <t>Breakout</t>
        </is>
      </c>
      <c r="D27" s="23" t="inlineStr">
        <is>
          <t>Medium-High</t>
        </is>
      </c>
      <c r="E27" s="25" t="inlineStr">
        <is>
          <t>Insider Conviction</t>
        </is>
      </c>
      <c r="F27" s="42" t="n">
        <v>75</v>
      </c>
      <c r="G27" s="51" t="inlineStr">
        <is>
          <t>Strengths: solid revenue growth, healthy margins, high insider alignment, minimal dilution, positive momentum. Risks: none significant.</t>
        </is>
      </c>
      <c r="H27" s="65" t="inlineStr">
        <is>
          <t>✓ solid revenue growth
✓ healthy margins
✓ high insider alignment
✓ minimal dilution
✓ positive momentum</t>
        </is>
      </c>
      <c r="I27" s="66" t="inlineStr">
        <is>
          <t>—</t>
        </is>
      </c>
    </row>
    <row r="28" ht="40" customHeight="1">
      <c r="A28" s="19" t="inlineStr">
        <is>
          <t>SWBI</t>
        </is>
      </c>
      <c r="B28" s="20" t="inlineStr">
        <is>
          <t>Smith &amp; Wesson Brands, Inc.</t>
        </is>
      </c>
      <c r="C28" s="47" t="inlineStr">
        <is>
          <t>Small Cap</t>
        </is>
      </c>
      <c r="D28" s="46" t="inlineStr">
        <is>
          <t>Medium</t>
        </is>
      </c>
      <c r="E28" s="20" t="inlineStr">
        <is>
          <t>Emerging Watch</t>
        </is>
      </c>
      <c r="F28" s="35" t="n">
        <v>74.5</v>
      </c>
      <c r="G28" s="48" t="inlineStr">
        <is>
          <t>Strengths: minimal dilution, strong fingerprint match. Risks: thin margins, low insider ownership.</t>
        </is>
      </c>
      <c r="H28" s="65" t="inlineStr">
        <is>
          <t>✓ minimal dilution
✓ strong fingerprint match</t>
        </is>
      </c>
      <c r="I28" s="66" t="inlineStr">
        <is>
          <t>⚠ thin margins
⚠ low insider ownership</t>
        </is>
      </c>
    </row>
    <row r="29" ht="40" customHeight="1">
      <c r="A29" s="24" t="inlineStr">
        <is>
          <t>ROCK</t>
        </is>
      </c>
      <c r="B29" s="25" t="inlineStr">
        <is>
          <t>Gibraltar Industries, Inc.</t>
        </is>
      </c>
      <c r="C29" s="50" t="inlineStr">
        <is>
          <t>Small Cap</t>
        </is>
      </c>
      <c r="D29" s="46" t="inlineStr">
        <is>
          <t>Medium</t>
        </is>
      </c>
      <c r="E29" s="25" t="inlineStr">
        <is>
          <t>Fingerprint Match</t>
        </is>
      </c>
      <c r="F29" s="42" t="n">
        <v>74.3</v>
      </c>
      <c r="G29" s="51" t="inlineStr">
        <is>
          <t>Strengths: solid revenue growth, minimal dilution, strong fingerprint match. Risks: thin margins, low insider ownership.</t>
        </is>
      </c>
      <c r="H29" s="65" t="inlineStr">
        <is>
          <t>✓ solid revenue growth
✓ minimal dilution
✓ strong fingerprint match</t>
        </is>
      </c>
      <c r="I29" s="66" t="inlineStr">
        <is>
          <t>⚠ thin margins
⚠ low insider ownership</t>
        </is>
      </c>
    </row>
    <row r="30" ht="40" customHeight="1">
      <c r="A30" s="19" t="inlineStr">
        <is>
          <t>BUKS</t>
        </is>
      </c>
      <c r="B30" s="20" t="inlineStr">
        <is>
          <t>Butler National Corporation</t>
        </is>
      </c>
      <c r="C30" s="47" t="inlineStr">
        <is>
          <t>Small Cap</t>
        </is>
      </c>
      <c r="D30" s="46" t="inlineStr">
        <is>
          <t>Medium</t>
        </is>
      </c>
      <c r="E30" s="20" t="inlineStr">
        <is>
          <t>Fingerprint Match</t>
        </is>
      </c>
      <c r="F30" s="35" t="n">
        <v>74.2</v>
      </c>
      <c r="G30" s="48" t="inlineStr">
        <is>
          <t>Strengths: solid revenue growth, high-margin business, high insider alignment, minimal dilution, strong fingerprint match. Risks: none significant.</t>
        </is>
      </c>
      <c r="H30" s="65" t="inlineStr">
        <is>
          <t>✓ solid revenue growth
✓ high-margin business
✓ high insider alignment
✓ minimal dilution
✓ strong fingerprint match</t>
        </is>
      </c>
      <c r="I30" s="66" t="inlineStr">
        <is>
          <t>—</t>
        </is>
      </c>
    </row>
    <row r="31" ht="40" customHeight="1">
      <c r="A31" s="24" t="inlineStr">
        <is>
          <t>BYRN</t>
        </is>
      </c>
      <c r="B31" s="25" t="inlineStr">
        <is>
          <t>Byrna Technologies Inc.</t>
        </is>
      </c>
      <c r="C31" s="50" t="inlineStr">
        <is>
          <t>Nano Cap</t>
        </is>
      </c>
      <c r="D31" s="46" t="inlineStr">
        <is>
          <t>Medium</t>
        </is>
      </c>
      <c r="E31" s="25" t="inlineStr">
        <is>
          <t>Insider Conviction</t>
        </is>
      </c>
      <c r="F31" s="42" t="n">
        <v>73.90000000000001</v>
      </c>
      <c r="G31" s="51" t="inlineStr">
        <is>
          <t>Strengths: high-margin business, high insider alignment, minimal dilution, strong fingerprint match. Risks: negative momentum, modest growth.</t>
        </is>
      </c>
      <c r="H31" s="65" t="inlineStr">
        <is>
          <t>✓ high-margin business
✓ high insider alignment
✓ minimal dilution
✓ strong fingerprint match</t>
        </is>
      </c>
      <c r="I31" s="66" t="inlineStr">
        <is>
          <t>⚠ negative momentum
⚠ modest growth</t>
        </is>
      </c>
    </row>
    <row r="32" ht="40" customHeight="1">
      <c r="A32" s="19" t="inlineStr">
        <is>
          <t>IPGP</t>
        </is>
      </c>
      <c r="B32" s="20" t="inlineStr">
        <is>
          <t>IPG Photonics Corporation</t>
        </is>
      </c>
      <c r="C32" s="47" t="inlineStr">
        <is>
          <t>Breakout</t>
        </is>
      </c>
      <c r="D32" s="46" t="inlineStr">
        <is>
          <t>Medium</t>
        </is>
      </c>
      <c r="E32" s="20" t="inlineStr">
        <is>
          <t>Insider Conviction</t>
        </is>
      </c>
      <c r="F32" s="35" t="n">
        <v>72.90000000000001</v>
      </c>
      <c r="G32" s="48" t="inlineStr">
        <is>
          <t>Strengths: healthy margins, high insider alignment, minimal dilution. Risks: none significant.</t>
        </is>
      </c>
      <c r="H32" s="65" t="inlineStr">
        <is>
          <t>✓ healthy margins
✓ high insider alignment
✓ minimal dilution</t>
        </is>
      </c>
      <c r="I32" s="66" t="inlineStr">
        <is>
          <t>—</t>
        </is>
      </c>
    </row>
    <row r="33" ht="40" customHeight="1">
      <c r="A33" s="24" t="inlineStr">
        <is>
          <t>ESAB</t>
        </is>
      </c>
      <c r="B33" s="25" t="inlineStr">
        <is>
          <t>ESAB Corporation</t>
        </is>
      </c>
      <c r="C33" s="50" t="inlineStr">
        <is>
          <t>Breakout</t>
        </is>
      </c>
      <c r="D33" s="46" t="inlineStr">
        <is>
          <t>Medium</t>
        </is>
      </c>
      <c r="E33" s="25" t="inlineStr">
        <is>
          <t>Emerging Watch</t>
        </is>
      </c>
      <c r="F33" s="42" t="n">
        <v>72</v>
      </c>
      <c r="G33" s="51" t="inlineStr">
        <is>
          <t>Strengths: healthy margins, minimal dilution. Risks: modest growth.</t>
        </is>
      </c>
      <c r="H33" s="65" t="inlineStr">
        <is>
          <t>✓ healthy margins
✓ minimal dilution</t>
        </is>
      </c>
      <c r="I33" s="66" t="inlineStr">
        <is>
          <t>⚠ modest growth</t>
        </is>
      </c>
    </row>
    <row r="34" ht="40" customHeight="1">
      <c r="A34" s="19" t="inlineStr">
        <is>
          <t>PINS</t>
        </is>
      </c>
      <c r="B34" s="20" t="inlineStr">
        <is>
          <t>Pinterest, Inc.</t>
        </is>
      </c>
      <c r="C34" s="47" t="inlineStr">
        <is>
          <t>Breakout</t>
        </is>
      </c>
      <c r="D34" s="46" t="inlineStr">
        <is>
          <t>Medium</t>
        </is>
      </c>
      <c r="E34" s="20" t="inlineStr">
        <is>
          <t>Insider Conviction</t>
        </is>
      </c>
      <c r="F34" s="35" t="n">
        <v>71.90000000000001</v>
      </c>
      <c r="G34" s="48" t="inlineStr">
        <is>
          <t>Strengths: high-margin business, high insider alignment, minimal dilution. Risks: none significant.</t>
        </is>
      </c>
      <c r="H34" s="65" t="inlineStr">
        <is>
          <t>✓ high-margin business
✓ high insider alignment
✓ minimal dilution</t>
        </is>
      </c>
      <c r="I34" s="66" t="inlineStr">
        <is>
          <t>—</t>
        </is>
      </c>
    </row>
    <row r="35" ht="40" customHeight="1">
      <c r="A35" s="24" t="inlineStr">
        <is>
          <t>RVTY</t>
        </is>
      </c>
      <c r="B35" s="25" t="inlineStr">
        <is>
          <t>Revvity, Inc.</t>
        </is>
      </c>
      <c r="C35" s="50" t="inlineStr">
        <is>
          <t>Breakout</t>
        </is>
      </c>
      <c r="D35" s="46" t="inlineStr">
        <is>
          <t>Medium</t>
        </is>
      </c>
      <c r="E35" s="25" t="inlineStr">
        <is>
          <t>Emerging Watch</t>
        </is>
      </c>
      <c r="F35" s="42" t="n">
        <v>71.09999999999999</v>
      </c>
      <c r="G35" s="51" t="inlineStr">
        <is>
          <t>Strengths: high-margin business, minimal dilution. Risks: modest growth.</t>
        </is>
      </c>
      <c r="H35" s="65" t="inlineStr">
        <is>
          <t>✓ high-margin business
✓ minimal dilution</t>
        </is>
      </c>
      <c r="I35" s="66" t="inlineStr">
        <is>
          <t>⚠ modest growth</t>
        </is>
      </c>
    </row>
    <row r="38" ht="22" customHeight="1">
      <c r="A38" s="16" t="inlineStr">
        <is>
          <t>CONVICTION DISTRIBUTION BY TIER</t>
        </is>
      </c>
      <c r="B38" s="17" t="n"/>
      <c r="C38" s="17" t="n"/>
      <c r="D38" s="17" t="n"/>
      <c r="E38" s="17" t="n"/>
      <c r="F38" s="17" t="n"/>
      <c r="G38" s="17" t="n"/>
      <c r="H38" s="17" t="n"/>
      <c r="I38" s="17" t="n"/>
    </row>
    <row r="39">
      <c r="A39" t="inlineStr">
        <is>
          <t>Tier</t>
        </is>
      </c>
      <c r="B39" t="inlineStr">
        <is>
          <t>High</t>
        </is>
      </c>
      <c r="C39" t="inlineStr">
        <is>
          <t>Medium-High</t>
        </is>
      </c>
      <c r="D39" t="inlineStr">
        <is>
          <t>Medium</t>
        </is>
      </c>
      <c r="E39" t="inlineStr">
        <is>
          <t>Speculative</t>
        </is>
      </c>
    </row>
    <row r="40">
      <c r="A40" t="inlineStr">
        <is>
          <t>Nano Cap</t>
        </is>
      </c>
      <c r="B40" t="n">
        <v>1</v>
      </c>
      <c r="C40" t="n">
        <v>8</v>
      </c>
      <c r="D40" t="n">
        <v>1</v>
      </c>
      <c r="E40" t="n">
        <v>0</v>
      </c>
    </row>
    <row r="41">
      <c r="A41" t="inlineStr">
        <is>
          <t>Small Cap</t>
        </is>
      </c>
      <c r="B41" t="n">
        <v>0</v>
      </c>
      <c r="C41" t="n">
        <v>7</v>
      </c>
      <c r="D41" t="n">
        <v>3</v>
      </c>
      <c r="E41" t="n">
        <v>0</v>
      </c>
    </row>
    <row r="42">
      <c r="A42" t="inlineStr">
        <is>
          <t>Breakout</t>
        </is>
      </c>
      <c r="B42" t="n">
        <v>0</v>
      </c>
      <c r="C42" t="n">
        <v>6</v>
      </c>
      <c r="D42" t="n">
        <v>4</v>
      </c>
      <c r="E42" t="n">
        <v>0</v>
      </c>
    </row>
  </sheetData>
  <mergeCells count="3">
    <mergeCell ref="A1:I1"/>
    <mergeCell ref="A38:I38"/>
    <mergeCell ref="A2:I2"/>
  </mergeCells>
  <dataValidations count="3">
    <dataValidation sqref="B4" showDropDown="0" showInputMessage="0" showErrorMessage="0" allowBlank="1" errorTitle="Invalid Selection" error="Please select a valid conviction level" type="list">
      <formula1>"All,High,Medium-High,Medium,Speculative"</formula1>
    </dataValidation>
    <dataValidation sqref="C4" showDropDown="0" showInputMessage="0" showErrorMessage="0" allowBlank="1" type="list">
      <formula1>"All,Nano,Small,Breakout"</formula1>
    </dataValidation>
    <dataValidation sqref="D4" showDropDown="0" showInputMessage="0" showErrorMessage="0" allowBlank="1" type="list">
      <formula1>"All,High-Growth Quality,Fingerprint Match,Insider Conviction,Momentum Breakout,Growth Inflection,Emerging Watch"</formula1>
    </dataValidation>
  </dataValidations>
  <pageMargins left="0.75" right="0.75" top="1" bottom="1" header="0.5" footer="0.5"/>
  <pageSetup orientation="landscape" fitToWidth="1"/>
  <drawing xmlns:r="http://schemas.openxmlformats.org/officeDocument/2006/relationships" r:id="rId1"/>
</worksheet>
</file>

<file path=xl/worksheets/sheet9.xml><?xml version="1.0" encoding="utf-8"?>
<worksheet xmlns="http://schemas.openxmlformats.org/spreadsheetml/2006/main">
  <sheetPr>
    <tabColor rgb="001A6B3C"/>
    <outlinePr summaryBelow="1" summaryRight="1"/>
    <pageSetUpPr fitToPage="1"/>
  </sheetPr>
  <dimension ref="A1:N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4" customWidth="1" min="10" max="10"/>
    <col width="3" customWidth="1" min="11" max="11"/>
    <col width="14" customWidth="1" min="12" max="12"/>
    <col width="14" customWidth="1" min="13" max="13"/>
    <col width="14" customWidth="1" min="14" max="14"/>
  </cols>
  <sheetData>
    <row r="1" ht="28" customHeight="1">
      <c r="A1" s="30" t="inlineStr">
        <is>
          <t>MODEL PORTFOLIO CONSTRUCTION &amp; RISK METRICS</t>
        </is>
      </c>
      <c r="B1" s="11" t="n"/>
      <c r="C1" s="11" t="n"/>
      <c r="D1" s="11" t="n"/>
      <c r="E1" s="11" t="n"/>
      <c r="F1" s="11" t="n"/>
      <c r="G1" s="11" t="n"/>
      <c r="H1" s="11" t="n"/>
      <c r="I1" s="11" t="n"/>
      <c r="J1" s="11" t="n"/>
      <c r="K1" s="11" t="n"/>
      <c r="L1" s="11" t="n"/>
      <c r="M1" s="11" t="n"/>
      <c r="N1" s="11" t="n"/>
    </row>
    <row r="2" ht="22" customHeight="1">
      <c r="A2" s="31" t="inlineStr">
        <is>
          <t>Position sizing, risk categorization, and portfolio analytics  |  June 06, 2026</t>
        </is>
      </c>
      <c r="B2" s="12" t="n"/>
      <c r="C2" s="12" t="n"/>
      <c r="D2" s="12" t="n"/>
      <c r="E2" s="12" t="n"/>
      <c r="F2" s="12" t="n"/>
      <c r="G2" s="12" t="n"/>
      <c r="H2" s="12" t="n"/>
      <c r="I2" s="12" t="n"/>
      <c r="J2" s="12" t="n"/>
      <c r="K2" s="12" t="n"/>
      <c r="L2" s="12" t="n"/>
      <c r="M2" s="12" t="n"/>
      <c r="N2" s="12" t="n"/>
    </row>
    <row r="4" ht="22" customHeight="1">
      <c r="B4" s="16" t="inlineStr">
        <is>
          <t>PORTFOLIO PARAMETERS</t>
        </is>
      </c>
      <c r="C4" s="17" t="n"/>
      <c r="D4" s="17" t="n"/>
      <c r="E4" s="17" t="n"/>
      <c r="F4" s="17" t="n"/>
      <c r="G4" s="17" t="n"/>
      <c r="H4" s="17" t="n"/>
      <c r="I4" s="17" t="n"/>
      <c r="J4" s="17" t="n"/>
    </row>
    <row r="5" ht="18" customHeight="1">
      <c r="B5" s="67" t="inlineStr">
        <is>
          <t>Portfolio Size ($)</t>
        </is>
      </c>
      <c r="C5" s="68" t="n">
        <v>100000</v>
      </c>
      <c r="D5" s="69" t="inlineStr">
        <is>
          <t>← Input</t>
        </is>
      </c>
    </row>
    <row r="6" ht="18" customHeight="1">
      <c r="B6" s="67" t="inlineStr">
        <is>
          <t>Max Single Position %</t>
        </is>
      </c>
      <c r="C6" s="70" t="n">
        <v>0.08</v>
      </c>
      <c r="D6" s="69" t="inlineStr">
        <is>
          <t>← Input</t>
        </is>
      </c>
    </row>
    <row r="7" ht="18" customHeight="1">
      <c r="B7" s="67" t="inlineStr">
        <is>
          <t>Nano Cap Risk Multiplier</t>
        </is>
      </c>
      <c r="C7" s="71" t="n">
        <v>0.6</v>
      </c>
      <c r="D7" s="69" t="inlineStr">
        <is>
          <t>← Input</t>
        </is>
      </c>
    </row>
    <row r="8" ht="18" customHeight="1">
      <c r="B8" s="67" t="inlineStr">
        <is>
          <t>Breakout Cap Multiplier</t>
        </is>
      </c>
      <c r="C8" s="71" t="n">
        <v>1.2</v>
      </c>
      <c r="D8" s="69" t="inlineStr">
        <is>
          <t>← Input</t>
        </is>
      </c>
    </row>
    <row r="9" ht="18" customHeight="1">
      <c r="B9" s="67" t="inlineStr">
        <is>
          <t>Cash Reserve Target %</t>
        </is>
      </c>
      <c r="C9" s="70" t="n">
        <v>0.1</v>
      </c>
      <c r="D9" s="69" t="inlineStr">
        <is>
          <t>← Input</t>
        </is>
      </c>
    </row>
    <row r="10" ht="8" customHeight="1"/>
    <row r="11" ht="22" customHeight="1">
      <c r="B11" s="16" t="inlineStr">
        <is>
          <t>POSITION SIZING</t>
        </is>
      </c>
      <c r="C11" s="17" t="n"/>
      <c r="D11" s="17" t="n"/>
      <c r="E11" s="17" t="n"/>
      <c r="F11" s="17" t="n"/>
      <c r="G11" s="17" t="n"/>
      <c r="H11" s="17" t="n"/>
      <c r="I11" s="17" t="n"/>
      <c r="J11" s="17" t="n"/>
    </row>
    <row r="12" ht="18" customHeight="1">
      <c r="B12" s="18" t="inlineStr">
        <is>
          <t>Ticker</t>
        </is>
      </c>
      <c r="C12" s="18" t="inlineStr">
        <is>
          <t>Name</t>
        </is>
      </c>
      <c r="D12" s="18" t="inlineStr">
        <is>
          <t>Tier</t>
        </is>
      </c>
      <c r="E12" s="18" t="inlineStr">
        <is>
          <t>Conviction</t>
        </is>
      </c>
      <c r="F12" s="18" t="inlineStr">
        <is>
          <t>Base Wt %</t>
        </is>
      </c>
      <c r="G12" s="18" t="inlineStr">
        <is>
          <t>Risk-Adj Wt %</t>
        </is>
      </c>
      <c r="H12" s="18" t="inlineStr">
        <is>
          <t>Dollar Amt</t>
        </is>
      </c>
      <c r="I12" s="18" t="inlineStr">
        <is>
          <t>Share Ct</t>
        </is>
      </c>
      <c r="J12" s="18" t="inlineStr">
        <is>
          <t>Notes</t>
        </is>
      </c>
    </row>
    <row r="13" ht="16" customHeight="1">
      <c r="B13" s="19" t="inlineStr">
        <is>
          <t>KULR</t>
        </is>
      </c>
      <c r="C13" s="20" t="inlineStr">
        <is>
          <t>KULR Technology Group, Inc.</t>
        </is>
      </c>
      <c r="D13" s="47" t="inlineStr">
        <is>
          <t>Nano Cap</t>
        </is>
      </c>
      <c r="E13" s="23" t="inlineStr">
        <is>
          <t>Medium-High</t>
        </is>
      </c>
      <c r="F13" s="34" t="n">
        <v>0.05</v>
      </c>
      <c r="G13" s="72" t="n">
        <v>0.03</v>
      </c>
      <c r="H13" s="73" t="n">
        <v>3000</v>
      </c>
      <c r="I13" s="74" t="n">
        <v>787</v>
      </c>
      <c r="J13" s="75" t="inlineStr">
        <is>
          <t>Medium-High risk</t>
        </is>
      </c>
    </row>
    <row r="14" ht="16" customHeight="1">
      <c r="B14" s="24" t="inlineStr">
        <is>
          <t>KVHI</t>
        </is>
      </c>
      <c r="C14" s="25" t="inlineStr">
        <is>
          <t>KVH Industries, Inc.</t>
        </is>
      </c>
      <c r="D14" s="50" t="inlineStr">
        <is>
          <t>Nano Cap</t>
        </is>
      </c>
      <c r="E14" s="27" t="inlineStr">
        <is>
          <t>High</t>
        </is>
      </c>
      <c r="F14" s="41" t="n">
        <v>0.08</v>
      </c>
      <c r="G14" s="76" t="n">
        <v>0.048</v>
      </c>
      <c r="H14" s="77" t="n">
        <v>4800</v>
      </c>
      <c r="I14" s="78" t="n">
        <v>638</v>
      </c>
      <c r="J14" s="79" t="inlineStr">
        <is>
          <t>Medium-High risk</t>
        </is>
      </c>
    </row>
    <row r="15" ht="16" customHeight="1">
      <c r="B15" s="19" t="inlineStr">
        <is>
          <t>KRMN</t>
        </is>
      </c>
      <c r="C15" s="20" t="inlineStr">
        <is>
          <t>Karman Holdings Inc.</t>
        </is>
      </c>
      <c r="D15" s="47" t="inlineStr">
        <is>
          <t>Breakout</t>
        </is>
      </c>
      <c r="E15" s="23" t="inlineStr">
        <is>
          <t>Medium-High</t>
        </is>
      </c>
      <c r="F15" s="34" t="n">
        <v>0.05</v>
      </c>
      <c r="G15" s="72" t="n">
        <v>0.06</v>
      </c>
      <c r="H15" s="73" t="n">
        <v>6000</v>
      </c>
      <c r="I15" s="74" t="n">
        <v>121</v>
      </c>
      <c r="J15" s="75" t="inlineStr">
        <is>
          <t>Medium-Low risk</t>
        </is>
      </c>
    </row>
    <row r="16" ht="16" customHeight="1">
      <c r="B16" s="24" t="inlineStr">
        <is>
          <t>DSP</t>
        </is>
      </c>
      <c r="C16" s="25" t="inlineStr">
        <is>
          <t>Viant Technology Inc.</t>
        </is>
      </c>
      <c r="D16" s="50" t="inlineStr">
        <is>
          <t>Small Cap</t>
        </is>
      </c>
      <c r="E16" s="23" t="inlineStr">
        <is>
          <t>Medium-High</t>
        </is>
      </c>
      <c r="F16" s="41" t="n">
        <v>0.05</v>
      </c>
      <c r="G16" s="76" t="n">
        <v>0.05</v>
      </c>
      <c r="H16" s="77" t="n">
        <v>5000</v>
      </c>
      <c r="I16" s="78" t="n">
        <v>412</v>
      </c>
      <c r="J16" s="79" t="inlineStr"/>
    </row>
    <row r="17" ht="16" customHeight="1">
      <c r="B17" s="19" t="inlineStr">
        <is>
          <t>EVLV</t>
        </is>
      </c>
      <c r="C17" s="20" t="inlineStr">
        <is>
          <t>Evolv Technologies Holdings, Inc.</t>
        </is>
      </c>
      <c r="D17" s="47" t="inlineStr">
        <is>
          <t>Small Cap</t>
        </is>
      </c>
      <c r="E17" s="23" t="inlineStr">
        <is>
          <t>Medium-High</t>
        </is>
      </c>
      <c r="F17" s="34" t="n">
        <v>0.05</v>
      </c>
      <c r="G17" s="72" t="n">
        <v>0.05</v>
      </c>
      <c r="H17" s="73" t="n">
        <v>5000</v>
      </c>
      <c r="I17" s="74" t="n">
        <v>846</v>
      </c>
      <c r="J17" s="75" t="inlineStr">
        <is>
          <t>Medium-High risk</t>
        </is>
      </c>
    </row>
    <row r="18" ht="16" customHeight="1">
      <c r="B18" s="24" t="inlineStr">
        <is>
          <t>PKE</t>
        </is>
      </c>
      <c r="C18" s="25" t="inlineStr">
        <is>
          <t>Park Aerospace Corp.</t>
        </is>
      </c>
      <c r="D18" s="50" t="inlineStr">
        <is>
          <t>Small Cap</t>
        </is>
      </c>
      <c r="E18" s="23" t="inlineStr">
        <is>
          <t>Medium-High</t>
        </is>
      </c>
      <c r="F18" s="41" t="n">
        <v>0.05</v>
      </c>
      <c r="G18" s="76" t="n">
        <v>0.05</v>
      </c>
      <c r="H18" s="77" t="n">
        <v>5000</v>
      </c>
      <c r="I18" s="78" t="n">
        <v>153</v>
      </c>
      <c r="J18" s="79" t="inlineStr">
        <is>
          <t>Medium-High risk</t>
        </is>
      </c>
    </row>
    <row r="19" ht="16" customHeight="1">
      <c r="B19" s="19" t="inlineStr">
        <is>
          <t>INTT</t>
        </is>
      </c>
      <c r="C19" s="20" t="inlineStr">
        <is>
          <t>inTEST Corporation</t>
        </is>
      </c>
      <c r="D19" s="47" t="inlineStr">
        <is>
          <t>Nano Cap</t>
        </is>
      </c>
      <c r="E19" s="23" t="inlineStr">
        <is>
          <t>Medium-High</t>
        </is>
      </c>
      <c r="F19" s="34" t="n">
        <v>0.05</v>
      </c>
      <c r="G19" s="72" t="n">
        <v>0.03</v>
      </c>
      <c r="H19" s="73" t="n">
        <v>3000</v>
      </c>
      <c r="I19" s="74" t="n">
        <v>204</v>
      </c>
      <c r="J19" s="75" t="inlineStr">
        <is>
          <t>Medium-High risk</t>
        </is>
      </c>
    </row>
    <row r="20" ht="16" customHeight="1">
      <c r="B20" s="24" t="inlineStr">
        <is>
          <t>CMCO</t>
        </is>
      </c>
      <c r="C20" s="25" t="inlineStr">
        <is>
          <t>Columbus McKinnon Corporation</t>
        </is>
      </c>
      <c r="D20" s="50" t="inlineStr">
        <is>
          <t>Small Cap</t>
        </is>
      </c>
      <c r="E20" s="23" t="inlineStr">
        <is>
          <t>Medium-High</t>
        </is>
      </c>
      <c r="F20" s="41" t="n">
        <v>0.05</v>
      </c>
      <c r="G20" s="76" t="n">
        <v>0.05</v>
      </c>
      <c r="H20" s="77" t="n">
        <v>5000</v>
      </c>
      <c r="I20" s="78" t="n">
        <v>388</v>
      </c>
      <c r="J20" s="79" t="inlineStr">
        <is>
          <t>Medium-High risk</t>
        </is>
      </c>
    </row>
    <row r="21" ht="16" customHeight="1">
      <c r="B21" s="19" t="inlineStr">
        <is>
          <t>CODA</t>
        </is>
      </c>
      <c r="C21" s="20" t="inlineStr">
        <is>
          <t>Coda Octopus Group, Inc.</t>
        </is>
      </c>
      <c r="D21" s="47" t="inlineStr">
        <is>
          <t>Nano Cap</t>
        </is>
      </c>
      <c r="E21" s="23" t="inlineStr">
        <is>
          <t>Medium-High</t>
        </is>
      </c>
      <c r="F21" s="34" t="n">
        <v>0.05</v>
      </c>
      <c r="G21" s="72" t="n">
        <v>0.03</v>
      </c>
      <c r="H21" s="73" t="n">
        <v>3000</v>
      </c>
      <c r="I21" s="74" t="n">
        <v>254</v>
      </c>
      <c r="J21" s="75" t="inlineStr">
        <is>
          <t>Medium-High risk</t>
        </is>
      </c>
    </row>
    <row r="22" ht="16" customHeight="1">
      <c r="B22" s="24" t="inlineStr">
        <is>
          <t>WSTL</t>
        </is>
      </c>
      <c r="C22" s="25" t="inlineStr">
        <is>
          <t>Westell Technologies, Inc.</t>
        </is>
      </c>
      <c r="D22" s="50" t="inlineStr">
        <is>
          <t>Nano Cap</t>
        </is>
      </c>
      <c r="E22" s="23" t="inlineStr">
        <is>
          <t>Medium-High</t>
        </is>
      </c>
      <c r="F22" s="41" t="n">
        <v>0.05</v>
      </c>
      <c r="G22" s="76" t="n">
        <v>0.03</v>
      </c>
      <c r="H22" s="77" t="n">
        <v>3000</v>
      </c>
      <c r="I22" s="78" t="n">
        <v>402</v>
      </c>
      <c r="J22" s="79" t="inlineStr">
        <is>
          <t>High risk</t>
        </is>
      </c>
    </row>
    <row r="23" ht="16" customHeight="1">
      <c r="B23" s="19" t="inlineStr">
        <is>
          <t>SCTQ</t>
        </is>
      </c>
      <c r="C23" s="20" t="inlineStr">
        <is>
          <t>Spectra Systems Corporation</t>
        </is>
      </c>
      <c r="D23" s="47" t="inlineStr">
        <is>
          <t>Nano Cap</t>
        </is>
      </c>
      <c r="E23" s="23" t="inlineStr">
        <is>
          <t>Medium-High</t>
        </is>
      </c>
      <c r="F23" s="34" t="n">
        <v>0.05</v>
      </c>
      <c r="G23" s="72" t="n">
        <v>0.03</v>
      </c>
      <c r="H23" s="73" t="n">
        <v>3000</v>
      </c>
      <c r="I23" s="74" t="n">
        <v>1408</v>
      </c>
      <c r="J23" s="75" t="inlineStr">
        <is>
          <t>Medium-High risk</t>
        </is>
      </c>
    </row>
    <row r="24" ht="16" customHeight="1">
      <c r="B24" s="24" t="inlineStr">
        <is>
          <t>ESI</t>
        </is>
      </c>
      <c r="C24" s="25" t="inlineStr">
        <is>
          <t>Element Solutions Inc</t>
        </is>
      </c>
      <c r="D24" s="50" t="inlineStr">
        <is>
          <t>Breakout</t>
        </is>
      </c>
      <c r="E24" s="23" t="inlineStr">
        <is>
          <t>Medium-High</t>
        </is>
      </c>
      <c r="F24" s="41" t="n">
        <v>0.05</v>
      </c>
      <c r="G24" s="76" t="n">
        <v>0.06</v>
      </c>
      <c r="H24" s="77" t="n">
        <v>6000</v>
      </c>
      <c r="I24" s="78" t="n">
        <v>150</v>
      </c>
      <c r="J24" s="79" t="inlineStr">
        <is>
          <t>Medium-Low risk</t>
        </is>
      </c>
    </row>
    <row r="25" ht="16" customHeight="1">
      <c r="B25" s="19" t="inlineStr">
        <is>
          <t>CDRE</t>
        </is>
      </c>
      <c r="C25" s="20" t="inlineStr">
        <is>
          <t>Cadre Holdings, Inc.</t>
        </is>
      </c>
      <c r="D25" s="47" t="inlineStr">
        <is>
          <t>Small Cap</t>
        </is>
      </c>
      <c r="E25" s="23" t="inlineStr">
        <is>
          <t>Medium-High</t>
        </is>
      </c>
      <c r="F25" s="34" t="n">
        <v>0.05</v>
      </c>
      <c r="G25" s="72" t="n">
        <v>0.05</v>
      </c>
      <c r="H25" s="73" t="n">
        <v>5000</v>
      </c>
      <c r="I25" s="74" t="n">
        <v>166</v>
      </c>
      <c r="J25" s="75" t="inlineStr">
        <is>
          <t>Medium-High risk</t>
        </is>
      </c>
    </row>
    <row r="26" ht="16" customHeight="1">
      <c r="B26" s="24" t="inlineStr">
        <is>
          <t>ADTN</t>
        </is>
      </c>
      <c r="C26" s="25" t="inlineStr">
        <is>
          <t>ADTRAN Holdings, Inc.</t>
        </is>
      </c>
      <c r="D26" s="50" t="inlineStr">
        <is>
          <t>Small Cap</t>
        </is>
      </c>
      <c r="E26" s="23" t="inlineStr">
        <is>
          <t>Medium-High</t>
        </is>
      </c>
      <c r="F26" s="41" t="n">
        <v>0.05</v>
      </c>
      <c r="G26" s="76" t="n">
        <v>0.05</v>
      </c>
      <c r="H26" s="77" t="n">
        <v>5000</v>
      </c>
      <c r="I26" s="78" t="n">
        <v>325</v>
      </c>
      <c r="J26" s="79" t="inlineStr"/>
    </row>
    <row r="27" ht="16" customHeight="1">
      <c r="B27" s="19" t="inlineStr">
        <is>
          <t>ESP</t>
        </is>
      </c>
      <c r="C27" s="20" t="inlineStr">
        <is>
          <t>Espey Mfg. &amp; Electronics Corp.</t>
        </is>
      </c>
      <c r="D27" s="47" t="inlineStr">
        <is>
          <t>Nano Cap</t>
        </is>
      </c>
      <c r="E27" s="23" t="inlineStr">
        <is>
          <t>Medium-High</t>
        </is>
      </c>
      <c r="F27" s="34" t="n">
        <v>0.05</v>
      </c>
      <c r="G27" s="72" t="n">
        <v>0.03</v>
      </c>
      <c r="H27" s="73" t="n">
        <v>3000</v>
      </c>
      <c r="I27" s="74" t="n">
        <v>54</v>
      </c>
      <c r="J27" s="75" t="inlineStr">
        <is>
          <t>Medium-High risk</t>
        </is>
      </c>
    </row>
    <row r="28" ht="16" customHeight="1">
      <c r="B28" s="24" t="inlineStr">
        <is>
          <t>RUN</t>
        </is>
      </c>
      <c r="C28" s="25" t="inlineStr">
        <is>
          <t>Sunrun Inc.</t>
        </is>
      </c>
      <c r="D28" s="50" t="inlineStr">
        <is>
          <t>Breakout</t>
        </is>
      </c>
      <c r="E28" s="23" t="inlineStr">
        <is>
          <t>Medium-High</t>
        </is>
      </c>
      <c r="F28" s="41" t="n">
        <v>0.05</v>
      </c>
      <c r="G28" s="76" t="n">
        <v>0.06</v>
      </c>
      <c r="H28" s="77" t="n">
        <v>6000</v>
      </c>
      <c r="I28" s="78" t="n">
        <v>449</v>
      </c>
      <c r="J28" s="79" t="inlineStr">
        <is>
          <t>Medium-High risk</t>
        </is>
      </c>
    </row>
    <row r="29" ht="16" customHeight="1">
      <c r="B29" s="19" t="inlineStr">
        <is>
          <t>LYFT</t>
        </is>
      </c>
      <c r="C29" s="20" t="inlineStr">
        <is>
          <t>Lyft, Inc.</t>
        </is>
      </c>
      <c r="D29" s="47" t="inlineStr">
        <is>
          <t>Breakout</t>
        </is>
      </c>
      <c r="E29" s="23" t="inlineStr">
        <is>
          <t>Medium-High</t>
        </is>
      </c>
      <c r="F29" s="34" t="n">
        <v>0.05</v>
      </c>
      <c r="G29" s="72" t="n">
        <v>0.06</v>
      </c>
      <c r="H29" s="73" t="n">
        <v>6000</v>
      </c>
      <c r="I29" s="74" t="n">
        <v>439</v>
      </c>
      <c r="J29" s="75" t="inlineStr">
        <is>
          <t>Medium-Low risk</t>
        </is>
      </c>
    </row>
    <row r="30" ht="16" customHeight="1">
      <c r="B30" s="24" t="inlineStr">
        <is>
          <t>WYFI</t>
        </is>
      </c>
      <c r="C30" s="25" t="inlineStr">
        <is>
          <t>WhiteFiber, Inc. Ordinary Shares</t>
        </is>
      </c>
      <c r="D30" s="50" t="inlineStr">
        <is>
          <t>Small Cap</t>
        </is>
      </c>
      <c r="E30" s="23" t="inlineStr">
        <is>
          <t>Medium-High</t>
        </is>
      </c>
      <c r="F30" s="41" t="n">
        <v>0.05</v>
      </c>
      <c r="G30" s="76" t="n">
        <v>0.05</v>
      </c>
      <c r="H30" s="77" t="n">
        <v>5000</v>
      </c>
      <c r="I30" s="78" t="n">
        <v>214</v>
      </c>
      <c r="J30" s="79" t="inlineStr"/>
    </row>
    <row r="31" ht="16" customHeight="1">
      <c r="B31" s="19" t="inlineStr">
        <is>
          <t>BZAI</t>
        </is>
      </c>
      <c r="C31" s="20" t="inlineStr">
        <is>
          <t>Blaize Holdings, Inc.</t>
        </is>
      </c>
      <c r="D31" s="47" t="inlineStr">
        <is>
          <t>Nano Cap</t>
        </is>
      </c>
      <c r="E31" s="23" t="inlineStr">
        <is>
          <t>Medium-High</t>
        </is>
      </c>
      <c r="F31" s="34" t="n">
        <v>0.05</v>
      </c>
      <c r="G31" s="72" t="n">
        <v>0.03</v>
      </c>
      <c r="H31" s="73" t="n">
        <v>3000</v>
      </c>
      <c r="I31" s="74" t="n">
        <v>1807</v>
      </c>
      <c r="J31" s="75" t="inlineStr">
        <is>
          <t>Medium-High risk</t>
        </is>
      </c>
    </row>
    <row r="32" ht="16" customHeight="1">
      <c r="B32" s="24" t="inlineStr">
        <is>
          <t>FELE</t>
        </is>
      </c>
      <c r="C32" s="25" t="inlineStr">
        <is>
          <t>Franklin Electric Co., Inc.</t>
        </is>
      </c>
      <c r="D32" s="50" t="inlineStr">
        <is>
          <t>Breakout</t>
        </is>
      </c>
      <c r="E32" s="23" t="inlineStr">
        <is>
          <t>Medium-High</t>
        </is>
      </c>
      <c r="F32" s="41" t="n">
        <v>0.05</v>
      </c>
      <c r="G32" s="76" t="n">
        <v>0.06</v>
      </c>
      <c r="H32" s="77" t="n">
        <v>6000</v>
      </c>
      <c r="I32" s="78" t="n">
        <v>60</v>
      </c>
      <c r="J32" s="79" t="inlineStr">
        <is>
          <t>Medium-Low risk</t>
        </is>
      </c>
    </row>
    <row r="33" ht="16" customHeight="1">
      <c r="B33" s="19" t="inlineStr">
        <is>
          <t>TAYD</t>
        </is>
      </c>
      <c r="C33" s="20" t="inlineStr">
        <is>
          <t>Taylor Devices, Inc.</t>
        </is>
      </c>
      <c r="D33" s="47" t="inlineStr">
        <is>
          <t>Nano Cap</t>
        </is>
      </c>
      <c r="E33" s="23" t="inlineStr">
        <is>
          <t>Medium-High</t>
        </is>
      </c>
      <c r="F33" s="34" t="n">
        <v>0.05</v>
      </c>
      <c r="G33" s="72" t="n">
        <v>0.03</v>
      </c>
      <c r="H33" s="73" t="n">
        <v>3000</v>
      </c>
      <c r="I33" s="74" t="n">
        <v>56</v>
      </c>
      <c r="J33" s="75" t="inlineStr">
        <is>
          <t>Medium-High risk</t>
        </is>
      </c>
    </row>
    <row r="34" ht="16" customHeight="1">
      <c r="B34" s="24" t="inlineStr">
        <is>
          <t>ALGM</t>
        </is>
      </c>
      <c r="C34" s="25" t="inlineStr">
        <is>
          <t>Allegro MicroSystems, Inc.</t>
        </is>
      </c>
      <c r="D34" s="50" t="inlineStr">
        <is>
          <t>Breakout</t>
        </is>
      </c>
      <c r="E34" s="23" t="inlineStr">
        <is>
          <t>Medium-High</t>
        </is>
      </c>
      <c r="F34" s="41" t="n">
        <v>0.05</v>
      </c>
      <c r="G34" s="76" t="n">
        <v>0.06</v>
      </c>
      <c r="H34" s="77" t="n">
        <v>6000</v>
      </c>
      <c r="I34" s="78" t="n">
        <v>129</v>
      </c>
      <c r="J34" s="79" t="inlineStr">
        <is>
          <t>Medium-Low risk</t>
        </is>
      </c>
    </row>
    <row r="35" ht="16" customHeight="1">
      <c r="B35" s="19" t="inlineStr">
        <is>
          <t>SWBI</t>
        </is>
      </c>
      <c r="C35" s="20" t="inlineStr">
        <is>
          <t>Smith &amp; Wesson Brands, Inc.</t>
        </is>
      </c>
      <c r="D35" s="47" t="inlineStr">
        <is>
          <t>Small Cap</t>
        </is>
      </c>
      <c r="E35" s="46" t="inlineStr">
        <is>
          <t>Medium</t>
        </is>
      </c>
      <c r="F35" s="34" t="n">
        <v>0.03</v>
      </c>
      <c r="G35" s="72" t="n">
        <v>0.03</v>
      </c>
      <c r="H35" s="73" t="n">
        <v>3000</v>
      </c>
      <c r="I35" s="74" t="n">
        <v>202</v>
      </c>
      <c r="J35" s="75" t="inlineStr">
        <is>
          <t>Medium-High risk</t>
        </is>
      </c>
    </row>
    <row r="36" ht="16" customHeight="1">
      <c r="B36" s="24" t="inlineStr">
        <is>
          <t>ROCK</t>
        </is>
      </c>
      <c r="C36" s="25" t="inlineStr">
        <is>
          <t>Gibraltar Industries, Inc.</t>
        </is>
      </c>
      <c r="D36" s="50" t="inlineStr">
        <is>
          <t>Small Cap</t>
        </is>
      </c>
      <c r="E36" s="46" t="inlineStr">
        <is>
          <t>Medium</t>
        </is>
      </c>
      <c r="F36" s="41" t="n">
        <v>0.03</v>
      </c>
      <c r="G36" s="76" t="n">
        <v>0.03</v>
      </c>
      <c r="H36" s="77" t="n">
        <v>3000</v>
      </c>
      <c r="I36" s="78" t="n">
        <v>81</v>
      </c>
      <c r="J36" s="79" t="inlineStr">
        <is>
          <t>High risk</t>
        </is>
      </c>
    </row>
    <row r="37" ht="16" customHeight="1">
      <c r="B37" s="19" t="inlineStr">
        <is>
          <t>BUKS</t>
        </is>
      </c>
      <c r="C37" s="20" t="inlineStr">
        <is>
          <t>Butler National Corporation</t>
        </is>
      </c>
      <c r="D37" s="47" t="inlineStr">
        <is>
          <t>Small Cap</t>
        </is>
      </c>
      <c r="E37" s="46" t="inlineStr">
        <is>
          <t>Medium</t>
        </is>
      </c>
      <c r="F37" s="34" t="n">
        <v>0.03</v>
      </c>
      <c r="G37" s="72" t="n">
        <v>0.03</v>
      </c>
      <c r="H37" s="73" t="n">
        <v>3000</v>
      </c>
      <c r="I37" s="74" t="n">
        <v>746</v>
      </c>
      <c r="J37" s="75" t="inlineStr">
        <is>
          <t>Medium-High risk</t>
        </is>
      </c>
    </row>
    <row r="38" ht="16" customHeight="1">
      <c r="B38" s="24" t="inlineStr">
        <is>
          <t>BYRN</t>
        </is>
      </c>
      <c r="C38" s="25" t="inlineStr">
        <is>
          <t>Byrna Technologies Inc.</t>
        </is>
      </c>
      <c r="D38" s="50" t="inlineStr">
        <is>
          <t>Nano Cap</t>
        </is>
      </c>
      <c r="E38" s="46" t="inlineStr">
        <is>
          <t>Medium</t>
        </is>
      </c>
      <c r="F38" s="41" t="n">
        <v>0.03</v>
      </c>
      <c r="G38" s="76" t="n">
        <v>0.018</v>
      </c>
      <c r="H38" s="77" t="n">
        <v>1800</v>
      </c>
      <c r="I38" s="78" t="n">
        <v>304</v>
      </c>
      <c r="J38" s="79" t="inlineStr">
        <is>
          <t>Medium-High risk</t>
        </is>
      </c>
    </row>
    <row r="39" ht="16" customHeight="1">
      <c r="B39" s="19" t="inlineStr">
        <is>
          <t>IPGP</t>
        </is>
      </c>
      <c r="C39" s="20" t="inlineStr">
        <is>
          <t>IPG Photonics Corporation</t>
        </is>
      </c>
      <c r="D39" s="47" t="inlineStr">
        <is>
          <t>Breakout</t>
        </is>
      </c>
      <c r="E39" s="46" t="inlineStr">
        <is>
          <t>Medium</t>
        </is>
      </c>
      <c r="F39" s="34" t="n">
        <v>0.03</v>
      </c>
      <c r="G39" s="72" t="n">
        <v>0.036</v>
      </c>
      <c r="H39" s="73" t="n">
        <v>3600</v>
      </c>
      <c r="I39" s="74" t="n">
        <v>33</v>
      </c>
      <c r="J39" s="75" t="inlineStr">
        <is>
          <t>Medium-Low risk</t>
        </is>
      </c>
    </row>
    <row r="40" ht="16" customHeight="1">
      <c r="B40" s="24" t="inlineStr">
        <is>
          <t>ESAB</t>
        </is>
      </c>
      <c r="C40" s="25" t="inlineStr">
        <is>
          <t>ESAB Corporation</t>
        </is>
      </c>
      <c r="D40" s="50" t="inlineStr">
        <is>
          <t>Breakout</t>
        </is>
      </c>
      <c r="E40" s="46" t="inlineStr">
        <is>
          <t>Medium</t>
        </is>
      </c>
      <c r="F40" s="41" t="n">
        <v>0.03</v>
      </c>
      <c r="G40" s="76" t="n">
        <v>0.036</v>
      </c>
      <c r="H40" s="77" t="n">
        <v>3600</v>
      </c>
      <c r="I40" s="78" t="n">
        <v>40</v>
      </c>
      <c r="J40" s="79" t="inlineStr">
        <is>
          <t>Medium-Low risk</t>
        </is>
      </c>
    </row>
    <row r="41" ht="16" customHeight="1">
      <c r="B41" s="19" t="inlineStr">
        <is>
          <t>PINS</t>
        </is>
      </c>
      <c r="C41" s="20" t="inlineStr">
        <is>
          <t>Pinterest, Inc.</t>
        </is>
      </c>
      <c r="D41" s="47" t="inlineStr">
        <is>
          <t>Breakout</t>
        </is>
      </c>
      <c r="E41" s="46" t="inlineStr">
        <is>
          <t>Medium</t>
        </is>
      </c>
      <c r="F41" s="34" t="n">
        <v>0.03</v>
      </c>
      <c r="G41" s="72" t="n">
        <v>0.036</v>
      </c>
      <c r="H41" s="73" t="n">
        <v>3600</v>
      </c>
      <c r="I41" s="74" t="n">
        <v>168</v>
      </c>
      <c r="J41" s="75" t="inlineStr">
        <is>
          <t>Medium-Low risk</t>
        </is>
      </c>
    </row>
    <row r="42" ht="16" customHeight="1">
      <c r="B42" s="24" t="inlineStr">
        <is>
          <t>RVTY</t>
        </is>
      </c>
      <c r="C42" s="25" t="inlineStr">
        <is>
          <t>Revvity, Inc.</t>
        </is>
      </c>
      <c r="D42" s="50" t="inlineStr">
        <is>
          <t>Breakout</t>
        </is>
      </c>
      <c r="E42" s="46" t="inlineStr">
        <is>
          <t>Medium</t>
        </is>
      </c>
      <c r="F42" s="41" t="n">
        <v>0.03</v>
      </c>
      <c r="G42" s="76" t="n">
        <v>0.036</v>
      </c>
      <c r="H42" s="77" t="n">
        <v>3600</v>
      </c>
      <c r="I42" s="78" t="n">
        <v>36</v>
      </c>
      <c r="J42" s="79" t="inlineStr">
        <is>
          <t>Medium-Low risk</t>
        </is>
      </c>
    </row>
    <row r="44">
      <c r="B44" s="80" t="inlineStr">
        <is>
          <t>TOTAL ALLOCATED</t>
        </is>
      </c>
      <c r="C44" s="81" t="n"/>
      <c r="D44" s="81" t="n"/>
      <c r="E44" s="81" t="n"/>
      <c r="F44" s="81" t="n"/>
      <c r="G44" s="82" t="n">
        <v>1.25</v>
      </c>
      <c r="H44" s="83" t="n">
        <v>125000</v>
      </c>
    </row>
    <row r="45">
      <c r="B45" s="80" t="inlineStr">
        <is>
          <t>CASH RESERVE</t>
        </is>
      </c>
      <c r="C45" s="81" t="n"/>
      <c r="D45" s="81" t="n"/>
      <c r="E45" s="81" t="n"/>
      <c r="F45" s="81" t="n"/>
      <c r="G45" s="84" t="n">
        <v>0</v>
      </c>
      <c r="H45" s="85" t="n">
        <v>0</v>
      </c>
    </row>
    <row r="48" ht="22" customHeight="1">
      <c r="B48" s="16" t="inlineStr">
        <is>
          <t>SENSITIVITY TO PORTFOLIO SIZE</t>
        </is>
      </c>
      <c r="C48" s="17" t="n"/>
      <c r="D48" s="17" t="n"/>
      <c r="E48" s="17" t="n"/>
      <c r="F48" s="17" t="n"/>
      <c r="G48" s="17" t="n"/>
      <c r="H48" s="17" t="n"/>
      <c r="I48" s="17" t="n"/>
      <c r="J48" s="17" t="n"/>
    </row>
    <row r="49" ht="18" customHeight="1">
      <c r="B49" s="18" t="inlineStr">
        <is>
          <t>Ticker</t>
        </is>
      </c>
      <c r="C49" s="18" t="inlineStr">
        <is>
          <t>$50K</t>
        </is>
      </c>
      <c r="D49" s="18" t="inlineStr">
        <is>
          <t>$100K</t>
        </is>
      </c>
      <c r="E49" s="18" t="inlineStr">
        <is>
          <t>$250K</t>
        </is>
      </c>
      <c r="F49" s="18" t="inlineStr">
        <is>
          <t>$500K</t>
        </is>
      </c>
      <c r="G49" s="18" t="inlineStr">
        <is>
          <t>$1M</t>
        </is>
      </c>
      <c r="L49" t="inlineStr">
        <is>
          <t>Tier</t>
        </is>
      </c>
      <c r="M49" t="inlineStr">
        <is>
          <t>Allocation %</t>
        </is>
      </c>
    </row>
    <row r="50" ht="16" customHeight="1">
      <c r="B50" s="19" t="inlineStr">
        <is>
          <t>KULR</t>
        </is>
      </c>
      <c r="C50" s="21" t="n">
        <v>1500</v>
      </c>
      <c r="D50" s="86" t="n">
        <v>3000</v>
      </c>
      <c r="E50" s="21" t="n">
        <v>7500</v>
      </c>
      <c r="F50" s="21" t="n">
        <v>15000</v>
      </c>
      <c r="G50" s="21" t="n">
        <v>30000</v>
      </c>
      <c r="L50" t="inlineStr">
        <is>
          <t>Nano Cap</t>
        </is>
      </c>
      <c r="M50" t="n">
        <v>30.6</v>
      </c>
    </row>
    <row r="51" ht="16" customHeight="1">
      <c r="B51" s="24" t="inlineStr">
        <is>
          <t>KVHI</t>
        </is>
      </c>
      <c r="C51" s="26" t="n">
        <v>2400</v>
      </c>
      <c r="D51" s="86" t="n">
        <v>4800</v>
      </c>
      <c r="E51" s="26" t="n">
        <v>12000</v>
      </c>
      <c r="F51" s="26" t="n">
        <v>24000</v>
      </c>
      <c r="G51" s="26" t="n">
        <v>48000</v>
      </c>
      <c r="L51" t="inlineStr">
        <is>
          <t>Breakout</t>
        </is>
      </c>
      <c r="M51" t="n">
        <v>50.40000000000001</v>
      </c>
    </row>
    <row r="52" ht="16" customHeight="1">
      <c r="B52" s="19" t="inlineStr">
        <is>
          <t>KRMN</t>
        </is>
      </c>
      <c r="C52" s="21" t="n">
        <v>3000</v>
      </c>
      <c r="D52" s="86" t="n">
        <v>6000</v>
      </c>
      <c r="E52" s="21" t="n">
        <v>15000</v>
      </c>
      <c r="F52" s="21" t="n">
        <v>30000</v>
      </c>
      <c r="G52" s="21" t="n">
        <v>60000</v>
      </c>
      <c r="L52" t="inlineStr">
        <is>
          <t>Small Cap</t>
        </is>
      </c>
      <c r="M52" t="n">
        <v>44</v>
      </c>
    </row>
    <row r="53" ht="16" customHeight="1">
      <c r="B53" s="24" t="inlineStr">
        <is>
          <t>DSP</t>
        </is>
      </c>
      <c r="C53" s="26" t="n">
        <v>2500</v>
      </c>
      <c r="D53" s="86" t="n">
        <v>5000</v>
      </c>
      <c r="E53" s="26" t="n">
        <v>12500</v>
      </c>
      <c r="F53" s="26" t="n">
        <v>25000</v>
      </c>
      <c r="G53" s="26" t="n">
        <v>50000</v>
      </c>
      <c r="L53" t="inlineStr">
        <is>
          <t>Cash</t>
        </is>
      </c>
      <c r="M53" t="n">
        <v>0</v>
      </c>
    </row>
    <row r="54" ht="16" customHeight="1">
      <c r="B54" s="19" t="inlineStr">
        <is>
          <t>EVLV</t>
        </is>
      </c>
      <c r="C54" s="21" t="n">
        <v>2500</v>
      </c>
      <c r="D54" s="86" t="n">
        <v>5000</v>
      </c>
      <c r="E54" s="21" t="n">
        <v>12500</v>
      </c>
      <c r="F54" s="21" t="n">
        <v>25000</v>
      </c>
      <c r="G54" s="21" t="n">
        <v>50000</v>
      </c>
    </row>
    <row r="55" ht="16" customHeight="1">
      <c r="B55" s="24" t="inlineStr">
        <is>
          <t>PKE</t>
        </is>
      </c>
      <c r="C55" s="26" t="n">
        <v>2500</v>
      </c>
      <c r="D55" s="86" t="n">
        <v>5000</v>
      </c>
      <c r="E55" s="26" t="n">
        <v>12500</v>
      </c>
      <c r="F55" s="26" t="n">
        <v>25000</v>
      </c>
      <c r="G55" s="26" t="n">
        <v>50000</v>
      </c>
    </row>
    <row r="56" ht="16" customHeight="1">
      <c r="B56" s="19" t="inlineStr">
        <is>
          <t>INTT</t>
        </is>
      </c>
      <c r="C56" s="21" t="n">
        <v>1500</v>
      </c>
      <c r="D56" s="86" t="n">
        <v>3000</v>
      </c>
      <c r="E56" s="21" t="n">
        <v>7500</v>
      </c>
      <c r="F56" s="21" t="n">
        <v>15000</v>
      </c>
      <c r="G56" s="21" t="n">
        <v>30000</v>
      </c>
    </row>
    <row r="57" ht="16" customHeight="1">
      <c r="B57" s="24" t="inlineStr">
        <is>
          <t>CMCO</t>
        </is>
      </c>
      <c r="C57" s="26" t="n">
        <v>2500</v>
      </c>
      <c r="D57" s="86" t="n">
        <v>5000</v>
      </c>
      <c r="E57" s="26" t="n">
        <v>12500</v>
      </c>
      <c r="F57" s="26" t="n">
        <v>25000</v>
      </c>
      <c r="G57" s="26" t="n">
        <v>50000</v>
      </c>
    </row>
    <row r="58" ht="16" customHeight="1">
      <c r="B58" s="19" t="inlineStr">
        <is>
          <t>CODA</t>
        </is>
      </c>
      <c r="C58" s="21" t="n">
        <v>1500</v>
      </c>
      <c r="D58" s="86" t="n">
        <v>3000</v>
      </c>
      <c r="E58" s="21" t="n">
        <v>7500</v>
      </c>
      <c r="F58" s="21" t="n">
        <v>15000</v>
      </c>
      <c r="G58" s="21" t="n">
        <v>30000</v>
      </c>
    </row>
    <row r="59" ht="16" customHeight="1">
      <c r="B59" s="24" t="inlineStr">
        <is>
          <t>WSTL</t>
        </is>
      </c>
      <c r="C59" s="26" t="n">
        <v>1500</v>
      </c>
      <c r="D59" s="86" t="n">
        <v>3000</v>
      </c>
      <c r="E59" s="26" t="n">
        <v>7500</v>
      </c>
      <c r="F59" s="26" t="n">
        <v>15000</v>
      </c>
      <c r="G59" s="26" t="n">
        <v>30000</v>
      </c>
    </row>
  </sheetData>
  <mergeCells count="5">
    <mergeCell ref="B11:J11"/>
    <mergeCell ref="A2:N2"/>
    <mergeCell ref="B4:J4"/>
    <mergeCell ref="B48:J48"/>
    <mergeCell ref="A1:N1"/>
  </mergeCells>
  <pageMargins left="0.75" right="0.75" top="1" bottom="1" header="0.5" footer="0.5"/>
  <pageSetup orientation="landscape" fitToWidth="1"/>
  <drawing xmlns:r="http://schemas.openxmlformats.org/officeDocument/2006/relationships" r:id="rId1"/>
</worksheet>
</file>

<file path=xl/worksheets/sheet10.xml><?xml version="1.0" encoding="utf-8"?>
<worksheet xmlns="http://schemas.openxmlformats.org/spreadsheetml/2006/main">
  <sheetPr>
    <tabColor rgb="00E76F51"/>
    <outlinePr summaryBelow="1" summaryRight="1"/>
    <pageSetUpPr fitToPage="1"/>
  </sheetPr>
  <dimension ref="A1:M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9" customWidth="1" min="2" max="2"/>
    <col width="24" customWidth="1" min="3" max="3"/>
    <col width="12"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2" customWidth="1" min="12" max="12"/>
    <col width="14" customWidth="1" min="13" max="13"/>
  </cols>
  <sheetData>
    <row r="1" ht="28" customHeight="1">
      <c r="A1" s="30" t="inlineStr">
        <is>
          <t>SENSITIVITY ANALYSIS — WEIGHT PROFILE COMPARISON</t>
        </is>
      </c>
      <c r="B1" s="11" t="n"/>
      <c r="C1" s="11" t="n"/>
      <c r="D1" s="11" t="n"/>
      <c r="E1" s="11" t="n"/>
      <c r="F1" s="11" t="n"/>
      <c r="G1" s="11" t="n"/>
      <c r="H1" s="11" t="n"/>
      <c r="I1" s="11" t="n"/>
      <c r="J1" s="11" t="n"/>
      <c r="K1" s="11" t="n"/>
      <c r="L1" s="11" t="n"/>
      <c r="M1" s="11" t="n"/>
    </row>
    <row r="2" ht="22" customHeight="1">
      <c r="A2" s="31" t="inlineStr">
        <is>
          <t>How scores change under different weighting assumptions</t>
        </is>
      </c>
      <c r="B2" s="12" t="n"/>
      <c r="C2" s="12" t="n"/>
      <c r="D2" s="12" t="n"/>
      <c r="E2" s="12" t="n"/>
      <c r="F2" s="12" t="n"/>
      <c r="G2" s="12" t="n"/>
      <c r="H2" s="12" t="n"/>
      <c r="I2" s="12" t="n"/>
      <c r="J2" s="12" t="n"/>
      <c r="K2" s="12" t="n"/>
      <c r="L2" s="12" t="n"/>
      <c r="M2" s="12" t="n"/>
    </row>
    <row r="4" ht="22" customHeight="1">
      <c r="B4" s="16" t="inlineStr">
        <is>
          <t>SCENARIO CONTROL PANEL</t>
        </is>
      </c>
      <c r="C4" s="17" t="n"/>
      <c r="D4" s="17" t="n"/>
      <c r="E4" s="17" t="n"/>
      <c r="F4" s="17" t="n"/>
      <c r="G4" s="17" t="n"/>
      <c r="H4" s="17" t="n"/>
      <c r="I4" s="17" t="n"/>
      <c r="J4" s="17" t="n"/>
      <c r="K4" s="17" t="n"/>
      <c r="L4" s="17" t="n"/>
      <c r="M4" s="17" t="n"/>
    </row>
    <row r="5">
      <c r="B5" s="87" t="inlineStr">
        <is>
          <t>Active Scenario:</t>
        </is>
      </c>
      <c r="C5" s="64" t="inlineStr">
        <is>
          <t>Baseline</t>
        </is>
      </c>
    </row>
    <row r="7" ht="18" customHeight="1">
      <c r="B7" s="18" t="inlineStr">
        <is>
          <t>Weight</t>
        </is>
      </c>
      <c r="C7" s="18" t="inlineStr">
        <is>
          <t>Baseline</t>
        </is>
      </c>
      <c r="D7" s="18" t="inlineStr">
        <is>
          <t>Growth Focus</t>
        </is>
      </c>
      <c r="E7" s="18" t="inlineStr">
        <is>
          <t>Quality Focus</t>
        </is>
      </c>
      <c r="F7" s="18" t="inlineStr">
        <is>
          <t>Insider Focus</t>
        </is>
      </c>
      <c r="G7" s="18" t="inlineStr">
        <is>
          <t>Custom</t>
        </is>
      </c>
    </row>
    <row r="8" ht="16" customHeight="1">
      <c r="B8" s="20" t="inlineStr">
        <is>
          <t>Revenue Growth</t>
        </is>
      </c>
      <c r="C8" s="88" t="n">
        <v>0.3</v>
      </c>
      <c r="D8" s="89" t="n">
        <v>0.4</v>
      </c>
      <c r="E8" s="89" t="n">
        <v>0.2</v>
      </c>
      <c r="F8" s="89" t="n">
        <v>0.2</v>
      </c>
      <c r="G8" s="90" t="n">
        <v>0.3</v>
      </c>
    </row>
    <row r="9" ht="16" customHeight="1">
      <c r="B9" s="20" t="inlineStr">
        <is>
          <t>Gross Margin</t>
        </is>
      </c>
      <c r="C9" s="88" t="n">
        <v>0.2</v>
      </c>
      <c r="D9" s="89" t="n">
        <v>0.15</v>
      </c>
      <c r="E9" s="89" t="n">
        <v>0.3</v>
      </c>
      <c r="F9" s="89" t="n">
        <v>0.15</v>
      </c>
      <c r="G9" s="90" t="n">
        <v>0.2</v>
      </c>
    </row>
    <row r="10" ht="16" customHeight="1">
      <c r="B10" s="20" t="inlineStr">
        <is>
          <t>Dilution</t>
        </is>
      </c>
      <c r="C10" s="88" t="n">
        <v>0.2</v>
      </c>
      <c r="D10" s="89" t="n">
        <v>0.15</v>
      </c>
      <c r="E10" s="89" t="n">
        <v>0.25</v>
      </c>
      <c r="F10" s="89" t="n">
        <v>0.2</v>
      </c>
      <c r="G10" s="90" t="n">
        <v>0.2</v>
      </c>
    </row>
    <row r="11" ht="16" customHeight="1">
      <c r="B11" s="20" t="inlineStr">
        <is>
          <t>Insider Ownership</t>
        </is>
      </c>
      <c r="C11" s="88" t="n">
        <v>0.15</v>
      </c>
      <c r="D11" s="89" t="n">
        <v>0.1</v>
      </c>
      <c r="E11" s="89" t="n">
        <v>0.15</v>
      </c>
      <c r="F11" s="89" t="n">
        <v>0.35</v>
      </c>
      <c r="G11" s="90" t="n">
        <v>0.15</v>
      </c>
    </row>
    <row r="12" ht="16" customHeight="1">
      <c r="B12" s="20" t="inlineStr">
        <is>
          <t>Revenue Acceleration</t>
        </is>
      </c>
      <c r="C12" s="88" t="n">
        <v>0.15</v>
      </c>
      <c r="D12" s="89" t="n">
        <v>0.2</v>
      </c>
      <c r="E12" s="89" t="n">
        <v>0.1</v>
      </c>
      <c r="F12" s="89" t="n">
        <v>0.1</v>
      </c>
      <c r="G12" s="90" t="n">
        <v>0.15</v>
      </c>
    </row>
    <row r="14" ht="22" customHeight="1">
      <c r="B14" s="16" t="inlineStr">
        <is>
          <t>COMBINED SCORES UNDER EACH PROFILE</t>
        </is>
      </c>
      <c r="C14" s="17" t="n"/>
      <c r="D14" s="17" t="n"/>
      <c r="E14" s="17" t="n"/>
      <c r="F14" s="17" t="n"/>
      <c r="G14" s="17" t="n"/>
      <c r="H14" s="17" t="n"/>
      <c r="I14" s="17" t="n"/>
      <c r="J14" s="17" t="n"/>
      <c r="K14" s="17" t="n"/>
      <c r="L14" s="17" t="n"/>
      <c r="M14" s="17" t="n"/>
    </row>
    <row r="15" ht="18" customHeight="1">
      <c r="B15" s="18" t="inlineStr">
        <is>
          <t>Ticker</t>
        </is>
      </c>
      <c r="C15" s="18" t="inlineStr">
        <is>
          <t>Name</t>
        </is>
      </c>
      <c r="D15" s="18" t="inlineStr">
        <is>
          <t>Tier</t>
        </is>
      </c>
      <c r="E15" s="18" t="inlineStr">
        <is>
          <t>Baseline</t>
        </is>
      </c>
      <c r="F15" s="18" t="inlineStr">
        <is>
          <t>Growth Focus</t>
        </is>
      </c>
      <c r="G15" s="18" t="inlineStr">
        <is>
          <t>Quality Focus</t>
        </is>
      </c>
      <c r="H15" s="18" t="inlineStr">
        <is>
          <t>Insider Focus</t>
        </is>
      </c>
      <c r="I15" s="18" t="inlineStr">
        <is>
          <t>Max Score</t>
        </is>
      </c>
      <c r="J15" s="18" t="inlineStr">
        <is>
          <t>Min Score</t>
        </is>
      </c>
      <c r="K15" s="18" t="inlineStr">
        <is>
          <t>Score Range</t>
        </is>
      </c>
      <c r="L15" s="18" t="inlineStr">
        <is>
          <t>Rank Stability</t>
        </is>
      </c>
    </row>
    <row r="16" ht="16" customHeight="1">
      <c r="B16" s="19" t="inlineStr">
        <is>
          <t>KULR</t>
        </is>
      </c>
      <c r="C16" s="20" t="inlineStr">
        <is>
          <t>KULR Technology Group, Inc.</t>
        </is>
      </c>
      <c r="D16" s="47" t="inlineStr">
        <is>
          <t>Nano Cap</t>
        </is>
      </c>
      <c r="E16" s="35" t="n">
        <v>91.3</v>
      </c>
      <c r="F16" s="35" t="n">
        <v>93.90000000000001</v>
      </c>
      <c r="G16" s="35" t="n">
        <v>89.8</v>
      </c>
      <c r="H16" s="35" t="n">
        <v>85.59999999999999</v>
      </c>
      <c r="I16" s="35" t="n">
        <v>93.90000000000001</v>
      </c>
      <c r="J16" s="35" t="n">
        <v>85.59999999999999</v>
      </c>
      <c r="K16" s="35" t="n">
        <v>8.300000000000011</v>
      </c>
      <c r="L16" s="27" t="inlineStr">
        <is>
          <t>Stable</t>
        </is>
      </c>
    </row>
    <row r="17" ht="16" customHeight="1">
      <c r="B17" s="24" t="inlineStr">
        <is>
          <t>KVHI</t>
        </is>
      </c>
      <c r="C17" s="25" t="inlineStr">
        <is>
          <t>KVH Industries, Inc.</t>
        </is>
      </c>
      <c r="D17" s="50" t="inlineStr">
        <is>
          <t>Nano Cap</t>
        </is>
      </c>
      <c r="E17" s="42" t="n">
        <v>86.8</v>
      </c>
      <c r="F17" s="42" t="n">
        <v>84.90000000000001</v>
      </c>
      <c r="G17" s="42" t="n">
        <v>87.90000000000001</v>
      </c>
      <c r="H17" s="42" t="n">
        <v>90.40000000000001</v>
      </c>
      <c r="I17" s="42" t="n">
        <v>90.40000000000001</v>
      </c>
      <c r="J17" s="42" t="n">
        <v>84.90000000000001</v>
      </c>
      <c r="K17" s="42" t="n">
        <v>5.5</v>
      </c>
      <c r="L17" s="27" t="inlineStr">
        <is>
          <t>Stable</t>
        </is>
      </c>
    </row>
    <row r="18" ht="16" customHeight="1">
      <c r="B18" s="19" t="inlineStr">
        <is>
          <t>KRMN</t>
        </is>
      </c>
      <c r="C18" s="20" t="inlineStr">
        <is>
          <t>Karman Holdings Inc.</t>
        </is>
      </c>
      <c r="D18" s="47" t="inlineStr">
        <is>
          <t>Breakout</t>
        </is>
      </c>
      <c r="E18" s="35" t="n">
        <v>84</v>
      </c>
      <c r="F18" s="35" t="n">
        <v>84</v>
      </c>
      <c r="G18" s="35" t="n">
        <v>84</v>
      </c>
      <c r="H18" s="35" t="n">
        <v>84</v>
      </c>
      <c r="I18" s="35" t="n">
        <v>84</v>
      </c>
      <c r="J18" s="35" t="n">
        <v>84</v>
      </c>
      <c r="K18" s="35" t="n">
        <v>0</v>
      </c>
      <c r="L18" s="27" t="inlineStr">
        <is>
          <t>Stable</t>
        </is>
      </c>
    </row>
    <row r="19" ht="16" customHeight="1">
      <c r="B19" s="24" t="inlineStr">
        <is>
          <t>DSP</t>
        </is>
      </c>
      <c r="C19" s="25" t="inlineStr">
        <is>
          <t>Viant Technology Inc.</t>
        </is>
      </c>
      <c r="D19" s="50" t="inlineStr">
        <is>
          <t>Small Cap</t>
        </is>
      </c>
      <c r="E19" s="42" t="n">
        <v>82.59999999999999</v>
      </c>
      <c r="F19" s="42" t="n">
        <v>79.5</v>
      </c>
      <c r="G19" s="42" t="n">
        <v>85.8</v>
      </c>
      <c r="H19" s="42" t="n">
        <v>85.8</v>
      </c>
      <c r="I19" s="42" t="n">
        <v>85.8</v>
      </c>
      <c r="J19" s="42" t="n">
        <v>79.5</v>
      </c>
      <c r="K19" s="42" t="n">
        <v>6.299999999999997</v>
      </c>
      <c r="L19" s="27" t="inlineStr">
        <is>
          <t>Stable</t>
        </is>
      </c>
    </row>
    <row r="20" ht="16" customHeight="1">
      <c r="B20" s="19" t="inlineStr">
        <is>
          <t>EVLV</t>
        </is>
      </c>
      <c r="C20" s="20" t="inlineStr">
        <is>
          <t>Evolv Technologies Holdings, Inc.</t>
        </is>
      </c>
      <c r="D20" s="47" t="inlineStr">
        <is>
          <t>Small Cap</t>
        </is>
      </c>
      <c r="E20" s="35" t="n">
        <v>82</v>
      </c>
      <c r="F20" s="35" t="n">
        <v>84.40000000000001</v>
      </c>
      <c r="G20" s="35" t="n">
        <v>81</v>
      </c>
      <c r="H20" s="35" t="n">
        <v>76.8</v>
      </c>
      <c r="I20" s="35" t="n">
        <v>84.40000000000001</v>
      </c>
      <c r="J20" s="35" t="n">
        <v>76.8</v>
      </c>
      <c r="K20" s="35" t="n">
        <v>7.600000000000009</v>
      </c>
      <c r="L20" s="27" t="inlineStr">
        <is>
          <t>Stable</t>
        </is>
      </c>
    </row>
    <row r="21" ht="16" customHeight="1">
      <c r="B21" s="24" t="inlineStr">
        <is>
          <t>PKE</t>
        </is>
      </c>
      <c r="C21" s="25" t="inlineStr">
        <is>
          <t>Park Aerospace Corp.</t>
        </is>
      </c>
      <c r="D21" s="50" t="inlineStr">
        <is>
          <t>Small Cap</t>
        </is>
      </c>
      <c r="E21" s="42" t="n">
        <v>81.7</v>
      </c>
      <c r="F21" s="42" t="n">
        <v>81.90000000000001</v>
      </c>
      <c r="G21" s="42" t="n">
        <v>81</v>
      </c>
      <c r="H21" s="42" t="n">
        <v>82.40000000000001</v>
      </c>
      <c r="I21" s="42" t="n">
        <v>82.40000000000001</v>
      </c>
      <c r="J21" s="42" t="n">
        <v>81</v>
      </c>
      <c r="K21" s="42" t="n">
        <v>1.400000000000006</v>
      </c>
      <c r="L21" s="27" t="inlineStr">
        <is>
          <t>Stable</t>
        </is>
      </c>
    </row>
    <row r="22" ht="16" customHeight="1">
      <c r="B22" s="19" t="inlineStr">
        <is>
          <t>INTT</t>
        </is>
      </c>
      <c r="C22" s="20" t="inlineStr">
        <is>
          <t>inTEST Corporation</t>
        </is>
      </c>
      <c r="D22" s="47" t="inlineStr">
        <is>
          <t>Nano Cap</t>
        </is>
      </c>
      <c r="E22" s="35" t="n">
        <v>81.59999999999999</v>
      </c>
      <c r="F22" s="35" t="n">
        <v>79.5</v>
      </c>
      <c r="G22" s="35" t="n">
        <v>83.7</v>
      </c>
      <c r="H22" s="35" t="n">
        <v>84</v>
      </c>
      <c r="I22" s="35" t="n">
        <v>84</v>
      </c>
      <c r="J22" s="35" t="n">
        <v>79.5</v>
      </c>
      <c r="K22" s="35" t="n">
        <v>4.5</v>
      </c>
      <c r="L22" s="27" t="inlineStr">
        <is>
          <t>Stable</t>
        </is>
      </c>
    </row>
    <row r="23" ht="16" customHeight="1">
      <c r="B23" s="24" t="inlineStr">
        <is>
          <t>CMCO</t>
        </is>
      </c>
      <c r="C23" s="25" t="inlineStr">
        <is>
          <t>Columbus McKinnon Corporation</t>
        </is>
      </c>
      <c r="D23" s="50" t="inlineStr">
        <is>
          <t>Small Cap</t>
        </is>
      </c>
      <c r="E23" s="42" t="n">
        <v>81.2</v>
      </c>
      <c r="F23" s="42" t="n">
        <v>84.3</v>
      </c>
      <c r="G23" s="42" t="n">
        <v>79.5</v>
      </c>
      <c r="H23" s="42" t="n">
        <v>73.5</v>
      </c>
      <c r="I23" s="42" t="n">
        <v>84.3</v>
      </c>
      <c r="J23" s="42" t="n">
        <v>73.5</v>
      </c>
      <c r="K23" s="42" t="n">
        <v>10.8</v>
      </c>
      <c r="L23" s="46" t="inlineStr">
        <is>
          <t>Moderate</t>
        </is>
      </c>
    </row>
    <row r="24" ht="16" customHeight="1">
      <c r="B24" s="19" t="inlineStr">
        <is>
          <t>CODA</t>
        </is>
      </c>
      <c r="C24" s="20" t="inlineStr">
        <is>
          <t>Coda Octopus Group, Inc.</t>
        </is>
      </c>
      <c r="D24" s="47" t="inlineStr">
        <is>
          <t>Nano Cap</t>
        </is>
      </c>
      <c r="E24" s="35" t="n">
        <v>80.8</v>
      </c>
      <c r="F24" s="35" t="n">
        <v>78.2</v>
      </c>
      <c r="G24" s="35" t="n">
        <v>83.3</v>
      </c>
      <c r="H24" s="35" t="n">
        <v>83.3</v>
      </c>
      <c r="I24" s="35" t="n">
        <v>83.3</v>
      </c>
      <c r="J24" s="35" t="n">
        <v>78.2</v>
      </c>
      <c r="K24" s="35" t="n">
        <v>5.099999999999994</v>
      </c>
      <c r="L24" s="27" t="inlineStr">
        <is>
          <t>Stable</t>
        </is>
      </c>
    </row>
    <row r="25" ht="16" customHeight="1">
      <c r="B25" s="24" t="inlineStr">
        <is>
          <t>WSTL</t>
        </is>
      </c>
      <c r="C25" s="25" t="inlineStr">
        <is>
          <t>Westell Technologies, Inc.</t>
        </is>
      </c>
      <c r="D25" s="50" t="inlineStr">
        <is>
          <t>Nano Cap</t>
        </is>
      </c>
      <c r="E25" s="42" t="n">
        <v>80.7</v>
      </c>
      <c r="F25" s="42" t="n">
        <v>79.5</v>
      </c>
      <c r="G25" s="42" t="n">
        <v>82.2</v>
      </c>
      <c r="H25" s="42" t="n">
        <v>82.2</v>
      </c>
      <c r="I25" s="42" t="n">
        <v>82.2</v>
      </c>
      <c r="J25" s="42" t="n">
        <v>79.5</v>
      </c>
      <c r="K25" s="42" t="n">
        <v>2.700000000000003</v>
      </c>
      <c r="L25" s="27" t="inlineStr">
        <is>
          <t>Stable</t>
        </is>
      </c>
    </row>
    <row r="26" ht="16" customHeight="1">
      <c r="B26" s="19" t="inlineStr">
        <is>
          <t>SCTQ</t>
        </is>
      </c>
      <c r="C26" s="20" t="inlineStr">
        <is>
          <t>Spectra Systems Corporation</t>
        </is>
      </c>
      <c r="D26" s="47" t="inlineStr">
        <is>
          <t>Nano Cap</t>
        </is>
      </c>
      <c r="E26" s="35" t="n">
        <v>80.2</v>
      </c>
      <c r="F26" s="35" t="n">
        <v>77.3</v>
      </c>
      <c r="G26" s="35" t="n">
        <v>83.2</v>
      </c>
      <c r="H26" s="35" t="n">
        <v>83.2</v>
      </c>
      <c r="I26" s="35" t="n">
        <v>83.2</v>
      </c>
      <c r="J26" s="35" t="n">
        <v>77.3</v>
      </c>
      <c r="K26" s="35" t="n">
        <v>5.900000000000006</v>
      </c>
      <c r="L26" s="27" t="inlineStr">
        <is>
          <t>Stable</t>
        </is>
      </c>
    </row>
    <row r="27" ht="16" customHeight="1">
      <c r="B27" s="24" t="inlineStr">
        <is>
          <t>ESI</t>
        </is>
      </c>
      <c r="C27" s="25" t="inlineStr">
        <is>
          <t>Element Solutions Inc</t>
        </is>
      </c>
      <c r="D27" s="50" t="inlineStr">
        <is>
          <t>Breakout</t>
        </is>
      </c>
      <c r="E27" s="42" t="n">
        <v>79.8</v>
      </c>
      <c r="F27" s="42" t="n">
        <v>80</v>
      </c>
      <c r="G27" s="42" t="n">
        <v>80.5</v>
      </c>
      <c r="H27" s="42" t="n">
        <v>76.8</v>
      </c>
      <c r="I27" s="42" t="n">
        <v>80.5</v>
      </c>
      <c r="J27" s="42" t="n">
        <v>76.8</v>
      </c>
      <c r="K27" s="42" t="n">
        <v>3.700000000000003</v>
      </c>
      <c r="L27" s="27" t="inlineStr">
        <is>
          <t>Stable</t>
        </is>
      </c>
    </row>
    <row r="28" ht="16" customHeight="1">
      <c r="B28" s="19" t="inlineStr">
        <is>
          <t>CDRE</t>
        </is>
      </c>
      <c r="C28" s="20" t="inlineStr">
        <is>
          <t>Cadre Holdings, Inc.</t>
        </is>
      </c>
      <c r="D28" s="47" t="inlineStr">
        <is>
          <t>Small Cap</t>
        </is>
      </c>
      <c r="E28" s="35" t="n">
        <v>79.5</v>
      </c>
      <c r="F28" s="35" t="n">
        <v>77</v>
      </c>
      <c r="G28" s="35" t="n">
        <v>81.90000000000001</v>
      </c>
      <c r="H28" s="35" t="n">
        <v>83.40000000000001</v>
      </c>
      <c r="I28" s="35" t="n">
        <v>83.40000000000001</v>
      </c>
      <c r="J28" s="35" t="n">
        <v>77</v>
      </c>
      <c r="K28" s="35" t="n">
        <v>6.400000000000006</v>
      </c>
      <c r="L28" s="27" t="inlineStr">
        <is>
          <t>Stable</t>
        </is>
      </c>
    </row>
    <row r="29" ht="16" customHeight="1">
      <c r="B29" s="24" t="inlineStr">
        <is>
          <t>ADTN</t>
        </is>
      </c>
      <c r="C29" s="25" t="inlineStr">
        <is>
          <t>ADTRAN Holdings, Inc.</t>
        </is>
      </c>
      <c r="D29" s="50" t="inlineStr">
        <is>
          <t>Small Cap</t>
        </is>
      </c>
      <c r="E29" s="42" t="n">
        <v>78.90000000000001</v>
      </c>
      <c r="F29" s="42" t="n">
        <v>74.5</v>
      </c>
      <c r="G29" s="42" t="n">
        <v>83.8</v>
      </c>
      <c r="H29" s="42" t="n">
        <v>81.90000000000001</v>
      </c>
      <c r="I29" s="42" t="n">
        <v>83.8</v>
      </c>
      <c r="J29" s="42" t="n">
        <v>74.5</v>
      </c>
      <c r="K29" s="42" t="n">
        <v>9.299999999999997</v>
      </c>
      <c r="L29" s="27" t="inlineStr">
        <is>
          <t>Stable</t>
        </is>
      </c>
    </row>
    <row r="30" ht="16" customHeight="1">
      <c r="B30" s="19" t="inlineStr">
        <is>
          <t>ESP</t>
        </is>
      </c>
      <c r="C30" s="20" t="inlineStr">
        <is>
          <t>Espey Mfg. &amp; Electronics Corp.</t>
        </is>
      </c>
      <c r="D30" s="47" t="inlineStr">
        <is>
          <t>Nano Cap</t>
        </is>
      </c>
      <c r="E30" s="35" t="n">
        <v>78.5</v>
      </c>
      <c r="F30" s="35" t="n">
        <v>74.90000000000001</v>
      </c>
      <c r="G30" s="35" t="n">
        <v>81.7</v>
      </c>
      <c r="H30" s="35" t="n">
        <v>83.40000000000001</v>
      </c>
      <c r="I30" s="35" t="n">
        <v>83.40000000000001</v>
      </c>
      <c r="J30" s="35" t="n">
        <v>74.90000000000001</v>
      </c>
      <c r="K30" s="35" t="n">
        <v>8.5</v>
      </c>
      <c r="L30" s="27" t="inlineStr">
        <is>
          <t>Stable</t>
        </is>
      </c>
    </row>
    <row r="31" ht="16" customHeight="1">
      <c r="B31" s="24" t="inlineStr">
        <is>
          <t>RUN</t>
        </is>
      </c>
      <c r="C31" s="25" t="inlineStr">
        <is>
          <t>Sunrun Inc.</t>
        </is>
      </c>
      <c r="D31" s="50" t="inlineStr">
        <is>
          <t>Breakout</t>
        </is>
      </c>
      <c r="E31" s="42" t="n">
        <v>77.59999999999999</v>
      </c>
      <c r="F31" s="42" t="n">
        <v>79.8</v>
      </c>
      <c r="G31" s="42" t="n">
        <v>76.5</v>
      </c>
      <c r="H31" s="42" t="n">
        <v>71.40000000000001</v>
      </c>
      <c r="I31" s="42" t="n">
        <v>79.8</v>
      </c>
      <c r="J31" s="42" t="n">
        <v>71.40000000000001</v>
      </c>
      <c r="K31" s="42" t="n">
        <v>8.399999999999991</v>
      </c>
      <c r="L31" s="27" t="inlineStr">
        <is>
          <t>Stable</t>
        </is>
      </c>
    </row>
    <row r="32" ht="16" customHeight="1">
      <c r="B32" s="19" t="inlineStr">
        <is>
          <t>LYFT</t>
        </is>
      </c>
      <c r="C32" s="20" t="inlineStr">
        <is>
          <t>Lyft, Inc.</t>
        </is>
      </c>
      <c r="D32" s="47" t="inlineStr">
        <is>
          <t>Breakout</t>
        </is>
      </c>
      <c r="E32" s="35" t="n">
        <v>77.40000000000001</v>
      </c>
      <c r="F32" s="35" t="n">
        <v>72.40000000000001</v>
      </c>
      <c r="G32" s="35" t="n">
        <v>82.2</v>
      </c>
      <c r="H32" s="35" t="n">
        <v>82.2</v>
      </c>
      <c r="I32" s="35" t="n">
        <v>82.2</v>
      </c>
      <c r="J32" s="35" t="n">
        <v>72.40000000000001</v>
      </c>
      <c r="K32" s="35" t="n">
        <v>9.799999999999997</v>
      </c>
      <c r="L32" s="27" t="inlineStr">
        <is>
          <t>Stable</t>
        </is>
      </c>
    </row>
    <row r="33" ht="16" customHeight="1">
      <c r="B33" s="24" t="inlineStr">
        <is>
          <t>WYFI</t>
        </is>
      </c>
      <c r="C33" s="25" t="inlineStr">
        <is>
          <t>WhiteFiber, Inc. Ordinary Shares</t>
        </is>
      </c>
      <c r="D33" s="50" t="inlineStr">
        <is>
          <t>Small Cap</t>
        </is>
      </c>
      <c r="E33" s="42" t="n">
        <v>76.7</v>
      </c>
      <c r="F33" s="42" t="n">
        <v>72.7</v>
      </c>
      <c r="G33" s="42" t="n">
        <v>80.7</v>
      </c>
      <c r="H33" s="42" t="n">
        <v>80.7</v>
      </c>
      <c r="I33" s="42" t="n">
        <v>80.7</v>
      </c>
      <c r="J33" s="42" t="n">
        <v>72.7</v>
      </c>
      <c r="K33" s="42" t="n">
        <v>8</v>
      </c>
      <c r="L33" s="27" t="inlineStr">
        <is>
          <t>Stable</t>
        </is>
      </c>
    </row>
    <row r="34" ht="16" customHeight="1">
      <c r="B34" s="19" t="inlineStr">
        <is>
          <t>BZAI</t>
        </is>
      </c>
      <c r="C34" s="20" t="inlineStr">
        <is>
          <t>Blaize Holdings, Inc.</t>
        </is>
      </c>
      <c r="D34" s="47" t="inlineStr">
        <is>
          <t>Nano Cap</t>
        </is>
      </c>
      <c r="E34" s="35" t="n">
        <v>76.40000000000001</v>
      </c>
      <c r="F34" s="35" t="n">
        <v>73.40000000000001</v>
      </c>
      <c r="G34" s="35" t="n">
        <v>79.40000000000001</v>
      </c>
      <c r="H34" s="35" t="n">
        <v>79.40000000000001</v>
      </c>
      <c r="I34" s="35" t="n">
        <v>79.40000000000001</v>
      </c>
      <c r="J34" s="35" t="n">
        <v>73.40000000000001</v>
      </c>
      <c r="K34" s="35" t="n">
        <v>6</v>
      </c>
      <c r="L34" s="27" t="inlineStr">
        <is>
          <t>Stable</t>
        </is>
      </c>
    </row>
    <row r="35" ht="16" customHeight="1">
      <c r="B35" s="24" t="inlineStr">
        <is>
          <t>FELE</t>
        </is>
      </c>
      <c r="C35" s="25" t="inlineStr">
        <is>
          <t>Franklin Electric Co., Inc.</t>
        </is>
      </c>
      <c r="D35" s="50" t="inlineStr">
        <is>
          <t>Breakout</t>
        </is>
      </c>
      <c r="E35" s="42" t="n">
        <v>75.8</v>
      </c>
      <c r="F35" s="42" t="n">
        <v>71.40000000000001</v>
      </c>
      <c r="G35" s="42" t="n">
        <v>79.90000000000001</v>
      </c>
      <c r="H35" s="42" t="n">
        <v>81.09999999999999</v>
      </c>
      <c r="I35" s="42" t="n">
        <v>81.09999999999999</v>
      </c>
      <c r="J35" s="42" t="n">
        <v>71.40000000000001</v>
      </c>
      <c r="K35" s="42" t="n">
        <v>9.699999999999989</v>
      </c>
      <c r="L35" s="27" t="inlineStr">
        <is>
          <t>Stable</t>
        </is>
      </c>
    </row>
    <row r="36" ht="16" customHeight="1">
      <c r="B36" s="19" t="inlineStr">
        <is>
          <t>TAYD</t>
        </is>
      </c>
      <c r="C36" s="20" t="inlineStr">
        <is>
          <t>Taylor Devices, Inc.</t>
        </is>
      </c>
      <c r="D36" s="47" t="inlineStr">
        <is>
          <t>Nano Cap</t>
        </is>
      </c>
      <c r="E36" s="35" t="n">
        <v>75.59999999999999</v>
      </c>
      <c r="F36" s="35" t="n">
        <v>72.3</v>
      </c>
      <c r="G36" s="35" t="n">
        <v>81</v>
      </c>
      <c r="H36" s="35" t="n">
        <v>72</v>
      </c>
      <c r="I36" s="35" t="n">
        <v>81</v>
      </c>
      <c r="J36" s="35" t="n">
        <v>72</v>
      </c>
      <c r="K36" s="35" t="n">
        <v>9</v>
      </c>
      <c r="L36" s="27" t="inlineStr">
        <is>
          <t>Stable</t>
        </is>
      </c>
    </row>
    <row r="37" ht="16" customHeight="1">
      <c r="B37" s="24" t="inlineStr">
        <is>
          <t>ALGM</t>
        </is>
      </c>
      <c r="C37" s="25" t="inlineStr">
        <is>
          <t>Allegro MicroSystems, Inc.</t>
        </is>
      </c>
      <c r="D37" s="50" t="inlineStr">
        <is>
          <t>Breakout</t>
        </is>
      </c>
      <c r="E37" s="42" t="n">
        <v>75</v>
      </c>
      <c r="F37" s="42" t="n">
        <v>71.7</v>
      </c>
      <c r="G37" s="42" t="n">
        <v>78.40000000000001</v>
      </c>
      <c r="H37" s="42" t="n">
        <v>78.40000000000001</v>
      </c>
      <c r="I37" s="42" t="n">
        <v>78.40000000000001</v>
      </c>
      <c r="J37" s="42" t="n">
        <v>71.7</v>
      </c>
      <c r="K37" s="42" t="n">
        <v>6.700000000000003</v>
      </c>
      <c r="L37" s="27" t="inlineStr">
        <is>
          <t>Stable</t>
        </is>
      </c>
    </row>
    <row r="38" ht="16" customHeight="1">
      <c r="B38" s="19" t="inlineStr">
        <is>
          <t>SWBI</t>
        </is>
      </c>
      <c r="C38" s="20" t="inlineStr">
        <is>
          <t>Smith &amp; Wesson Brands, Inc.</t>
        </is>
      </c>
      <c r="D38" s="47" t="inlineStr">
        <is>
          <t>Small Cap</t>
        </is>
      </c>
      <c r="E38" s="35" t="n">
        <v>74.5</v>
      </c>
      <c r="F38" s="35" t="n">
        <v>73.7</v>
      </c>
      <c r="G38" s="35" t="n">
        <v>76.3</v>
      </c>
      <c r="H38" s="35" t="n">
        <v>71.3</v>
      </c>
      <c r="I38" s="35" t="n">
        <v>76.3</v>
      </c>
      <c r="J38" s="35" t="n">
        <v>71.3</v>
      </c>
      <c r="K38" s="35" t="n">
        <v>5</v>
      </c>
      <c r="L38" s="27" t="inlineStr">
        <is>
          <t>Stable</t>
        </is>
      </c>
    </row>
    <row r="39" ht="16" customHeight="1">
      <c r="B39" s="24" t="inlineStr">
        <is>
          <t>ROCK</t>
        </is>
      </c>
      <c r="C39" s="25" t="inlineStr">
        <is>
          <t>Gibraltar Industries, Inc.</t>
        </is>
      </c>
      <c r="D39" s="50" t="inlineStr">
        <is>
          <t>Small Cap</t>
        </is>
      </c>
      <c r="E39" s="42" t="n">
        <v>74.3</v>
      </c>
      <c r="F39" s="42" t="n">
        <v>74.8</v>
      </c>
      <c r="G39" s="42" t="n">
        <v>75.09999999999999</v>
      </c>
      <c r="H39" s="42" t="n">
        <v>68.90000000000001</v>
      </c>
      <c r="I39" s="42" t="n">
        <v>75.09999999999999</v>
      </c>
      <c r="J39" s="42" t="n">
        <v>68.90000000000001</v>
      </c>
      <c r="K39" s="42" t="n">
        <v>6.199999999999989</v>
      </c>
      <c r="L39" s="27" t="inlineStr">
        <is>
          <t>Stable</t>
        </is>
      </c>
    </row>
    <row r="40" ht="16" customHeight="1">
      <c r="B40" s="19" t="inlineStr">
        <is>
          <t>BUKS</t>
        </is>
      </c>
      <c r="C40" s="20" t="inlineStr">
        <is>
          <t>Butler National Corporation</t>
        </is>
      </c>
      <c r="D40" s="47" t="inlineStr">
        <is>
          <t>Small Cap</t>
        </is>
      </c>
      <c r="E40" s="35" t="n">
        <v>74.2</v>
      </c>
      <c r="F40" s="35" t="n">
        <v>71.90000000000001</v>
      </c>
      <c r="G40" s="35" t="n">
        <v>76.40000000000001</v>
      </c>
      <c r="H40" s="35" t="n">
        <v>76.40000000000001</v>
      </c>
      <c r="I40" s="35" t="n">
        <v>76.40000000000001</v>
      </c>
      <c r="J40" s="35" t="n">
        <v>71.90000000000001</v>
      </c>
      <c r="K40" s="35" t="n">
        <v>4.5</v>
      </c>
      <c r="L40" s="27" t="inlineStr">
        <is>
          <t>Stable</t>
        </is>
      </c>
    </row>
    <row r="41" ht="16" customHeight="1">
      <c r="B41" s="24" t="inlineStr">
        <is>
          <t>BYRN</t>
        </is>
      </c>
      <c r="C41" s="25" t="inlineStr">
        <is>
          <t>Byrna Technologies Inc.</t>
        </is>
      </c>
      <c r="D41" s="50" t="inlineStr">
        <is>
          <t>Nano Cap</t>
        </is>
      </c>
      <c r="E41" s="42" t="n">
        <v>73.90000000000001</v>
      </c>
      <c r="F41" s="42" t="n">
        <v>66.40000000000001</v>
      </c>
      <c r="G41" s="42" t="n">
        <v>81.5</v>
      </c>
      <c r="H41" s="42" t="n">
        <v>81.5</v>
      </c>
      <c r="I41" s="42" t="n">
        <v>81.5</v>
      </c>
      <c r="J41" s="42" t="n">
        <v>66.40000000000001</v>
      </c>
      <c r="K41" s="42" t="n">
        <v>15.09999999999999</v>
      </c>
      <c r="L41" s="46" t="inlineStr">
        <is>
          <t>Moderate</t>
        </is>
      </c>
    </row>
    <row r="42" ht="16" customHeight="1">
      <c r="B42" s="19" t="inlineStr">
        <is>
          <t>IPGP</t>
        </is>
      </c>
      <c r="C42" s="20" t="inlineStr">
        <is>
          <t>IPG Photonics Corporation</t>
        </is>
      </c>
      <c r="D42" s="47" t="inlineStr">
        <is>
          <t>Breakout</t>
        </is>
      </c>
      <c r="E42" s="35" t="n">
        <v>72.90000000000001</v>
      </c>
      <c r="F42" s="35" t="n">
        <v>69.3</v>
      </c>
      <c r="G42" s="35" t="n">
        <v>76.40000000000001</v>
      </c>
      <c r="H42" s="35" t="n">
        <v>76.8</v>
      </c>
      <c r="I42" s="35" t="n">
        <v>76.8</v>
      </c>
      <c r="J42" s="35" t="n">
        <v>69.3</v>
      </c>
      <c r="K42" s="35" t="n">
        <v>7.5</v>
      </c>
      <c r="L42" s="27" t="inlineStr">
        <is>
          <t>Stable</t>
        </is>
      </c>
    </row>
    <row r="43" ht="16" customHeight="1">
      <c r="B43" s="24" t="inlineStr">
        <is>
          <t>ESAB</t>
        </is>
      </c>
      <c r="C43" s="25" t="inlineStr">
        <is>
          <t>ESAB Corporation</t>
        </is>
      </c>
      <c r="D43" s="50" t="inlineStr">
        <is>
          <t>Breakout</t>
        </is>
      </c>
      <c r="E43" s="42" t="n">
        <v>72</v>
      </c>
      <c r="F43" s="42" t="n">
        <v>68</v>
      </c>
      <c r="G43" s="42" t="n">
        <v>76.8</v>
      </c>
      <c r="H43" s="42" t="n">
        <v>73.40000000000001</v>
      </c>
      <c r="I43" s="42" t="n">
        <v>76.8</v>
      </c>
      <c r="J43" s="42" t="n">
        <v>68</v>
      </c>
      <c r="K43" s="42" t="n">
        <v>8.799999999999997</v>
      </c>
      <c r="L43" s="27" t="inlineStr">
        <is>
          <t>Stable</t>
        </is>
      </c>
    </row>
    <row r="44" ht="16" customHeight="1">
      <c r="B44" s="19" t="inlineStr">
        <is>
          <t>PINS</t>
        </is>
      </c>
      <c r="C44" s="20" t="inlineStr">
        <is>
          <t>Pinterest, Inc.</t>
        </is>
      </c>
      <c r="D44" s="47" t="inlineStr">
        <is>
          <t>Breakout</t>
        </is>
      </c>
      <c r="E44" s="35" t="n">
        <v>71.90000000000001</v>
      </c>
      <c r="F44" s="35" t="n">
        <v>67.8</v>
      </c>
      <c r="G44" s="35" t="n">
        <v>75.90000000000001</v>
      </c>
      <c r="H44" s="35" t="n">
        <v>75.90000000000001</v>
      </c>
      <c r="I44" s="35" t="n">
        <v>75.90000000000001</v>
      </c>
      <c r="J44" s="35" t="n">
        <v>67.8</v>
      </c>
      <c r="K44" s="35" t="n">
        <v>8.100000000000009</v>
      </c>
      <c r="L44" s="27" t="inlineStr">
        <is>
          <t>Stable</t>
        </is>
      </c>
    </row>
    <row r="45" ht="16" customHeight="1">
      <c r="B45" s="24" t="inlineStr">
        <is>
          <t>RVTY</t>
        </is>
      </c>
      <c r="C45" s="25" t="inlineStr">
        <is>
          <t>Revvity, Inc.</t>
        </is>
      </c>
      <c r="D45" s="50" t="inlineStr">
        <is>
          <t>Breakout</t>
        </is>
      </c>
      <c r="E45" s="42" t="n">
        <v>71.09999999999999</v>
      </c>
      <c r="F45" s="42" t="n">
        <v>65.7</v>
      </c>
      <c r="G45" s="42" t="n">
        <v>76.90000000000001</v>
      </c>
      <c r="H45" s="42" t="n">
        <v>75</v>
      </c>
      <c r="I45" s="42" t="n">
        <v>76.90000000000001</v>
      </c>
      <c r="J45" s="42" t="n">
        <v>65.7</v>
      </c>
      <c r="K45" s="42" t="n">
        <v>11.2</v>
      </c>
      <c r="L45" s="46" t="inlineStr">
        <is>
          <t>Moderate</t>
        </is>
      </c>
    </row>
    <row r="47">
      <c r="B47" s="91" t="inlineStr">
        <is>
          <t>Note: Stocks with high Score Range are ranking artifacts — their attractiveness depends heavily on your investment philosophy.</t>
        </is>
      </c>
    </row>
    <row r="49" ht="22" customHeight="1">
      <c r="B49" s="16" t="inlineStr">
        <is>
          <t>TORNADO ANALYSIS — KULR (Score Impact of ±10% Weight Changes)</t>
        </is>
      </c>
      <c r="C49" s="17" t="n"/>
      <c r="D49" s="17" t="n"/>
      <c r="E49" s="17" t="n"/>
      <c r="F49" s="17" t="n"/>
      <c r="G49" s="17" t="n"/>
      <c r="H49" s="17" t="n"/>
      <c r="I49" s="17" t="n"/>
      <c r="J49" s="17" t="n"/>
      <c r="K49" s="17" t="n"/>
      <c r="L49" s="17" t="n"/>
      <c r="M49" s="17" t="n"/>
    </row>
    <row r="50" ht="18" customHeight="1">
      <c r="B50" s="18" t="inlineStr">
        <is>
          <t>Component</t>
        </is>
      </c>
      <c r="C50" s="18" t="inlineStr">
        <is>
          <t>−10% Impact</t>
        </is>
      </c>
      <c r="D50" s="18" t="inlineStr">
        <is>
          <t>+10% Impact</t>
        </is>
      </c>
    </row>
    <row r="51" ht="16" customHeight="1">
      <c r="B51" s="20" t="inlineStr">
        <is>
          <t>Rev Growth</t>
        </is>
      </c>
      <c r="C51" s="92" t="n">
        <v>-0.9</v>
      </c>
      <c r="D51" s="92" t="n">
        <v>0.78</v>
      </c>
    </row>
    <row r="52" ht="16" customHeight="1">
      <c r="B52" s="25" t="inlineStr">
        <is>
          <t>Gross Margin</t>
        </is>
      </c>
      <c r="C52" s="93" t="n">
        <v>0.9</v>
      </c>
      <c r="D52" s="93" t="n">
        <v>-0.72</v>
      </c>
    </row>
    <row r="53" ht="16" customHeight="1">
      <c r="B53" s="20" t="inlineStr">
        <is>
          <t>Dilution</t>
        </is>
      </c>
      <c r="C53" s="92" t="n">
        <v>-0.9</v>
      </c>
      <c r="D53" s="92" t="n">
        <v>0.78</v>
      </c>
    </row>
    <row r="54" ht="16" customHeight="1">
      <c r="B54" s="25" t="inlineStr">
        <is>
          <t>Insider Own</t>
        </is>
      </c>
      <c r="C54" s="93" t="n">
        <v>2.76</v>
      </c>
      <c r="D54" s="93" t="n">
        <v>-2.22</v>
      </c>
    </row>
    <row r="55" ht="16" customHeight="1">
      <c r="B55" s="20" t="inlineStr">
        <is>
          <t>Acceleration</t>
        </is>
      </c>
      <c r="C55" s="92" t="n">
        <v>-0.9</v>
      </c>
      <c r="D55" s="92" t="n">
        <v>0.78</v>
      </c>
    </row>
  </sheetData>
  <mergeCells count="6">
    <mergeCell ref="B47:M47"/>
    <mergeCell ref="A1:M1"/>
    <mergeCell ref="B14:M14"/>
    <mergeCell ref="B49:M49"/>
    <mergeCell ref="B4:M4"/>
    <mergeCell ref="A2:M2"/>
  </mergeCells>
  <conditionalFormatting sqref="E16:E45">
    <cfRule type="colorScale" priority="1">
      <colorScale>
        <cfvo type="num" val="0"/>
        <cfvo type="num" val="50"/>
        <cfvo type="num" val="100"/>
        <color rgb="00C1121F"/>
        <color rgb="00F9C74F"/>
        <color rgb="001A6B3C"/>
      </colorScale>
    </cfRule>
  </conditionalFormatting>
  <conditionalFormatting sqref="F16:F45">
    <cfRule type="colorScale" priority="2">
      <colorScale>
        <cfvo type="num" val="0"/>
        <cfvo type="num" val="50"/>
        <cfvo type="num" val="100"/>
        <color rgb="00C1121F"/>
        <color rgb="00F9C74F"/>
        <color rgb="001A6B3C"/>
      </colorScale>
    </cfRule>
  </conditionalFormatting>
  <conditionalFormatting sqref="G16:G45">
    <cfRule type="colorScale" priority="3">
      <colorScale>
        <cfvo type="num" val="0"/>
        <cfvo type="num" val="50"/>
        <cfvo type="num" val="100"/>
        <color rgb="00C1121F"/>
        <color rgb="00F9C74F"/>
        <color rgb="001A6B3C"/>
      </colorScale>
    </cfRule>
  </conditionalFormatting>
  <conditionalFormatting sqref="H16:H45">
    <cfRule type="colorScale" priority="4">
      <colorScale>
        <cfvo type="num" val="0"/>
        <cfvo type="num" val="50"/>
        <cfvo type="num" val="100"/>
        <color rgb="00C1121F"/>
        <color rgb="00F9C74F"/>
        <color rgb="001A6B3C"/>
      </colorScale>
    </cfRule>
  </conditionalFormatting>
  <conditionalFormatting sqref="K16:K45">
    <cfRule type="cellIs" priority="5" operator="greaterThan" dxfId="0">
      <formula>20</formula>
    </cfRule>
  </conditionalFormatting>
  <dataValidations count="1">
    <dataValidation sqref="C5" showDropDown="0" showInputMessage="0" showErrorMessage="0" allowBlank="1" errorTitle="Invalid Selection" error="Please select a valid scenario" type="list">
      <formula1>"Baseline,Growth Focus,Quality Focus,Insider Focus,Custom"</formula1>
    </dataValidation>
  </dataValidations>
  <pageMargins left="0.75" right="0.75" top="1" bottom="1" header="0.5" footer="0.5"/>
  <pageSetup orientation="landscape" fitToWidth="1"/>
  <drawing xmlns:r="http://schemas.openxmlformats.org/officeDocument/2006/relationships" r:id="rId1"/>
</worksheet>
</file>

<file path=xl/worksheets/sheet11.xml><?xml version="1.0" encoding="utf-8"?>
<worksheet xmlns="http://schemas.openxmlformats.org/spreadsheetml/2006/main">
  <sheetPr>
    <tabColor rgb="004FC3F7"/>
    <outlinePr summaryBelow="1" summaryRight="1"/>
    <pageSetUpPr fitToPage="1"/>
  </sheetPr>
  <dimension ref="A1:K2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8" customHeight="1">
      <c r="A1" s="30" t="inlineStr">
        <is>
          <t>QUARTERLY REVENUE TRENDS</t>
        </is>
      </c>
      <c r="B1" s="11" t="n"/>
      <c r="C1" s="11" t="n"/>
      <c r="D1" s="11" t="n"/>
      <c r="E1" s="11" t="n"/>
      <c r="F1" s="11" t="n"/>
      <c r="G1" s="11" t="n"/>
      <c r="H1" s="11" t="n"/>
      <c r="I1" s="11" t="n"/>
      <c r="J1" s="11" t="n"/>
      <c r="K1" s="11" t="n"/>
    </row>
    <row r="2" ht="22" customHeight="1">
      <c r="A2" s="31" t="inlineStr">
        <is>
          <t>Last 8 quarters of revenue and margin by company  |  June 06, 2026</t>
        </is>
      </c>
      <c r="B2" s="12" t="n"/>
      <c r="C2" s="12" t="n"/>
      <c r="D2" s="12" t="n"/>
      <c r="E2" s="12" t="n"/>
      <c r="F2" s="12" t="n"/>
      <c r="G2" s="12" t="n"/>
      <c r="H2" s="12" t="n"/>
      <c r="I2" s="12" t="n"/>
      <c r="J2" s="12" t="n"/>
      <c r="K2" s="12" t="n"/>
    </row>
    <row r="3" ht="8" customHeight="1"/>
    <row r="4" ht="22" customHeight="1">
      <c r="A4" s="16" t="inlineStr">
        <is>
          <t xml:space="preserve">  Nano Cap</t>
        </is>
      </c>
      <c r="B4" s="17" t="n"/>
      <c r="C4" s="17" t="n"/>
      <c r="D4" s="17" t="n"/>
      <c r="E4" s="17" t="n"/>
      <c r="F4" s="17" t="n"/>
      <c r="G4" s="17" t="n"/>
      <c r="H4" s="17" t="n"/>
      <c r="I4" s="17" t="n"/>
      <c r="J4" s="17" t="n"/>
      <c r="K4" s="17" t="n"/>
    </row>
    <row r="5" ht="18" customHeight="1">
      <c r="A5" s="94" t="inlineStr">
        <is>
          <t>KULR  —  KULR Technology Group, Inc.</t>
        </is>
      </c>
      <c r="C5" s="38" t="inlineStr">
        <is>
          <t>Nano Cap</t>
        </is>
      </c>
      <c r="D5" s="75" t="inlineStr">
        <is>
          <t>Mkt Cap: $176M</t>
        </is>
      </c>
      <c r="E5" s="95" t="n"/>
      <c r="F5" s="95" t="n"/>
      <c r="G5" s="95" t="n"/>
      <c r="H5" s="95" t="n"/>
      <c r="I5" s="95" t="n"/>
      <c r="J5" s="95" t="n"/>
      <c r="K5" s="95" t="n"/>
    </row>
    <row r="6" ht="16" customHeight="1">
      <c r="A6" s="96" t="inlineStr"/>
      <c r="B6" s="18" t="inlineStr">
        <is>
          <t>Quarter</t>
        </is>
      </c>
      <c r="C6" s="18" t="inlineStr">
        <is>
          <t>2024-06-30</t>
        </is>
      </c>
      <c r="D6" s="18" t="inlineStr">
        <is>
          <t>2024-09-30</t>
        </is>
      </c>
      <c r="E6" s="18" t="inlineStr">
        <is>
          <t>2024-12-31</t>
        </is>
      </c>
      <c r="F6" s="18" t="inlineStr">
        <is>
          <t>2025-03-31</t>
        </is>
      </c>
      <c r="G6" s="18" t="inlineStr">
        <is>
          <t>2025-06-30</t>
        </is>
      </c>
      <c r="H6" s="18" t="inlineStr">
        <is>
          <t>2025-09-30</t>
        </is>
      </c>
      <c r="I6" s="18" t="inlineStr">
        <is>
          <t>2025-12-31</t>
        </is>
      </c>
      <c r="J6" s="18" t="inlineStr">
        <is>
          <t>2026-03-31</t>
        </is>
      </c>
    </row>
    <row r="7" ht="16" customHeight="1">
      <c r="A7" s="96" t="inlineStr"/>
      <c r="B7" s="67" t="inlineStr">
        <is>
          <t>Revenue ($M)</t>
        </is>
      </c>
      <c r="C7" s="97" t="n">
        <v>2.432005</v>
      </c>
      <c r="D7" s="97" t="n">
        <v>3.185778</v>
      </c>
      <c r="E7" s="97" t="n">
        <v>3.370594</v>
      </c>
      <c r="F7" s="97" t="n">
        <v>2.448606</v>
      </c>
      <c r="G7" s="97" t="n">
        <v>3.972997</v>
      </c>
      <c r="H7" s="97" t="n">
        <v>6.88484</v>
      </c>
      <c r="I7" s="97" t="n">
        <v>2.863961</v>
      </c>
      <c r="J7" s="97" t="n">
        <v>4.84643</v>
      </c>
    </row>
    <row r="8" ht="16" customHeight="1">
      <c r="A8" s="96" t="inlineStr"/>
      <c r="B8" s="94" t="inlineStr">
        <is>
          <t>Gross Margin %</t>
        </is>
      </c>
      <c r="C8" s="72" t="n">
        <v>0.235</v>
      </c>
      <c r="D8" s="72" t="n">
        <v>0.7090000000000001</v>
      </c>
      <c r="E8" s="72" t="n">
        <v>0.636</v>
      </c>
      <c r="F8" s="72" t="n">
        <v>0.08400000000000001</v>
      </c>
      <c r="G8" s="72" t="n">
        <v>0.18</v>
      </c>
      <c r="H8" s="72" t="n">
        <v>0.091</v>
      </c>
      <c r="I8" s="72" t="n">
        <v>-0.272</v>
      </c>
      <c r="J8" s="72" t="n">
        <v>0.292</v>
      </c>
    </row>
    <row r="9" ht="16" customHeight="1">
      <c r="A9" s="96" t="inlineStr"/>
      <c r="B9" s="25" t="inlineStr">
        <is>
          <t>QoQ Rev Growth</t>
        </is>
      </c>
      <c r="C9" s="50" t="n"/>
      <c r="D9" s="76" t="n">
        <v>0.3099389187111046</v>
      </c>
      <c r="E9" s="76" t="n">
        <v>0.05801283077477464</v>
      </c>
      <c r="F9" s="76" t="n">
        <v>-0.2735387293752971</v>
      </c>
      <c r="G9" s="76" t="n">
        <v>0.6225546290419937</v>
      </c>
      <c r="H9" s="76" t="n">
        <v>0.7329084315945872</v>
      </c>
      <c r="I9" s="76" t="n">
        <v>-0.5840192364673689</v>
      </c>
      <c r="J9" s="76" t="n">
        <v>0.6922122892036588</v>
      </c>
    </row>
    <row r="10" ht="16" customHeight="1">
      <c r="A10" s="96" t="inlineStr"/>
      <c r="B10" s="20" t="inlineStr">
        <is>
          <t>YoY Rev Growth</t>
        </is>
      </c>
      <c r="C10" s="47" t="n"/>
      <c r="D10" s="47" t="n"/>
      <c r="E10" s="47" t="n"/>
      <c r="F10" s="47" t="n"/>
      <c r="G10" s="72" t="n">
        <v>0.6336302762535438</v>
      </c>
      <c r="H10" s="72" t="n">
        <v>1.161117315770277</v>
      </c>
      <c r="I10" s="72" t="n">
        <v>-0.1503097080217908</v>
      </c>
      <c r="J10" s="72" t="n">
        <v>0.979260852909778</v>
      </c>
    </row>
    <row r="11" ht="8" customHeight="1"/>
    <row r="12" ht="18" customHeight="1">
      <c r="A12" s="94" t="inlineStr">
        <is>
          <t>KVHI  —  KVH Industries, Inc.</t>
        </is>
      </c>
      <c r="C12" s="38" t="inlineStr">
        <is>
          <t>Nano Cap</t>
        </is>
      </c>
      <c r="D12" s="75" t="inlineStr">
        <is>
          <t>Mkt Cap: $147M</t>
        </is>
      </c>
      <c r="E12" s="95" t="n"/>
      <c r="F12" s="95" t="n"/>
      <c r="G12" s="95" t="n"/>
      <c r="H12" s="95" t="n"/>
      <c r="I12" s="95" t="n"/>
      <c r="J12" s="95" t="n"/>
      <c r="K12" s="95" t="n"/>
    </row>
    <row r="13" ht="16" customHeight="1">
      <c r="A13" s="96" t="inlineStr"/>
      <c r="B13" s="18" t="inlineStr">
        <is>
          <t>Quarter</t>
        </is>
      </c>
      <c r="C13" s="18" t="inlineStr">
        <is>
          <t>2024-06-30</t>
        </is>
      </c>
      <c r="D13" s="18" t="inlineStr">
        <is>
          <t>2024-09-30</t>
        </is>
      </c>
      <c r="E13" s="18" t="inlineStr">
        <is>
          <t>2024-12-31</t>
        </is>
      </c>
      <c r="F13" s="18" t="inlineStr">
        <is>
          <t>2025-03-31</t>
        </is>
      </c>
      <c r="G13" s="18" t="inlineStr">
        <is>
          <t>2025-06-30</t>
        </is>
      </c>
      <c r="H13" s="18" t="inlineStr">
        <is>
          <t>2025-09-30</t>
        </is>
      </c>
      <c r="I13" s="18" t="inlineStr">
        <is>
          <t>2025-12-31</t>
        </is>
      </c>
      <c r="J13" s="18" t="inlineStr">
        <is>
          <t>2026-03-31</t>
        </is>
      </c>
    </row>
    <row r="14" ht="16" customHeight="1">
      <c r="A14" s="96" t="inlineStr"/>
      <c r="B14" s="67" t="inlineStr">
        <is>
          <t>Revenue ($M)</t>
        </is>
      </c>
      <c r="C14" s="97" t="n">
        <v>28.673</v>
      </c>
      <c r="D14" s="97" t="n">
        <v>28.971</v>
      </c>
      <c r="E14" s="97" t="n">
        <v>26.917</v>
      </c>
      <c r="F14" s="97" t="n">
        <v>25.414</v>
      </c>
      <c r="G14" s="97" t="n">
        <v>26.623</v>
      </c>
      <c r="H14" s="97" t="n">
        <v>28.453</v>
      </c>
      <c r="I14" s="97" t="n">
        <v>30.519</v>
      </c>
      <c r="J14" s="97" t="n">
        <v>32.318</v>
      </c>
    </row>
    <row r="15" ht="16" customHeight="1">
      <c r="A15" s="96" t="inlineStr"/>
      <c r="B15" s="94" t="inlineStr">
        <is>
          <t>Gross Margin %</t>
        </is>
      </c>
      <c r="C15" s="72" t="n">
        <v>0.311</v>
      </c>
      <c r="D15" s="72" t="n">
        <v>0.32</v>
      </c>
      <c r="E15" s="72" t="n">
        <v>0.265</v>
      </c>
      <c r="F15" s="72" t="n">
        <v>0.293</v>
      </c>
      <c r="G15" s="72" t="n">
        <v>0.343</v>
      </c>
      <c r="H15" s="72" t="n">
        <v>0.067</v>
      </c>
      <c r="I15" s="72" t="n">
        <v>0.295</v>
      </c>
      <c r="J15" s="72" t="n">
        <v>0.289</v>
      </c>
    </row>
    <row r="16" ht="16" customHeight="1">
      <c r="A16" s="96" t="inlineStr"/>
      <c r="B16" s="25" t="inlineStr">
        <is>
          <t>QoQ Rev Growth</t>
        </is>
      </c>
      <c r="C16" s="50" t="n"/>
      <c r="D16" s="76" t="n">
        <v>0.01039305269765982</v>
      </c>
      <c r="E16" s="76" t="n">
        <v>-0.07089848469158815</v>
      </c>
      <c r="F16" s="76" t="n">
        <v>-0.05583831779173013</v>
      </c>
      <c r="G16" s="76" t="n">
        <v>0.04757220429684426</v>
      </c>
      <c r="H16" s="76" t="n">
        <v>0.06873755775081697</v>
      </c>
      <c r="I16" s="76" t="n">
        <v>0.07261097248093347</v>
      </c>
      <c r="J16" s="76" t="n">
        <v>0.05894688554670861</v>
      </c>
    </row>
    <row r="17" ht="16" customHeight="1">
      <c r="A17" s="96" t="inlineStr"/>
      <c r="B17" s="20" t="inlineStr">
        <is>
          <t>YoY Rev Growth</t>
        </is>
      </c>
      <c r="C17" s="47" t="n"/>
      <c r="D17" s="47" t="n"/>
      <c r="E17" s="47" t="n"/>
      <c r="F17" s="47" t="n"/>
      <c r="G17" s="72" t="n">
        <v>-0.07149583231611621</v>
      </c>
      <c r="H17" s="72" t="n">
        <v>-0.01787994891443167</v>
      </c>
      <c r="I17" s="72" t="n">
        <v>0.1338187762380652</v>
      </c>
      <c r="J17" s="72" t="n">
        <v>0.2716612890532777</v>
      </c>
    </row>
    <row r="18" ht="8" customHeight="1"/>
    <row r="19" ht="18" customHeight="1">
      <c r="A19" s="94" t="inlineStr">
        <is>
          <t>INTT  —  inTEST Corporation</t>
        </is>
      </c>
      <c r="C19" s="38" t="inlineStr">
        <is>
          <t>Nano Cap</t>
        </is>
      </c>
      <c r="D19" s="75" t="inlineStr">
        <is>
          <t>Mkt Cap: $184M</t>
        </is>
      </c>
      <c r="E19" s="95" t="n"/>
      <c r="F19" s="95" t="n"/>
      <c r="G19" s="95" t="n"/>
      <c r="H19" s="95" t="n"/>
      <c r="I19" s="95" t="n"/>
      <c r="J19" s="95" t="n"/>
      <c r="K19" s="95" t="n"/>
    </row>
    <row r="20" ht="16" customHeight="1">
      <c r="A20" s="96" t="inlineStr"/>
      <c r="B20" s="18" t="inlineStr">
        <is>
          <t>Quarter</t>
        </is>
      </c>
      <c r="C20" s="18" t="inlineStr">
        <is>
          <t>2024-06-30</t>
        </is>
      </c>
      <c r="D20" s="18" t="inlineStr">
        <is>
          <t>2024-09-30</t>
        </is>
      </c>
      <c r="E20" s="18" t="inlineStr">
        <is>
          <t>2024-12-31</t>
        </is>
      </c>
      <c r="F20" s="18" t="inlineStr">
        <is>
          <t>2025-03-31</t>
        </is>
      </c>
      <c r="G20" s="18" t="inlineStr">
        <is>
          <t>2025-06-30</t>
        </is>
      </c>
      <c r="H20" s="18" t="inlineStr">
        <is>
          <t>2025-09-30</t>
        </is>
      </c>
      <c r="I20" s="18" t="inlineStr">
        <is>
          <t>2025-12-31</t>
        </is>
      </c>
      <c r="J20" s="18" t="inlineStr">
        <is>
          <t>2026-03-31</t>
        </is>
      </c>
    </row>
    <row r="21" ht="16" customHeight="1">
      <c r="A21" s="96" t="inlineStr"/>
      <c r="B21" s="67" t="inlineStr">
        <is>
          <t>Revenue ($M)</t>
        </is>
      </c>
      <c r="C21" s="97" t="n">
        <v>33.991</v>
      </c>
      <c r="D21" s="97" t="n">
        <v>30.272</v>
      </c>
      <c r="E21" s="97" t="n">
        <v>36.603</v>
      </c>
      <c r="F21" s="97" t="n">
        <v>26.637</v>
      </c>
      <c r="G21" s="97" t="n">
        <v>28.13</v>
      </c>
      <c r="H21" s="97" t="n">
        <v>26.236</v>
      </c>
      <c r="I21" s="97" t="n">
        <v>32.822</v>
      </c>
      <c r="J21" s="97" t="n">
        <v>33.886</v>
      </c>
    </row>
    <row r="22" ht="16" customHeight="1">
      <c r="A22" s="96" t="inlineStr"/>
      <c r="B22" s="94" t="inlineStr">
        <is>
          <t>Gross Margin %</t>
        </is>
      </c>
      <c r="C22" s="72" t="n">
        <v>0.406</v>
      </c>
      <c r="D22" s="72" t="n">
        <v>0.463</v>
      </c>
      <c r="E22" s="72" t="n">
        <v>0.397</v>
      </c>
      <c r="F22" s="72" t="n">
        <v>0.415</v>
      </c>
      <c r="G22" s="72" t="n">
        <v>0.426</v>
      </c>
      <c r="H22" s="72" t="n">
        <v>0.419</v>
      </c>
      <c r="I22" s="72" t="n">
        <v>0.454</v>
      </c>
      <c r="J22" s="72" t="n">
        <v>0.4320000000000001</v>
      </c>
    </row>
    <row r="23" ht="16" customHeight="1">
      <c r="A23" s="96" t="inlineStr"/>
      <c r="B23" s="25" t="inlineStr">
        <is>
          <t>QoQ Rev Growth</t>
        </is>
      </c>
      <c r="C23" s="50" t="n"/>
      <c r="D23" s="76" t="n">
        <v>-0.1094113147597894</v>
      </c>
      <c r="E23" s="76" t="n">
        <v>0.209137156448203</v>
      </c>
      <c r="F23" s="76" t="n">
        <v>-0.2722727645274978</v>
      </c>
      <c r="G23" s="76" t="n">
        <v>0.05604985546420393</v>
      </c>
      <c r="H23" s="76" t="n">
        <v>-0.06733025239957341</v>
      </c>
      <c r="I23" s="76" t="n">
        <v>0.2510291202927276</v>
      </c>
      <c r="J23" s="76" t="n">
        <v>0.03241728109195052</v>
      </c>
    </row>
    <row r="24" ht="16" customHeight="1">
      <c r="A24" s="96" t="inlineStr"/>
      <c r="B24" s="20" t="inlineStr">
        <is>
          <t>YoY Rev Growth</t>
        </is>
      </c>
      <c r="C24" s="47" t="n"/>
      <c r="D24" s="47" t="n"/>
      <c r="E24" s="47" t="n"/>
      <c r="F24" s="47" t="n"/>
      <c r="G24" s="72" t="n">
        <v>-0.1724279956459063</v>
      </c>
      <c r="H24" s="72" t="n">
        <v>-0.1333245243128964</v>
      </c>
      <c r="I24" s="72" t="n">
        <v>-0.1032975439171653</v>
      </c>
      <c r="J24" s="72" t="n">
        <v>0.2721402560348388</v>
      </c>
    </row>
    <row r="25" ht="8" customHeight="1"/>
    <row r="26" ht="18" customHeight="1">
      <c r="A26" s="94" t="inlineStr">
        <is>
          <t>CODA  —  Coda Octopus Group, Inc.</t>
        </is>
      </c>
      <c r="C26" s="38" t="inlineStr">
        <is>
          <t>Nano Cap</t>
        </is>
      </c>
      <c r="D26" s="75" t="inlineStr">
        <is>
          <t>Mkt Cap: $133M</t>
        </is>
      </c>
      <c r="E26" s="95" t="n"/>
      <c r="F26" s="95" t="n"/>
      <c r="G26" s="95" t="n"/>
      <c r="H26" s="95" t="n"/>
      <c r="I26" s="95" t="n"/>
      <c r="J26" s="95" t="n"/>
      <c r="K26" s="95" t="n"/>
    </row>
    <row r="27" ht="16" customHeight="1">
      <c r="A27" s="96" t="inlineStr"/>
      <c r="B27" s="18" t="inlineStr">
        <is>
          <t>Quarter</t>
        </is>
      </c>
      <c r="C27" s="18" t="inlineStr">
        <is>
          <t>2024-04-30</t>
        </is>
      </c>
      <c r="D27" s="18" t="inlineStr">
        <is>
          <t>2024-07-31</t>
        </is>
      </c>
      <c r="E27" s="18" t="inlineStr">
        <is>
          <t>2024-10-31</t>
        </is>
      </c>
      <c r="F27" s="18" t="inlineStr">
        <is>
          <t>2025-01-31</t>
        </is>
      </c>
      <c r="G27" s="18" t="inlineStr">
        <is>
          <t>2025-04-30</t>
        </is>
      </c>
      <c r="H27" s="18" t="inlineStr">
        <is>
          <t>2025-07-31</t>
        </is>
      </c>
      <c r="I27" s="18" t="inlineStr">
        <is>
          <t>2025-10-31</t>
        </is>
      </c>
      <c r="J27" s="18" t="inlineStr">
        <is>
          <t>2026-01-31</t>
        </is>
      </c>
    </row>
    <row r="28" ht="16" customHeight="1">
      <c r="A28" s="96" t="inlineStr"/>
      <c r="B28" s="67" t="inlineStr">
        <is>
          <t>Revenue ($M)</t>
        </is>
      </c>
      <c r="C28" s="97" t="n">
        <v>5.323178</v>
      </c>
      <c r="D28" s="97" t="n">
        <v>5.476544</v>
      </c>
      <c r="E28" s="97" t="n">
        <v>5.055248</v>
      </c>
      <c r="F28" s="97" t="n">
        <v>5.209715</v>
      </c>
      <c r="G28" s="97" t="n">
        <v>7.017459</v>
      </c>
      <c r="H28" s="97" t="n">
        <v>7.064795</v>
      </c>
      <c r="I28" s="97" t="n">
        <v>7.271157</v>
      </c>
      <c r="J28" s="97" t="n">
        <v>6.710112</v>
      </c>
    </row>
    <row r="29" ht="16" customHeight="1">
      <c r="A29" s="96" t="inlineStr"/>
      <c r="B29" s="94" t="inlineStr">
        <is>
          <t>Gross Margin %</t>
        </is>
      </c>
      <c r="C29" s="72" t="n">
        <v>0.7020000000000001</v>
      </c>
      <c r="D29" s="72" t="n">
        <v>0.7390000000000001</v>
      </c>
      <c r="E29" s="72" t="n">
        <v>0.653</v>
      </c>
      <c r="F29" s="72" t="n">
        <v>0.6579999999999999</v>
      </c>
      <c r="G29" s="72" t="n">
        <v>0.6409999999999999</v>
      </c>
      <c r="H29" s="72" t="n">
        <v>0.6829999999999999</v>
      </c>
      <c r="I29" s="72" t="n">
        <v>0.6759999999999999</v>
      </c>
      <c r="J29" s="72" t="n">
        <v>0.6509999999999999</v>
      </c>
    </row>
    <row r="30" ht="16" customHeight="1">
      <c r="A30" s="96" t="inlineStr"/>
      <c r="B30" s="25" t="inlineStr">
        <is>
          <t>QoQ Rev Growth</t>
        </is>
      </c>
      <c r="C30" s="50" t="n"/>
      <c r="D30" s="76" t="n">
        <v>0.02881098471627287</v>
      </c>
      <c r="E30" s="76" t="n">
        <v>-0.07692734688153698</v>
      </c>
      <c r="F30" s="76" t="n">
        <v>0.03055577095327469</v>
      </c>
      <c r="G30" s="76" t="n">
        <v>0.3469947972201934</v>
      </c>
      <c r="H30" s="76" t="n">
        <v>0.00674546156949403</v>
      </c>
      <c r="I30" s="76" t="n">
        <v>0.02920990630301375</v>
      </c>
      <c r="J30" s="76" t="n">
        <v>-0.07716034738350444</v>
      </c>
    </row>
    <row r="31" ht="16" customHeight="1">
      <c r="A31" s="96" t="inlineStr"/>
      <c r="B31" s="20" t="inlineStr">
        <is>
          <t>YoY Rev Growth</t>
        </is>
      </c>
      <c r="C31" s="47" t="n"/>
      <c r="D31" s="47" t="n"/>
      <c r="E31" s="47" t="n"/>
      <c r="F31" s="47" t="n"/>
      <c r="G31" s="72" t="n">
        <v>0.318283739525524</v>
      </c>
      <c r="H31" s="72" t="n">
        <v>0.2900097214593729</v>
      </c>
      <c r="I31" s="72" t="n">
        <v>0.438338336714638</v>
      </c>
      <c r="J31" s="72" t="n">
        <v>0.2879998234068467</v>
      </c>
    </row>
    <row r="32" ht="8" customHeight="1"/>
    <row r="33" ht="18" customHeight="1">
      <c r="A33" s="94" t="inlineStr">
        <is>
          <t>WSTL  —  Westell Technologies, Inc.</t>
        </is>
      </c>
      <c r="C33" s="38" t="inlineStr">
        <is>
          <t>Nano Cap</t>
        </is>
      </c>
      <c r="D33" s="75" t="inlineStr">
        <is>
          <t>Mkt Cap: $76M</t>
        </is>
      </c>
      <c r="E33" s="95" t="n"/>
      <c r="F33" s="95" t="n"/>
      <c r="G33" s="95" t="n"/>
      <c r="H33" s="95" t="n"/>
      <c r="I33" s="95" t="n"/>
      <c r="J33" s="95" t="n"/>
      <c r="K33" s="95" t="n"/>
    </row>
    <row r="34" ht="16" customHeight="1">
      <c r="A34" s="96" t="inlineStr"/>
      <c r="B34" s="18" t="inlineStr">
        <is>
          <t>Quarter</t>
        </is>
      </c>
      <c r="C34" s="18" t="inlineStr">
        <is>
          <t>2024-03-31</t>
        </is>
      </c>
      <c r="D34" s="18" t="inlineStr">
        <is>
          <t>2024-06-30</t>
        </is>
      </c>
      <c r="E34" s="18" t="inlineStr">
        <is>
          <t>2024-09-30</t>
        </is>
      </c>
      <c r="F34" s="18" t="inlineStr">
        <is>
          <t>2024-12-31</t>
        </is>
      </c>
      <c r="G34" s="18" t="inlineStr">
        <is>
          <t>2025-03-31</t>
        </is>
      </c>
      <c r="H34" s="18" t="inlineStr">
        <is>
          <t>2025-06-30</t>
        </is>
      </c>
      <c r="I34" s="18" t="inlineStr">
        <is>
          <t>2025-09-30</t>
        </is>
      </c>
      <c r="J34" s="18" t="inlineStr">
        <is>
          <t>2025-12-31</t>
        </is>
      </c>
    </row>
    <row r="35" ht="16" customHeight="1">
      <c r="A35" s="96" t="inlineStr"/>
      <c r="B35" s="67" t="inlineStr">
        <is>
          <t>Revenue ($M)</t>
        </is>
      </c>
      <c r="C35" s="97" t="n">
        <v>6.892</v>
      </c>
      <c r="D35" s="97" t="n">
        <v>8.914</v>
      </c>
      <c r="E35" s="97" t="n">
        <v>9.67</v>
      </c>
      <c r="F35" s="97" t="n">
        <v>9.816000000000001</v>
      </c>
      <c r="G35" s="97" t="n">
        <v>14.04</v>
      </c>
      <c r="H35" s="97" t="n">
        <v>19.942</v>
      </c>
      <c r="I35" s="97" t="n">
        <v>18.662</v>
      </c>
      <c r="J35" s="97" t="n">
        <v>14.386</v>
      </c>
    </row>
    <row r="36" ht="16" customHeight="1">
      <c r="A36" s="96" t="inlineStr"/>
      <c r="B36" s="94" t="inlineStr">
        <is>
          <t>Gross Margin %</t>
        </is>
      </c>
      <c r="C36" s="72" t="n">
        <v>0.33</v>
      </c>
      <c r="D36" s="72" t="n">
        <v>0.386</v>
      </c>
      <c r="E36" s="72" t="n">
        <v>0.373</v>
      </c>
      <c r="F36" s="72" t="n">
        <v>0.397</v>
      </c>
      <c r="G36" s="72" t="n">
        <v>0.439</v>
      </c>
      <c r="H36" s="72" t="n">
        <v>0.456</v>
      </c>
      <c r="I36" s="72" t="n">
        <v>0.441</v>
      </c>
      <c r="J36" s="72" t="n">
        <v>0.411</v>
      </c>
    </row>
    <row r="37" ht="16" customHeight="1">
      <c r="A37" s="96" t="inlineStr"/>
      <c r="B37" s="25" t="inlineStr">
        <is>
          <t>QoQ Rev Growth</t>
        </is>
      </c>
      <c r="C37" s="50" t="n"/>
      <c r="D37" s="76" t="n">
        <v>0.2933836331979106</v>
      </c>
      <c r="E37" s="76" t="n">
        <v>0.08481041059008301</v>
      </c>
      <c r="F37" s="76" t="n">
        <v>0.01509824198552223</v>
      </c>
      <c r="G37" s="76" t="n">
        <v>0.4303178484107579</v>
      </c>
      <c r="H37" s="76" t="n">
        <v>0.4203703703703704</v>
      </c>
      <c r="I37" s="76" t="n">
        <v>-0.06418613980543576</v>
      </c>
      <c r="J37" s="76" t="n">
        <v>-0.2291287107491158</v>
      </c>
    </row>
    <row r="38" ht="16" customHeight="1">
      <c r="A38" s="96" t="inlineStr"/>
      <c r="B38" s="20" t="inlineStr">
        <is>
          <t>YoY Rev Growth</t>
        </is>
      </c>
      <c r="C38" s="47" t="n"/>
      <c r="D38" s="47" t="n"/>
      <c r="E38" s="47" t="n"/>
      <c r="F38" s="47" t="n"/>
      <c r="G38" s="72" t="n">
        <v>1.037144515380151</v>
      </c>
      <c r="H38" s="72" t="n">
        <v>1.237155037020417</v>
      </c>
      <c r="I38" s="72" t="n">
        <v>0.9298862461220269</v>
      </c>
      <c r="J38" s="72" t="n">
        <v>0.4655664221678892</v>
      </c>
    </row>
    <row r="39" ht="8" customHeight="1"/>
    <row r="40" ht="18" customHeight="1">
      <c r="A40" s="94" t="inlineStr">
        <is>
          <t>SCTQ  —  Spectra Systems Corporation</t>
        </is>
      </c>
      <c r="C40" s="38" t="inlineStr">
        <is>
          <t>Nano Cap</t>
        </is>
      </c>
      <c r="D40" s="75" t="inlineStr">
        <is>
          <t>Mkt Cap: $102M</t>
        </is>
      </c>
      <c r="E40" s="95" t="n"/>
      <c r="F40" s="95" t="n"/>
      <c r="G40" s="95" t="n"/>
      <c r="H40" s="95" t="n"/>
      <c r="I40" s="95" t="n"/>
      <c r="J40" s="95" t="n"/>
      <c r="K40" s="95" t="n"/>
    </row>
    <row r="41" ht="16" customHeight="1">
      <c r="A41" s="96" t="inlineStr"/>
      <c r="B41" s="18" t="inlineStr">
        <is>
          <t>Quarter</t>
        </is>
      </c>
      <c r="C41" s="18" t="inlineStr">
        <is>
          <t>2022-06-30</t>
        </is>
      </c>
      <c r="D41" s="18" t="inlineStr">
        <is>
          <t>2022-12-31</t>
        </is>
      </c>
      <c r="E41" s="18" t="inlineStr">
        <is>
          <t>2023-06-30</t>
        </is>
      </c>
      <c r="F41" s="18" t="inlineStr">
        <is>
          <t>2023-12-31</t>
        </is>
      </c>
      <c r="G41" s="18" t="inlineStr">
        <is>
          <t>2024-06-30</t>
        </is>
      </c>
      <c r="H41" s="18" t="inlineStr">
        <is>
          <t>2024-12-31</t>
        </is>
      </c>
      <c r="I41" s="18" t="inlineStr">
        <is>
          <t>2025-06-30</t>
        </is>
      </c>
    </row>
    <row r="42" ht="16" customHeight="1">
      <c r="A42" s="96" t="inlineStr"/>
      <c r="B42" s="67" t="inlineStr">
        <is>
          <t>Revenue ($M)</t>
        </is>
      </c>
      <c r="C42" s="97" t="n">
        <v>8.699408</v>
      </c>
      <c r="D42" s="97" t="n">
        <v>10.671525</v>
      </c>
      <c r="E42" s="97" t="n">
        <v>5.8105</v>
      </c>
      <c r="F42" s="97" t="n">
        <v>4.3335</v>
      </c>
      <c r="G42" s="97" t="n">
        <v>22.739</v>
      </c>
      <c r="H42" s="97" t="n">
        <v>26.452</v>
      </c>
      <c r="I42" s="97" t="n">
        <v>34.965</v>
      </c>
    </row>
    <row r="43" ht="16" customHeight="1">
      <c r="A43" s="96" t="inlineStr"/>
      <c r="B43" s="94" t="inlineStr">
        <is>
          <t>Gross Margin %</t>
        </is>
      </c>
      <c r="C43" s="72" t="n">
        <v>0.6609999999999999</v>
      </c>
      <c r="D43" s="72" t="n">
        <v>0.594</v>
      </c>
      <c r="E43" s="72" t="n">
        <v>0.6920000000000001</v>
      </c>
      <c r="F43" s="72" t="n">
        <v>0.644</v>
      </c>
      <c r="G43" s="72" t="n">
        <v>0.5589999999999999</v>
      </c>
      <c r="H43" s="72" t="n">
        <v>0.408</v>
      </c>
      <c r="I43" s="72" t="n">
        <v>0.57</v>
      </c>
    </row>
    <row r="44" ht="16" customHeight="1">
      <c r="A44" s="96" t="inlineStr"/>
      <c r="B44" s="25" t="inlineStr">
        <is>
          <t>QoQ Rev Growth</t>
        </is>
      </c>
      <c r="C44" s="50" t="n"/>
      <c r="D44" s="76" t="n">
        <v>0.2266955406620772</v>
      </c>
      <c r="E44" s="76" t="n">
        <v>-0.4555136215301936</v>
      </c>
      <c r="F44" s="76" t="n">
        <v>-0.2541949918251442</v>
      </c>
      <c r="G44" s="76" t="n">
        <v>4.24725972077997</v>
      </c>
      <c r="H44" s="76" t="n">
        <v>0.1632877435243414</v>
      </c>
      <c r="I44" s="76" t="n">
        <v>0.3218282171480417</v>
      </c>
    </row>
    <row r="45" ht="16" customHeight="1">
      <c r="A45" s="96" t="inlineStr"/>
      <c r="B45" s="20" t="inlineStr">
        <is>
          <t>YoY Rev Growth</t>
        </is>
      </c>
      <c r="C45" s="47" t="n"/>
      <c r="D45" s="47" t="n"/>
      <c r="E45" s="47" t="n"/>
      <c r="F45" s="47" t="n"/>
      <c r="G45" s="72" t="n">
        <v>1.613856023306413</v>
      </c>
      <c r="H45" s="72" t="n">
        <v>1.478746008653871</v>
      </c>
      <c r="I45" s="72" t="n">
        <v>5.017554427329834</v>
      </c>
    </row>
    <row r="46" ht="8" customHeight="1"/>
    <row r="47" ht="18" customHeight="1">
      <c r="A47" s="94" t="inlineStr">
        <is>
          <t>ESP  —  Espey Mfg. &amp; Electronics Corp.</t>
        </is>
      </c>
      <c r="C47" s="38" t="inlineStr">
        <is>
          <t>Nano Cap</t>
        </is>
      </c>
      <c r="D47" s="75" t="inlineStr">
        <is>
          <t>Mkt Cap: $166M</t>
        </is>
      </c>
      <c r="E47" s="95" t="n"/>
      <c r="F47" s="95" t="n"/>
      <c r="G47" s="95" t="n"/>
      <c r="H47" s="95" t="n"/>
      <c r="I47" s="95" t="n"/>
      <c r="J47" s="95" t="n"/>
      <c r="K47" s="95" t="n"/>
    </row>
    <row r="48" ht="16" customHeight="1">
      <c r="A48" s="96" t="inlineStr"/>
      <c r="B48" s="18" t="inlineStr">
        <is>
          <t>Quarter</t>
        </is>
      </c>
      <c r="C48" s="18" t="inlineStr">
        <is>
          <t>2024-06-30</t>
        </is>
      </c>
      <c r="D48" s="18" t="inlineStr">
        <is>
          <t>2024-09-30</t>
        </is>
      </c>
      <c r="E48" s="18" t="inlineStr">
        <is>
          <t>2024-12-31</t>
        </is>
      </c>
      <c r="F48" s="18" t="inlineStr">
        <is>
          <t>2025-03-31</t>
        </is>
      </c>
      <c r="G48" s="18" t="inlineStr">
        <is>
          <t>2025-06-30</t>
        </is>
      </c>
      <c r="H48" s="18" t="inlineStr">
        <is>
          <t>2025-09-30</t>
        </is>
      </c>
      <c r="I48" s="18" t="inlineStr">
        <is>
          <t>2025-12-31</t>
        </is>
      </c>
      <c r="J48" s="18" t="inlineStr">
        <is>
          <t>2026-03-31</t>
        </is>
      </c>
    </row>
    <row r="49" ht="16" customHeight="1">
      <c r="A49" s="96" t="inlineStr"/>
      <c r="B49" s="67" t="inlineStr">
        <is>
          <t>Revenue ($M)</t>
        </is>
      </c>
      <c r="C49" s="97" t="n">
        <v>11.610911</v>
      </c>
      <c r="D49" s="97" t="n">
        <v>10.443218</v>
      </c>
      <c r="E49" s="97" t="n">
        <v>13.60874</v>
      </c>
      <c r="F49" s="97" t="n">
        <v>10.302719</v>
      </c>
      <c r="G49" s="97" t="n">
        <v>9.596195</v>
      </c>
      <c r="H49" s="97" t="n">
        <v>9.092876</v>
      </c>
      <c r="I49" s="97" t="n">
        <v>12.136903</v>
      </c>
      <c r="J49" s="97" t="n">
        <v>11.422655</v>
      </c>
    </row>
    <row r="50" ht="16" customHeight="1">
      <c r="A50" s="96" t="inlineStr"/>
      <c r="B50" s="94" t="inlineStr">
        <is>
          <t>Gross Margin %</t>
        </is>
      </c>
      <c r="C50" s="72" t="n">
        <v>0.276</v>
      </c>
      <c r="D50" s="72" t="n">
        <v>0.268</v>
      </c>
      <c r="E50" s="72" t="n">
        <v>0.232</v>
      </c>
      <c r="F50" s="72" t="n">
        <v>0.286</v>
      </c>
      <c r="G50" s="72" t="n">
        <v>0.393</v>
      </c>
      <c r="H50" s="72" t="n">
        <v>0.354</v>
      </c>
      <c r="I50" s="72" t="n">
        <v>0.347</v>
      </c>
      <c r="J50" s="72" t="n">
        <v>0.37</v>
      </c>
    </row>
    <row r="51" ht="16" customHeight="1">
      <c r="A51" s="96" t="inlineStr"/>
      <c r="B51" s="25" t="inlineStr">
        <is>
          <t>QoQ Rev Growth</t>
        </is>
      </c>
      <c r="C51" s="50" t="n"/>
      <c r="D51" s="76" t="n">
        <v>-0.1005685944884084</v>
      </c>
      <c r="E51" s="76" t="n">
        <v>0.303117487349206</v>
      </c>
      <c r="F51" s="76" t="n">
        <v>-0.2429336588104409</v>
      </c>
      <c r="G51" s="76" t="n">
        <v>-0.0685764602528711</v>
      </c>
      <c r="H51" s="76" t="n">
        <v>-0.05244985121707093</v>
      </c>
      <c r="I51" s="76" t="n">
        <v>0.334770539046172</v>
      </c>
      <c r="J51" s="76" t="n">
        <v>-0.05884927975448102</v>
      </c>
    </row>
    <row r="52" ht="16" customHeight="1">
      <c r="A52" s="96" t="inlineStr"/>
      <c r="B52" s="20" t="inlineStr">
        <is>
          <t>YoY Rev Growth</t>
        </is>
      </c>
      <c r="C52" s="47" t="n"/>
      <c r="D52" s="47" t="n"/>
      <c r="E52" s="47" t="n"/>
      <c r="F52" s="47" t="n"/>
      <c r="G52" s="72" t="n">
        <v>-0.1735192010342685</v>
      </c>
      <c r="H52" s="72" t="n">
        <v>-0.1293032473323836</v>
      </c>
      <c r="I52" s="72" t="n">
        <v>-0.1081538040994243</v>
      </c>
      <c r="J52" s="72" t="n">
        <v>0.1087029550160497</v>
      </c>
    </row>
    <row r="53" ht="8" customHeight="1"/>
    <row r="54" ht="18" customHeight="1">
      <c r="A54" s="94" t="inlineStr">
        <is>
          <t>BZAI  —  Blaize Holdings, Inc.</t>
        </is>
      </c>
      <c r="C54" s="38" t="inlineStr">
        <is>
          <t>Nano Cap</t>
        </is>
      </c>
      <c r="D54" s="75" t="inlineStr">
        <is>
          <t>Mkt Cap: $186M</t>
        </is>
      </c>
      <c r="E54" s="95" t="n"/>
      <c r="F54" s="95" t="n"/>
      <c r="G54" s="95" t="n"/>
      <c r="H54" s="95" t="n"/>
      <c r="I54" s="95" t="n"/>
      <c r="J54" s="95" t="n"/>
      <c r="K54" s="95" t="n"/>
    </row>
    <row r="55" ht="16" customHeight="1">
      <c r="A55" s="96" t="inlineStr"/>
      <c r="B55" s="18" t="inlineStr">
        <is>
          <t>Quarter</t>
        </is>
      </c>
      <c r="C55" s="18" t="inlineStr">
        <is>
          <t>2024-06-30</t>
        </is>
      </c>
      <c r="D55" s="18" t="inlineStr">
        <is>
          <t>2024-09-30</t>
        </is>
      </c>
      <c r="E55" s="18" t="inlineStr">
        <is>
          <t>2024-12-31</t>
        </is>
      </c>
      <c r="F55" s="18" t="inlineStr">
        <is>
          <t>2025-03-31</t>
        </is>
      </c>
      <c r="G55" s="18" t="inlineStr">
        <is>
          <t>2025-06-30</t>
        </is>
      </c>
      <c r="H55" s="18" t="inlineStr">
        <is>
          <t>2025-09-30</t>
        </is>
      </c>
      <c r="I55" s="18" t="inlineStr">
        <is>
          <t>2025-12-31</t>
        </is>
      </c>
      <c r="J55" s="18" t="inlineStr">
        <is>
          <t>2026-03-31</t>
        </is>
      </c>
    </row>
    <row r="56" ht="16" customHeight="1">
      <c r="A56" s="96" t="inlineStr"/>
      <c r="B56" s="67" t="inlineStr">
        <is>
          <t>Revenue ($M)</t>
        </is>
      </c>
      <c r="C56" s="97" t="n">
        <v>0.223</v>
      </c>
      <c r="D56" s="97" t="n">
        <v>0.781</v>
      </c>
      <c r="E56" s="97" t="n">
        <v>-1.553</v>
      </c>
      <c r="F56" s="97" t="n">
        <v>1.006999</v>
      </c>
      <c r="G56" s="97" t="n">
        <v>1.982</v>
      </c>
      <c r="H56" s="97" t="n">
        <v>11.867</v>
      </c>
      <c r="I56" s="97" t="n">
        <v>23.776</v>
      </c>
      <c r="J56" s="97" t="n">
        <v>2.738</v>
      </c>
    </row>
    <row r="57" ht="16" customHeight="1">
      <c r="A57" s="96" t="inlineStr"/>
      <c r="B57" s="94" t="inlineStr">
        <is>
          <t>Gross Margin %</t>
        </is>
      </c>
      <c r="C57" s="72" t="n">
        <v>-0.152</v>
      </c>
      <c r="D57" s="72" t="n">
        <v>0.391</v>
      </c>
      <c r="E57" s="72" t="n">
        <v>0</v>
      </c>
      <c r="F57" s="72" t="n">
        <v>0.486</v>
      </c>
      <c r="G57" s="72" t="n">
        <v>0.364</v>
      </c>
      <c r="H57" s="72" t="n">
        <v>0.119</v>
      </c>
      <c r="I57" s="72" t="n">
        <v>0.1</v>
      </c>
      <c r="J57" s="72" t="n">
        <v>0.508</v>
      </c>
    </row>
    <row r="58" ht="16" customHeight="1">
      <c r="A58" s="96" t="inlineStr"/>
      <c r="B58" s="25" t="inlineStr">
        <is>
          <t>QoQ Rev Growth</t>
        </is>
      </c>
      <c r="C58" s="50" t="n"/>
      <c r="D58" s="76" t="n">
        <v>2.502242152466368</v>
      </c>
      <c r="E58" s="76" t="n">
        <v>-2.988476312419974</v>
      </c>
      <c r="F58" s="76" t="n">
        <v>1.648421764327109</v>
      </c>
      <c r="G58" s="76" t="n">
        <v>0.9682243974423014</v>
      </c>
      <c r="H58" s="76" t="n">
        <v>4.987386478304742</v>
      </c>
      <c r="I58" s="76" t="n">
        <v>1.003539226426224</v>
      </c>
      <c r="J58" s="76" t="n">
        <v>-0.8848418573351279</v>
      </c>
    </row>
    <row r="59" ht="16" customHeight="1">
      <c r="A59" s="96" t="inlineStr"/>
      <c r="B59" s="20" t="inlineStr">
        <is>
          <t>YoY Rev Growth</t>
        </is>
      </c>
      <c r="C59" s="47" t="n"/>
      <c r="D59" s="47" t="n"/>
      <c r="E59" s="47" t="n"/>
      <c r="F59" s="47" t="n"/>
      <c r="G59" s="72" t="n">
        <v>7.887892376681615</v>
      </c>
      <c r="H59" s="72" t="n">
        <v>14.19462227912932</v>
      </c>
      <c r="I59" s="72" t="n">
        <v>16.30972311654861</v>
      </c>
      <c r="J59" s="72" t="n">
        <v>1.718969929463684</v>
      </c>
    </row>
    <row r="60" ht="8" customHeight="1"/>
    <row r="61" ht="18" customHeight="1">
      <c r="A61" s="94" t="inlineStr">
        <is>
          <t>TAYD  —  Taylor Devices, Inc.</t>
        </is>
      </c>
      <c r="C61" s="38" t="inlineStr">
        <is>
          <t>Nano Cap</t>
        </is>
      </c>
      <c r="D61" s="75" t="inlineStr">
        <is>
          <t>Mkt Cap: $171M</t>
        </is>
      </c>
      <c r="E61" s="95" t="n"/>
      <c r="F61" s="95" t="n"/>
      <c r="G61" s="95" t="n"/>
      <c r="H61" s="95" t="n"/>
      <c r="I61" s="95" t="n"/>
      <c r="J61" s="95" t="n"/>
      <c r="K61" s="95" t="n"/>
    </row>
    <row r="62" ht="16" customHeight="1">
      <c r="A62" s="96" t="inlineStr"/>
      <c r="B62" s="18" t="inlineStr">
        <is>
          <t>Quarter</t>
        </is>
      </c>
      <c r="C62" s="18" t="inlineStr">
        <is>
          <t>2024-05-31</t>
        </is>
      </c>
      <c r="D62" s="18" t="inlineStr">
        <is>
          <t>2024-08-31</t>
        </is>
      </c>
      <c r="E62" s="18" t="inlineStr">
        <is>
          <t>2024-11-30</t>
        </is>
      </c>
      <c r="F62" s="18" t="inlineStr">
        <is>
          <t>2025-02-28</t>
        </is>
      </c>
      <c r="G62" s="18" t="inlineStr">
        <is>
          <t>2025-05-31</t>
        </is>
      </c>
      <c r="H62" s="18" t="inlineStr">
        <is>
          <t>2025-08-31</t>
        </is>
      </c>
      <c r="I62" s="18" t="inlineStr">
        <is>
          <t>2025-11-30</t>
        </is>
      </c>
      <c r="J62" s="18" t="inlineStr">
        <is>
          <t>2026-02-28</t>
        </is>
      </c>
    </row>
    <row r="63" ht="16" customHeight="1">
      <c r="A63" s="96" t="inlineStr"/>
      <c r="B63" s="67" t="inlineStr">
        <is>
          <t>Revenue ($M)</t>
        </is>
      </c>
      <c r="C63" s="97" t="n">
        <v>12.065211</v>
      </c>
      <c r="D63" s="97" t="n">
        <v>11.617856</v>
      </c>
      <c r="E63" s="97" t="n">
        <v>3.8861</v>
      </c>
      <c r="F63" s="97" t="n">
        <v>10.564834</v>
      </c>
      <c r="G63" s="97" t="n">
        <v>15.561154</v>
      </c>
      <c r="H63" s="97" t="n">
        <v>9.91835</v>
      </c>
      <c r="I63" s="97" t="n">
        <v>11.603472</v>
      </c>
      <c r="J63" s="97" t="n">
        <v>11.173201</v>
      </c>
    </row>
    <row r="64" ht="16" customHeight="1">
      <c r="A64" s="96" t="inlineStr"/>
      <c r="B64" s="94" t="inlineStr">
        <is>
          <t>Gross Margin %</t>
        </is>
      </c>
      <c r="C64" s="72" t="n">
        <v>0.488</v>
      </c>
      <c r="D64" s="72" t="n">
        <v>0.474</v>
      </c>
      <c r="E64" s="72" t="n">
        <v>1</v>
      </c>
      <c r="F64" s="72" t="n">
        <v>0.429</v>
      </c>
      <c r="G64" s="72" t="n">
        <v>0.486</v>
      </c>
      <c r="H64" s="72" t="n">
        <v>0.448</v>
      </c>
      <c r="I64" s="72" t="n">
        <v>0.47</v>
      </c>
      <c r="J64" s="72" t="n">
        <v>0.402</v>
      </c>
    </row>
    <row r="65" ht="16" customHeight="1">
      <c r="A65" s="96" t="inlineStr"/>
      <c r="B65" s="25" t="inlineStr">
        <is>
          <t>QoQ Rev Growth</t>
        </is>
      </c>
      <c r="C65" s="50" t="n"/>
      <c r="D65" s="76" t="n">
        <v>-0.03707809171343957</v>
      </c>
      <c r="E65" s="76" t="n">
        <v>-0.665506268970798</v>
      </c>
      <c r="F65" s="76" t="n">
        <v>1.718621239803402</v>
      </c>
      <c r="G65" s="76" t="n">
        <v>0.4729198773970325</v>
      </c>
      <c r="H65" s="76" t="n">
        <v>-0.3626211783521968</v>
      </c>
      <c r="I65" s="76" t="n">
        <v>0.1698994288364496</v>
      </c>
      <c r="J65" s="76" t="n">
        <v>-0.03708122879083088</v>
      </c>
    </row>
    <row r="66" ht="16" customHeight="1">
      <c r="A66" s="96" t="inlineStr"/>
      <c r="B66" s="20" t="inlineStr">
        <is>
          <t>YoY Rev Growth</t>
        </is>
      </c>
      <c r="C66" s="47" t="n"/>
      <c r="D66" s="47" t="n"/>
      <c r="E66" s="47" t="n"/>
      <c r="F66" s="47" t="n"/>
      <c r="G66" s="72" t="n">
        <v>0.2897539877255358</v>
      </c>
      <c r="H66" s="72" t="n">
        <v>-0.1462839615157909</v>
      </c>
      <c r="I66" s="72" t="n">
        <v>1.985891253441754</v>
      </c>
      <c r="J66" s="72" t="n">
        <v>0.05758415134587065</v>
      </c>
    </row>
    <row r="67" ht="8" customHeight="1"/>
    <row r="68" ht="18" customHeight="1">
      <c r="A68" s="94" t="inlineStr">
        <is>
          <t>BYRN  —  Byrna Technologies Inc.</t>
        </is>
      </c>
      <c r="C68" s="38" t="inlineStr">
        <is>
          <t>Nano Cap</t>
        </is>
      </c>
      <c r="D68" s="75" t="inlineStr">
        <is>
          <t>Mkt Cap: $134M</t>
        </is>
      </c>
      <c r="E68" s="95" t="n"/>
      <c r="F68" s="95" t="n"/>
      <c r="G68" s="95" t="n"/>
      <c r="H68" s="95" t="n"/>
      <c r="I68" s="95" t="n"/>
      <c r="J68" s="95" t="n"/>
      <c r="K68" s="95" t="n"/>
    </row>
    <row r="69" ht="16" customHeight="1">
      <c r="A69" s="96" t="inlineStr"/>
      <c r="B69" s="18" t="inlineStr">
        <is>
          <t>Quarter</t>
        </is>
      </c>
      <c r="C69" s="18" t="inlineStr">
        <is>
          <t>2024-05-31</t>
        </is>
      </c>
      <c r="D69" s="18" t="inlineStr">
        <is>
          <t>2024-08-31</t>
        </is>
      </c>
      <c r="E69" s="18" t="inlineStr">
        <is>
          <t>2024-11-30</t>
        </is>
      </c>
      <c r="F69" s="18" t="inlineStr">
        <is>
          <t>2025-02-28</t>
        </is>
      </c>
      <c r="G69" s="18" t="inlineStr">
        <is>
          <t>2025-05-31</t>
        </is>
      </c>
      <c r="H69" s="18" t="inlineStr">
        <is>
          <t>2025-08-31</t>
        </is>
      </c>
      <c r="I69" s="18" t="inlineStr">
        <is>
          <t>2025-11-30</t>
        </is>
      </c>
      <c r="J69" s="18" t="inlineStr">
        <is>
          <t>2026-02-28</t>
        </is>
      </c>
    </row>
    <row r="70" ht="16" customHeight="1">
      <c r="A70" s="96" t="inlineStr"/>
      <c r="B70" s="67" t="inlineStr">
        <is>
          <t>Revenue ($M)</t>
        </is>
      </c>
      <c r="C70" s="97" t="n">
        <v>20.269</v>
      </c>
      <c r="D70" s="97" t="n">
        <v>20.854</v>
      </c>
      <c r="E70" s="97" t="n">
        <v>27.979</v>
      </c>
      <c r="F70" s="97" t="n">
        <v>26.19</v>
      </c>
      <c r="G70" s="97" t="n">
        <v>28.505</v>
      </c>
      <c r="H70" s="97" t="n">
        <v>28.179</v>
      </c>
      <c r="I70" s="97" t="n">
        <v>35.246</v>
      </c>
      <c r="J70" s="97" t="n">
        <v>29.049</v>
      </c>
    </row>
    <row r="71" ht="16" customHeight="1">
      <c r="A71" s="96" t="inlineStr"/>
      <c r="B71" s="94" t="inlineStr">
        <is>
          <t>Gross Margin %</t>
        </is>
      </c>
      <c r="C71" s="72" t="n">
        <v>0.62</v>
      </c>
      <c r="D71" s="72" t="n">
        <v>0.624</v>
      </c>
      <c r="E71" s="72" t="n">
        <v>0.628</v>
      </c>
      <c r="F71" s="72" t="n">
        <v>0.608</v>
      </c>
      <c r="G71" s="72" t="n">
        <v>0.616</v>
      </c>
      <c r="H71" s="72" t="n">
        <v>0.601</v>
      </c>
      <c r="I71" s="72" t="n">
        <v>0.598</v>
      </c>
      <c r="J71" s="72" t="n">
        <v>0.599</v>
      </c>
    </row>
    <row r="72" ht="16" customHeight="1">
      <c r="A72" s="96" t="inlineStr"/>
      <c r="B72" s="25" t="inlineStr">
        <is>
          <t>QoQ Rev Growth</t>
        </is>
      </c>
      <c r="C72" s="50" t="n"/>
      <c r="D72" s="76" t="n">
        <v>0.02886180867334353</v>
      </c>
      <c r="E72" s="76" t="n">
        <v>0.3416610722163614</v>
      </c>
      <c r="F72" s="76" t="n">
        <v>-0.06394081275242146</v>
      </c>
      <c r="G72" s="76" t="n">
        <v>0.08839251622756777</v>
      </c>
      <c r="H72" s="76" t="n">
        <v>-0.01143659007191721</v>
      </c>
      <c r="I72" s="76" t="n">
        <v>0.2507895950885411</v>
      </c>
      <c r="J72" s="76" t="n">
        <v>-0.1758213698008285</v>
      </c>
    </row>
    <row r="73" ht="16" customHeight="1">
      <c r="A73" s="96" t="inlineStr"/>
      <c r="B73" s="20" t="inlineStr">
        <is>
          <t>YoY Rev Growth</t>
        </is>
      </c>
      <c r="C73" s="47" t="n"/>
      <c r="D73" s="47" t="n"/>
      <c r="E73" s="47" t="n"/>
      <c r="F73" s="47" t="n"/>
      <c r="G73" s="72" t="n">
        <v>0.4063347969806108</v>
      </c>
      <c r="H73" s="72" t="n">
        <v>0.3512515584540136</v>
      </c>
      <c r="I73" s="72" t="n">
        <v>0.2597305121698417</v>
      </c>
      <c r="J73" s="72" t="n">
        <v>0.109163802978236</v>
      </c>
    </row>
    <row r="74" ht="8" customHeight="1"/>
    <row r="75" ht="22" customHeight="1">
      <c r="A75" s="16" t="inlineStr">
        <is>
          <t xml:space="preserve">  Small Cap</t>
        </is>
      </c>
      <c r="B75" s="17" t="n"/>
      <c r="C75" s="17" t="n"/>
      <c r="D75" s="17" t="n"/>
      <c r="E75" s="17" t="n"/>
      <c r="F75" s="17" t="n"/>
      <c r="G75" s="17" t="n"/>
      <c r="H75" s="17" t="n"/>
      <c r="I75" s="17" t="n"/>
      <c r="J75" s="17" t="n"/>
      <c r="K75" s="17" t="n"/>
    </row>
    <row r="76" ht="18" customHeight="1">
      <c r="A76" s="94" t="inlineStr">
        <is>
          <t>DSP  —  Viant Technology Inc.</t>
        </is>
      </c>
      <c r="C76" s="38" t="inlineStr">
        <is>
          <t>Small Cap</t>
        </is>
      </c>
      <c r="D76" s="75" t="inlineStr">
        <is>
          <t>Mkt Cap: $795M</t>
        </is>
      </c>
      <c r="E76" s="95" t="n"/>
      <c r="F76" s="95" t="n"/>
      <c r="G76" s="95" t="n"/>
      <c r="H76" s="95" t="n"/>
      <c r="I76" s="95" t="n"/>
      <c r="J76" s="95" t="n"/>
      <c r="K76" s="95" t="n"/>
    </row>
    <row r="77" ht="16" customHeight="1">
      <c r="A77" s="96" t="inlineStr"/>
      <c r="B77" s="18" t="inlineStr">
        <is>
          <t>Quarter</t>
        </is>
      </c>
      <c r="C77" s="18" t="inlineStr">
        <is>
          <t>2024-06-30</t>
        </is>
      </c>
      <c r="D77" s="18" t="inlineStr">
        <is>
          <t>2024-09-30</t>
        </is>
      </c>
      <c r="E77" s="18" t="inlineStr">
        <is>
          <t>2024-12-31</t>
        </is>
      </c>
      <c r="F77" s="18" t="inlineStr">
        <is>
          <t>2025-03-31</t>
        </is>
      </c>
      <c r="G77" s="18" t="inlineStr">
        <is>
          <t>2025-06-30</t>
        </is>
      </c>
      <c r="H77" s="18" t="inlineStr">
        <is>
          <t>2025-09-30</t>
        </is>
      </c>
      <c r="I77" s="18" t="inlineStr">
        <is>
          <t>2025-12-31</t>
        </is>
      </c>
      <c r="J77" s="18" t="inlineStr">
        <is>
          <t>2026-03-31</t>
        </is>
      </c>
    </row>
    <row r="78" ht="16" customHeight="1">
      <c r="A78" s="96" t="inlineStr"/>
      <c r="B78" s="67" t="inlineStr">
        <is>
          <t>Revenue ($M)</t>
        </is>
      </c>
      <c r="C78" s="97" t="n">
        <v>65.866</v>
      </c>
      <c r="D78" s="97" t="n">
        <v>79.922</v>
      </c>
      <c r="E78" s="97" t="n">
        <v>90.054</v>
      </c>
      <c r="F78" s="97" t="n">
        <v>70.642</v>
      </c>
      <c r="G78" s="97" t="n">
        <v>77.85299999999999</v>
      </c>
      <c r="H78" s="97" t="n">
        <v>85.58199999999999</v>
      </c>
      <c r="I78" s="97" t="n">
        <v>110.124</v>
      </c>
      <c r="J78" s="97" t="n">
        <v>88.538</v>
      </c>
    </row>
    <row r="79" ht="16" customHeight="1">
      <c r="A79" s="96" t="inlineStr"/>
      <c r="B79" s="94" t="inlineStr">
        <is>
          <t>Gross Margin %</t>
        </is>
      </c>
      <c r="C79" s="72" t="n">
        <v>0.467</v>
      </c>
      <c r="D79" s="72" t="n">
        <v>0.442</v>
      </c>
      <c r="E79" s="72" t="n">
        <v>0.472</v>
      </c>
      <c r="F79" s="72" t="n">
        <v>0.433</v>
      </c>
      <c r="G79" s="72" t="n">
        <v>0.461</v>
      </c>
      <c r="H79" s="72" t="n">
        <v>0.466</v>
      </c>
      <c r="I79" s="72" t="n">
        <v>0.466</v>
      </c>
      <c r="J79" s="72" t="n">
        <v>0.835</v>
      </c>
    </row>
    <row r="80" ht="16" customHeight="1">
      <c r="A80" s="96" t="inlineStr"/>
      <c r="B80" s="25" t="inlineStr">
        <is>
          <t>QoQ Rev Growth</t>
        </is>
      </c>
      <c r="C80" s="50" t="n"/>
      <c r="D80" s="76" t="n">
        <v>0.2134029696656849</v>
      </c>
      <c r="E80" s="76" t="n">
        <v>0.1267736042641575</v>
      </c>
      <c r="F80" s="76" t="n">
        <v>-0.2155595531569947</v>
      </c>
      <c r="G80" s="76" t="n">
        <v>0.1020780838594604</v>
      </c>
      <c r="H80" s="76" t="n">
        <v>0.0992768422539915</v>
      </c>
      <c r="I80" s="76" t="n">
        <v>0.2867659087191232</v>
      </c>
      <c r="J80" s="76" t="n">
        <v>-0.1960154008208928</v>
      </c>
    </row>
    <row r="81" ht="16" customHeight="1">
      <c r="A81" s="96" t="inlineStr"/>
      <c r="B81" s="20" t="inlineStr">
        <is>
          <t>YoY Rev Growth</t>
        </is>
      </c>
      <c r="C81" s="47" t="n"/>
      <c r="D81" s="47" t="n"/>
      <c r="E81" s="47" t="n"/>
      <c r="F81" s="47" t="n"/>
      <c r="G81" s="72" t="n">
        <v>0.1819907084079798</v>
      </c>
      <c r="H81" s="72" t="n">
        <v>0.07081904857235805</v>
      </c>
      <c r="I81" s="72" t="n">
        <v>0.2228662802318609</v>
      </c>
      <c r="J81" s="72" t="n">
        <v>0.2533337108235894</v>
      </c>
    </row>
    <row r="82" ht="8" customHeight="1"/>
    <row r="83" ht="18" customHeight="1">
      <c r="A83" s="94" t="inlineStr">
        <is>
          <t>EVLV  —  Evolv Technologies Holdings, Inc.</t>
        </is>
      </c>
      <c r="C83" s="38" t="inlineStr">
        <is>
          <t>Small Cap</t>
        </is>
      </c>
      <c r="D83" s="75" t="inlineStr">
        <is>
          <t>Mkt Cap: $1063M</t>
        </is>
      </c>
      <c r="E83" s="95" t="n"/>
      <c r="F83" s="95" t="n"/>
      <c r="G83" s="95" t="n"/>
      <c r="H83" s="95" t="n"/>
      <c r="I83" s="95" t="n"/>
      <c r="J83" s="95" t="n"/>
      <c r="K83" s="95" t="n"/>
    </row>
    <row r="84" ht="16" customHeight="1">
      <c r="A84" s="96" t="inlineStr"/>
      <c r="B84" s="18" t="inlineStr">
        <is>
          <t>Quarter</t>
        </is>
      </c>
      <c r="C84" s="18" t="inlineStr">
        <is>
          <t>2024-06-30</t>
        </is>
      </c>
      <c r="D84" s="18" t="inlineStr">
        <is>
          <t>2024-09-30</t>
        </is>
      </c>
      <c r="E84" s="18" t="inlineStr">
        <is>
          <t>2024-12-31</t>
        </is>
      </c>
      <c r="F84" s="18" t="inlineStr">
        <is>
          <t>2025-03-31</t>
        </is>
      </c>
      <c r="G84" s="18" t="inlineStr">
        <is>
          <t>2025-06-30</t>
        </is>
      </c>
      <c r="H84" s="18" t="inlineStr">
        <is>
          <t>2025-09-30</t>
        </is>
      </c>
      <c r="I84" s="18" t="inlineStr">
        <is>
          <t>2025-12-31</t>
        </is>
      </c>
      <c r="J84" s="18" t="inlineStr">
        <is>
          <t>2026-03-31</t>
        </is>
      </c>
    </row>
    <row r="85" ht="16" customHeight="1">
      <c r="A85" s="96" t="inlineStr"/>
      <c r="B85" s="67" t="inlineStr">
        <is>
          <t>Revenue ($M)</t>
        </is>
      </c>
      <c r="C85" s="97" t="n">
        <v>25.54</v>
      </c>
      <c r="D85" s="97" t="n">
        <v>27.36</v>
      </c>
      <c r="E85" s="97" t="n">
        <v>29.1</v>
      </c>
      <c r="F85" s="97" t="n">
        <v>32.007</v>
      </c>
      <c r="G85" s="97" t="n">
        <v>32.544</v>
      </c>
      <c r="H85" s="97" t="n">
        <v>42.85</v>
      </c>
      <c r="I85" s="97" t="n">
        <v>38.504</v>
      </c>
      <c r="J85" s="97" t="n">
        <v>46.328</v>
      </c>
    </row>
    <row r="86" ht="16" customHeight="1">
      <c r="A86" s="96" t="inlineStr"/>
      <c r="B86" s="94" t="inlineStr">
        <is>
          <t>Gross Margin %</t>
        </is>
      </c>
      <c r="C86" s="72" t="n">
        <v>0.5670000000000001</v>
      </c>
      <c r="D86" s="72" t="n">
        <v>0.578</v>
      </c>
      <c r="E86" s="72" t="n">
        <v>0.575</v>
      </c>
      <c r="F86" s="72" t="n">
        <v>0.598</v>
      </c>
      <c r="G86" s="72" t="n">
        <v>0.498</v>
      </c>
      <c r="H86" s="72" t="n">
        <v>0.4970000000000001</v>
      </c>
      <c r="I86" s="72" t="n">
        <v>0.484</v>
      </c>
      <c r="J86" s="72" t="n">
        <v>0.514</v>
      </c>
    </row>
    <row r="87" ht="16" customHeight="1">
      <c r="A87" s="96" t="inlineStr"/>
      <c r="B87" s="25" t="inlineStr">
        <is>
          <t>QoQ Rev Growth</t>
        </is>
      </c>
      <c r="C87" s="50" t="n"/>
      <c r="D87" s="76" t="n">
        <v>0.07126076742364917</v>
      </c>
      <c r="E87" s="76" t="n">
        <v>0.06359649122807018</v>
      </c>
      <c r="F87" s="76" t="n">
        <v>0.09989690721649484</v>
      </c>
      <c r="G87" s="76" t="n">
        <v>0.01677757990439591</v>
      </c>
      <c r="H87" s="76" t="n">
        <v>0.3166789577187807</v>
      </c>
      <c r="I87" s="76" t="n">
        <v>-0.1014235705950992</v>
      </c>
      <c r="J87" s="76" t="n">
        <v>0.203199667567006</v>
      </c>
    </row>
    <row r="88" ht="16" customHeight="1">
      <c r="A88" s="96" t="inlineStr"/>
      <c r="B88" s="20" t="inlineStr">
        <is>
          <t>YoY Rev Growth</t>
        </is>
      </c>
      <c r="C88" s="47" t="n"/>
      <c r="D88" s="47" t="n"/>
      <c r="E88" s="47" t="n"/>
      <c r="F88" s="47" t="n"/>
      <c r="G88" s="72" t="n">
        <v>0.2742364917776038</v>
      </c>
      <c r="H88" s="72" t="n">
        <v>0.5661549707602339</v>
      </c>
      <c r="I88" s="72" t="n">
        <v>0.3231615120274914</v>
      </c>
      <c r="J88" s="72" t="n">
        <v>0.4474333739494485</v>
      </c>
    </row>
    <row r="89" ht="8" customHeight="1"/>
    <row r="90" ht="18" customHeight="1">
      <c r="A90" s="94" t="inlineStr">
        <is>
          <t>PKE  —  Park Aerospace Corp.</t>
        </is>
      </c>
      <c r="C90" s="38" t="inlineStr">
        <is>
          <t>Small Cap</t>
        </is>
      </c>
      <c r="D90" s="75" t="inlineStr">
        <is>
          <t>Mkt Cap: $678M</t>
        </is>
      </c>
      <c r="E90" s="95" t="n"/>
      <c r="F90" s="95" t="n"/>
      <c r="G90" s="95" t="n"/>
      <c r="H90" s="95" t="n"/>
      <c r="I90" s="95" t="n"/>
      <c r="J90" s="95" t="n"/>
      <c r="K90" s="95" t="n"/>
    </row>
    <row r="91" ht="16" customHeight="1">
      <c r="A91" s="96" t="inlineStr"/>
      <c r="B91" s="18" t="inlineStr">
        <is>
          <t>Quarter</t>
        </is>
      </c>
      <c r="C91" s="18" t="inlineStr">
        <is>
          <t>2024-06-02</t>
        </is>
      </c>
      <c r="D91" s="18" t="inlineStr">
        <is>
          <t>2024-09-01</t>
        </is>
      </c>
      <c r="E91" s="18" t="inlineStr">
        <is>
          <t>2024-12-01</t>
        </is>
      </c>
      <c r="F91" s="18" t="inlineStr">
        <is>
          <t>2025-02-28</t>
        </is>
      </c>
      <c r="G91" s="18" t="inlineStr">
        <is>
          <t>2025-06-01</t>
        </is>
      </c>
      <c r="H91" s="18" t="inlineStr">
        <is>
          <t>2025-08-31</t>
        </is>
      </c>
      <c r="I91" s="18" t="inlineStr">
        <is>
          <t>2025-11-30</t>
        </is>
      </c>
      <c r="J91" s="18" t="inlineStr">
        <is>
          <t>2026-03-01</t>
        </is>
      </c>
    </row>
    <row r="92" ht="16" customHeight="1">
      <c r="A92" s="96" t="inlineStr"/>
      <c r="B92" s="67" t="inlineStr">
        <is>
          <t>Revenue ($M)</t>
        </is>
      </c>
      <c r="C92" s="97" t="n">
        <v>13.97</v>
      </c>
      <c r="D92" s="97" t="n">
        <v>16.709</v>
      </c>
      <c r="E92" s="97" t="n">
        <v>14.408</v>
      </c>
      <c r="F92" s="97" t="n">
        <v>16.939</v>
      </c>
      <c r="G92" s="97" t="n">
        <v>15.4</v>
      </c>
      <c r="H92" s="97" t="n">
        <v>16.381</v>
      </c>
      <c r="I92" s="97" t="n">
        <v>17.333</v>
      </c>
      <c r="J92" s="97" t="n">
        <v>24.187</v>
      </c>
    </row>
    <row r="93" ht="16" customHeight="1">
      <c r="A93" s="96" t="inlineStr"/>
      <c r="B93" s="94" t="inlineStr">
        <is>
          <t>Gross Margin %</t>
        </is>
      </c>
      <c r="C93" s="72" t="n">
        <v>0.293</v>
      </c>
      <c r="D93" s="72" t="n">
        <v>0.285</v>
      </c>
      <c r="E93" s="72" t="n">
        <v>0.266</v>
      </c>
      <c r="F93" s="72" t="n">
        <v>0.293</v>
      </c>
      <c r="G93" s="72" t="n">
        <v>0.306</v>
      </c>
      <c r="H93" s="72" t="n">
        <v>0.312</v>
      </c>
      <c r="I93" s="72" t="n">
        <v>0.341</v>
      </c>
      <c r="J93" s="72" t="n">
        <v>0.287</v>
      </c>
    </row>
    <row r="94" ht="16" customHeight="1">
      <c r="A94" s="96" t="inlineStr"/>
      <c r="B94" s="25" t="inlineStr">
        <is>
          <t>QoQ Rev Growth</t>
        </is>
      </c>
      <c r="C94" s="50" t="n"/>
      <c r="D94" s="76" t="n">
        <v>0.1960629921259842</v>
      </c>
      <c r="E94" s="76" t="n">
        <v>-0.1377102160512299</v>
      </c>
      <c r="F94" s="76" t="n">
        <v>0.1756662965019434</v>
      </c>
      <c r="G94" s="76" t="n">
        <v>-0.09085542239801642</v>
      </c>
      <c r="H94" s="76" t="n">
        <v>0.0637012987012987</v>
      </c>
      <c r="I94" s="76" t="n">
        <v>0.05811611012758684</v>
      </c>
      <c r="J94" s="76" t="n">
        <v>0.3954306813592569</v>
      </c>
    </row>
    <row r="95" ht="16" customHeight="1">
      <c r="A95" s="96" t="inlineStr"/>
      <c r="B95" s="20" t="inlineStr">
        <is>
          <t>YoY Rev Growth</t>
        </is>
      </c>
      <c r="C95" s="47" t="n"/>
      <c r="D95" s="47" t="n"/>
      <c r="E95" s="47" t="n"/>
      <c r="F95" s="47" t="n"/>
      <c r="G95" s="72" t="n">
        <v>0.1023622047244094</v>
      </c>
      <c r="H95" s="72" t="n">
        <v>-0.01963013944580765</v>
      </c>
      <c r="I95" s="72" t="n">
        <v>0.2030122154358689</v>
      </c>
      <c r="J95" s="72" t="n">
        <v>0.4278883050947517</v>
      </c>
    </row>
    <row r="96" ht="8" customHeight="1"/>
    <row r="97" ht="18" customHeight="1">
      <c r="A97" s="94" t="inlineStr">
        <is>
          <t>CMCO  —  Columbus McKinnon Corporation</t>
        </is>
      </c>
      <c r="C97" s="38" t="inlineStr">
        <is>
          <t>Small Cap</t>
        </is>
      </c>
      <c r="D97" s="75" t="inlineStr">
        <is>
          <t>Mkt Cap: $370M</t>
        </is>
      </c>
      <c r="E97" s="95" t="n"/>
      <c r="F97" s="95" t="n"/>
      <c r="G97" s="95" t="n"/>
      <c r="H97" s="95" t="n"/>
      <c r="I97" s="95" t="n"/>
      <c r="J97" s="95" t="n"/>
      <c r="K97" s="95" t="n"/>
    </row>
    <row r="98" ht="16" customHeight="1">
      <c r="A98" s="96" t="inlineStr"/>
      <c r="B98" s="18" t="inlineStr">
        <is>
          <t>Quarter</t>
        </is>
      </c>
      <c r="C98" s="18" t="inlineStr">
        <is>
          <t>2024-06-30</t>
        </is>
      </c>
      <c r="D98" s="18" t="inlineStr">
        <is>
          <t>2024-09-30</t>
        </is>
      </c>
      <c r="E98" s="18" t="inlineStr">
        <is>
          <t>2024-12-31</t>
        </is>
      </c>
      <c r="F98" s="18" t="inlineStr">
        <is>
          <t>2025-03-31</t>
        </is>
      </c>
      <c r="G98" s="18" t="inlineStr">
        <is>
          <t>2025-06-30</t>
        </is>
      </c>
      <c r="H98" s="18" t="inlineStr">
        <is>
          <t>2025-09-30</t>
        </is>
      </c>
      <c r="I98" s="18" t="inlineStr">
        <is>
          <t>2025-12-31</t>
        </is>
      </c>
      <c r="J98" s="18" t="inlineStr">
        <is>
          <t>2026-03-31</t>
        </is>
      </c>
    </row>
    <row r="99" ht="16" customHeight="1">
      <c r="A99" s="96" t="inlineStr"/>
      <c r="B99" s="67" t="inlineStr">
        <is>
          <t>Revenue ($M)</t>
        </is>
      </c>
      <c r="C99" s="97" t="n">
        <v>239.726</v>
      </c>
      <c r="D99" s="97" t="n">
        <v>242.274</v>
      </c>
      <c r="E99" s="97" t="n">
        <v>234.138</v>
      </c>
      <c r="F99" s="97" t="n">
        <v>246.889</v>
      </c>
      <c r="G99" s="97" t="n">
        <v>235.92</v>
      </c>
      <c r="H99" s="97" t="n">
        <v>261.047</v>
      </c>
      <c r="I99" s="97" t="n">
        <v>258.654999</v>
      </c>
      <c r="J99" s="97" t="n">
        <v>1130.218</v>
      </c>
    </row>
    <row r="100" ht="16" customHeight="1">
      <c r="A100" s="96" t="inlineStr"/>
      <c r="B100" s="94" t="inlineStr">
        <is>
          <t>Gross Margin %</t>
        </is>
      </c>
      <c r="C100" s="72" t="n">
        <v>0.371</v>
      </c>
      <c r="D100" s="72" t="n">
        <v>0.309</v>
      </c>
      <c r="E100" s="72" t="n">
        <v>0.351</v>
      </c>
      <c r="F100" s="72" t="n">
        <v>0.323</v>
      </c>
      <c r="G100" s="72" t="n">
        <v>0.327</v>
      </c>
      <c r="H100" s="72" t="n">
        <v>0.345</v>
      </c>
      <c r="I100" s="72" t="n">
        <v>0.319</v>
      </c>
      <c r="J100" s="72" t="n">
        <v>0.281</v>
      </c>
    </row>
    <row r="101" ht="16" customHeight="1">
      <c r="A101" s="96" t="inlineStr"/>
      <c r="B101" s="25" t="inlineStr">
        <is>
          <t>QoQ Rev Growth</t>
        </is>
      </c>
      <c r="C101" s="50" t="n"/>
      <c r="D101" s="76" t="n">
        <v>0.01062880121472014</v>
      </c>
      <c r="E101" s="76" t="n">
        <v>-0.03358181232819039</v>
      </c>
      <c r="F101" s="76" t="n">
        <v>0.05445933594717645</v>
      </c>
      <c r="G101" s="76" t="n">
        <v>-0.04442887289429662</v>
      </c>
      <c r="H101" s="76" t="n">
        <v>0.1065064428619871</v>
      </c>
      <c r="I101" s="76" t="n">
        <v>-0.009163104728267323</v>
      </c>
      <c r="J101" s="76" t="n">
        <v>3.369596583748996</v>
      </c>
    </row>
    <row r="102" ht="16" customHeight="1">
      <c r="A102" s="96" t="inlineStr"/>
      <c r="B102" s="20" t="inlineStr">
        <is>
          <t>YoY Rev Growth</t>
        </is>
      </c>
      <c r="C102" s="47" t="n"/>
      <c r="D102" s="47" t="n"/>
      <c r="E102" s="47" t="n"/>
      <c r="F102" s="47" t="n"/>
      <c r="G102" s="72" t="n">
        <v>-0.0158764589573096</v>
      </c>
      <c r="H102" s="72" t="n">
        <v>0.07748664734969497</v>
      </c>
      <c r="I102" s="72" t="n">
        <v>0.104711746918484</v>
      </c>
      <c r="J102" s="72" t="n">
        <v>3.577838623835003</v>
      </c>
    </row>
    <row r="103" ht="8" customHeight="1"/>
    <row r="104" ht="18" customHeight="1">
      <c r="A104" s="94" t="inlineStr">
        <is>
          <t>CDRE  —  Cadre Holdings, Inc.</t>
        </is>
      </c>
      <c r="C104" s="38" t="inlineStr">
        <is>
          <t>Small Cap</t>
        </is>
      </c>
      <c r="D104" s="75" t="inlineStr">
        <is>
          <t>Mkt Cap: $1284M</t>
        </is>
      </c>
      <c r="E104" s="95" t="n"/>
      <c r="F104" s="95" t="n"/>
      <c r="G104" s="95" t="n"/>
      <c r="H104" s="95" t="n"/>
      <c r="I104" s="95" t="n"/>
      <c r="J104" s="95" t="n"/>
      <c r="K104" s="95" t="n"/>
    </row>
    <row r="105" ht="16" customHeight="1">
      <c r="A105" s="96" t="inlineStr"/>
      <c r="B105" s="18" t="inlineStr">
        <is>
          <t>Quarter</t>
        </is>
      </c>
      <c r="C105" s="18" t="inlineStr">
        <is>
          <t>2024-06-30</t>
        </is>
      </c>
      <c r="D105" s="18" t="inlineStr">
        <is>
          <t>2024-09-30</t>
        </is>
      </c>
      <c r="E105" s="18" t="inlineStr">
        <is>
          <t>2024-12-31</t>
        </is>
      </c>
      <c r="F105" s="18" t="inlineStr">
        <is>
          <t>2025-03-31</t>
        </is>
      </c>
      <c r="G105" s="18" t="inlineStr">
        <is>
          <t>2025-06-30</t>
        </is>
      </c>
      <c r="H105" s="18" t="inlineStr">
        <is>
          <t>2025-09-30</t>
        </is>
      </c>
      <c r="I105" s="18" t="inlineStr">
        <is>
          <t>2025-12-31</t>
        </is>
      </c>
      <c r="J105" s="18" t="inlineStr">
        <is>
          <t>2026-03-31</t>
        </is>
      </c>
    </row>
    <row r="106" ht="16" customHeight="1">
      <c r="A106" s="96" t="inlineStr"/>
      <c r="B106" s="67" t="inlineStr">
        <is>
          <t>Revenue ($M)</t>
        </is>
      </c>
      <c r="C106" s="97" t="n">
        <v>144.309</v>
      </c>
      <c r="D106" s="97" t="n">
        <v>109.408</v>
      </c>
      <c r="E106" s="97" t="n">
        <v>175.984</v>
      </c>
      <c r="F106" s="97" t="n">
        <v>130.106</v>
      </c>
      <c r="G106" s="97" t="n">
        <v>157.109</v>
      </c>
      <c r="H106" s="97" t="n">
        <v>155.869</v>
      </c>
      <c r="I106" s="97" t="n">
        <v>167.224</v>
      </c>
      <c r="J106" s="97" t="n">
        <v>155.429</v>
      </c>
    </row>
    <row r="107" ht="16" customHeight="1">
      <c r="A107" s="96" t="inlineStr"/>
      <c r="B107" s="94" t="inlineStr">
        <is>
          <t>Gross Margin %</t>
        </is>
      </c>
      <c r="C107" s="72" t="n">
        <v>0.406</v>
      </c>
      <c r="D107" s="72" t="n">
        <v>0.366</v>
      </c>
      <c r="E107" s="72" t="n">
        <v>0.439</v>
      </c>
      <c r="F107" s="72" t="n">
        <v>0.424</v>
      </c>
      <c r="G107" s="72" t="n">
        <v>0.401</v>
      </c>
      <c r="H107" s="72" t="n">
        <v>0.419</v>
      </c>
      <c r="I107" s="72" t="n">
        <v>0.409</v>
      </c>
      <c r="J107" s="72" t="n">
        <v>0.377</v>
      </c>
    </row>
    <row r="108" ht="16" customHeight="1">
      <c r="A108" s="96" t="inlineStr"/>
      <c r="B108" s="25" t="inlineStr">
        <is>
          <t>QoQ Rev Growth</t>
        </is>
      </c>
      <c r="C108" s="50" t="n"/>
      <c r="D108" s="76" t="n">
        <v>-0.2418490877214865</v>
      </c>
      <c r="E108" s="76" t="n">
        <v>0.6085112606025154</v>
      </c>
      <c r="F108" s="76" t="n">
        <v>-0.2606941540140013</v>
      </c>
      <c r="G108" s="76" t="n">
        <v>0.2075461546738813</v>
      </c>
      <c r="H108" s="76" t="n">
        <v>-0.007892609589520651</v>
      </c>
      <c r="I108" s="76" t="n">
        <v>0.07284963655377272</v>
      </c>
      <c r="J108" s="76" t="n">
        <v>-0.07053413385638425</v>
      </c>
    </row>
    <row r="109" ht="16" customHeight="1">
      <c r="A109" s="96" t="inlineStr"/>
      <c r="B109" s="20" t="inlineStr">
        <is>
          <t>YoY Rev Growth</t>
        </is>
      </c>
      <c r="C109" s="47" t="n"/>
      <c r="D109" s="47" t="n"/>
      <c r="E109" s="47" t="n"/>
      <c r="F109" s="47" t="n"/>
      <c r="G109" s="72" t="n">
        <v>0.08869855656958332</v>
      </c>
      <c r="H109" s="72" t="n">
        <v>0.4246581602807838</v>
      </c>
      <c r="I109" s="72" t="n">
        <v>-0.04977725247749795</v>
      </c>
      <c r="J109" s="72" t="n">
        <v>0.1946336064439765</v>
      </c>
    </row>
    <row r="110" ht="8" customHeight="1"/>
    <row r="111" ht="18" customHeight="1">
      <c r="A111" s="94" t="inlineStr">
        <is>
          <t>ADTN  —  ADTRAN Holdings, Inc.</t>
        </is>
      </c>
      <c r="C111" s="38" t="inlineStr">
        <is>
          <t>Small Cap</t>
        </is>
      </c>
      <c r="D111" s="75" t="inlineStr">
        <is>
          <t>Mkt Cap: $1243M</t>
        </is>
      </c>
      <c r="E111" s="95" t="n"/>
      <c r="F111" s="95" t="n"/>
      <c r="G111" s="95" t="n"/>
      <c r="H111" s="95" t="n"/>
      <c r="I111" s="95" t="n"/>
      <c r="J111" s="95" t="n"/>
      <c r="K111" s="95" t="n"/>
    </row>
    <row r="112" ht="16" customHeight="1">
      <c r="A112" s="96" t="inlineStr"/>
      <c r="B112" s="18" t="inlineStr">
        <is>
          <t>Quarter</t>
        </is>
      </c>
      <c r="C112" s="18" t="inlineStr">
        <is>
          <t>2024-06-30</t>
        </is>
      </c>
      <c r="D112" s="18" t="inlineStr">
        <is>
          <t>2024-09-30</t>
        </is>
      </c>
      <c r="E112" s="18" t="inlineStr">
        <is>
          <t>2024-12-31</t>
        </is>
      </c>
      <c r="F112" s="18" t="inlineStr">
        <is>
          <t>2025-03-31</t>
        </is>
      </c>
      <c r="G112" s="18" t="inlineStr">
        <is>
          <t>2025-06-30</t>
        </is>
      </c>
      <c r="H112" s="18" t="inlineStr">
        <is>
          <t>2025-09-30</t>
        </is>
      </c>
      <c r="I112" s="18" t="inlineStr">
        <is>
          <t>2025-12-31</t>
        </is>
      </c>
      <c r="J112" s="18" t="inlineStr">
        <is>
          <t>2026-03-31</t>
        </is>
      </c>
    </row>
    <row r="113" ht="16" customHeight="1">
      <c r="A113" s="96" t="inlineStr"/>
      <c r="B113" s="67" t="inlineStr">
        <is>
          <t>Revenue ($M)</t>
        </is>
      </c>
      <c r="C113" s="97" t="n">
        <v>225.991</v>
      </c>
      <c r="D113" s="97" t="n">
        <v>227.704</v>
      </c>
      <c r="E113" s="97" t="n">
        <v>242.852</v>
      </c>
      <c r="F113" s="97" t="n">
        <v>247.744</v>
      </c>
      <c r="G113" s="97" t="n">
        <v>265.068</v>
      </c>
      <c r="H113" s="97" t="n">
        <v>279.435</v>
      </c>
      <c r="I113" s="97" t="n">
        <v>291.56</v>
      </c>
      <c r="J113" s="97" t="n">
        <v>286.086</v>
      </c>
    </row>
    <row r="114" ht="16" customHeight="1">
      <c r="A114" s="96" t="inlineStr"/>
      <c r="B114" s="94" t="inlineStr">
        <is>
          <t>Gross Margin %</t>
        </is>
      </c>
      <c r="C114" s="72" t="n">
        <v>0.361</v>
      </c>
      <c r="D114" s="72" t="n">
        <v>0.374</v>
      </c>
      <c r="E114" s="72" t="n">
        <v>0.376</v>
      </c>
      <c r="F114" s="72" t="n">
        <v>0.384</v>
      </c>
      <c r="G114" s="72" t="n">
        <v>0.373</v>
      </c>
      <c r="H114" s="72" t="n">
        <v>0.383</v>
      </c>
      <c r="I114" s="72" t="n">
        <v>0.39</v>
      </c>
      <c r="J114" s="72" t="n">
        <v>0.395</v>
      </c>
    </row>
    <row r="115" ht="16" customHeight="1">
      <c r="A115" s="96" t="inlineStr"/>
      <c r="B115" s="25" t="inlineStr">
        <is>
          <t>QoQ Rev Growth</t>
        </is>
      </c>
      <c r="C115" s="50" t="n"/>
      <c r="D115" s="76" t="n">
        <v>0.007579947874030382</v>
      </c>
      <c r="E115" s="76" t="n">
        <v>0.06652496223166919</v>
      </c>
      <c r="F115" s="76" t="n">
        <v>0.02014395598965625</v>
      </c>
      <c r="G115" s="76" t="n">
        <v>0.06992702144148799</v>
      </c>
      <c r="H115" s="76" t="n">
        <v>0.05420118611073385</v>
      </c>
      <c r="I115" s="76" t="n">
        <v>0.04339112852720668</v>
      </c>
      <c r="J115" s="76" t="n">
        <v>-0.01877486623679517</v>
      </c>
    </row>
    <row r="116" ht="16" customHeight="1">
      <c r="A116" s="96" t="inlineStr"/>
      <c r="B116" s="20" t="inlineStr">
        <is>
          <t>YoY Rev Growth</t>
        </is>
      </c>
      <c r="C116" s="47" t="n"/>
      <c r="D116" s="47" t="n"/>
      <c r="E116" s="47" t="n"/>
      <c r="F116" s="47" t="n"/>
      <c r="G116" s="72" t="n">
        <v>0.1729139656004</v>
      </c>
      <c r="H116" s="72" t="n">
        <v>0.2271852931876471</v>
      </c>
      <c r="I116" s="72" t="n">
        <v>0.2005666002338873</v>
      </c>
      <c r="J116" s="72" t="n">
        <v>0.1547645957117024</v>
      </c>
    </row>
    <row r="117" ht="8" customHeight="1"/>
    <row r="118" ht="18" customHeight="1">
      <c r="A118" s="94" t="inlineStr">
        <is>
          <t>WYFI  —  WhiteFiber, Inc. Ordinary Shares</t>
        </is>
      </c>
      <c r="C118" s="38" t="inlineStr">
        <is>
          <t>Small Cap</t>
        </is>
      </c>
      <c r="D118" s="75" t="inlineStr">
        <is>
          <t>Mkt Cap: $899M</t>
        </is>
      </c>
      <c r="E118" s="95" t="n"/>
      <c r="F118" s="95" t="n"/>
      <c r="G118" s="95" t="n"/>
      <c r="H118" s="95" t="n"/>
      <c r="I118" s="95" t="n"/>
      <c r="J118" s="95" t="n"/>
      <c r="K118" s="95" t="n"/>
    </row>
    <row r="119" ht="16" customHeight="1">
      <c r="A119" s="96" t="inlineStr"/>
      <c r="B119" s="18" t="inlineStr">
        <is>
          <t>Quarter</t>
        </is>
      </c>
      <c r="C119" s="18" t="inlineStr">
        <is>
          <t>2024-06-30</t>
        </is>
      </c>
      <c r="D119" s="18" t="inlineStr">
        <is>
          <t>2024-09-30</t>
        </is>
      </c>
      <c r="E119" s="18" t="inlineStr">
        <is>
          <t>2024-12-31</t>
        </is>
      </c>
      <c r="F119" s="18" t="inlineStr">
        <is>
          <t>2025-03-31</t>
        </is>
      </c>
      <c r="G119" s="18" t="inlineStr">
        <is>
          <t>2025-06-30</t>
        </is>
      </c>
      <c r="H119" s="18" t="inlineStr">
        <is>
          <t>2025-09-30</t>
        </is>
      </c>
      <c r="I119" s="18" t="inlineStr">
        <is>
          <t>2025-12-31</t>
        </is>
      </c>
      <c r="J119" s="18" t="inlineStr">
        <is>
          <t>2026-03-31</t>
        </is>
      </c>
    </row>
    <row r="120" ht="16" customHeight="1">
      <c r="A120" s="96" t="inlineStr"/>
      <c r="B120" s="67" t="inlineStr">
        <is>
          <t>Revenue ($M)</t>
        </is>
      </c>
      <c r="C120" s="97" t="n">
        <v>12.589701</v>
      </c>
      <c r="D120" s="97" t="n">
        <v>11.959051</v>
      </c>
      <c r="E120" s="97" t="n">
        <v>14.921153</v>
      </c>
      <c r="F120" s="97" t="n">
        <v>16.767516</v>
      </c>
      <c r="G120" s="97" t="n">
        <v>18.662249</v>
      </c>
      <c r="H120" s="97" t="n">
        <v>20.179766</v>
      </c>
      <c r="I120" s="97" t="n">
        <v>23.560975</v>
      </c>
      <c r="J120" s="97" t="n">
        <v>21.923451</v>
      </c>
    </row>
    <row r="121" ht="16" customHeight="1">
      <c r="A121" s="96" t="inlineStr"/>
      <c r="B121" s="94" t="inlineStr">
        <is>
          <t>Gross Margin %</t>
        </is>
      </c>
      <c r="C121" s="72" t="n">
        <v>0.292</v>
      </c>
      <c r="D121" s="72" t="n">
        <v>0.182</v>
      </c>
      <c r="E121" s="72" t="n">
        <v>0.197</v>
      </c>
      <c r="F121" s="72" t="n">
        <v>0.603</v>
      </c>
      <c r="G121" s="72" t="n">
        <v>0.614</v>
      </c>
      <c r="H121" s="72" t="n">
        <v>0.654</v>
      </c>
      <c r="I121" s="72" t="n">
        <v>0.608</v>
      </c>
      <c r="J121" s="72" t="n">
        <v>0.602</v>
      </c>
    </row>
    <row r="122" ht="16" customHeight="1">
      <c r="A122" s="96" t="inlineStr"/>
      <c r="B122" s="25" t="inlineStr">
        <is>
          <t>QoQ Rev Growth</t>
        </is>
      </c>
      <c r="C122" s="50" t="n"/>
      <c r="D122" s="76" t="n">
        <v>-0.05009253198308681</v>
      </c>
      <c r="E122" s="76" t="n">
        <v>0.2476870447328973</v>
      </c>
      <c r="F122" s="76" t="n">
        <v>0.1237413087313025</v>
      </c>
      <c r="G122" s="76" t="n">
        <v>0.1130002201876533</v>
      </c>
      <c r="H122" s="76" t="n">
        <v>0.0813147975895081</v>
      </c>
      <c r="I122" s="76" t="n">
        <v>0.1675544206013093</v>
      </c>
      <c r="J122" s="76" t="n">
        <v>-0.06950153803057811</v>
      </c>
    </row>
    <row r="123" ht="16" customHeight="1">
      <c r="A123" s="96" t="inlineStr"/>
      <c r="B123" s="20" t="inlineStr">
        <is>
          <t>YoY Rev Growth</t>
        </is>
      </c>
      <c r="C123" s="47" t="n"/>
      <c r="D123" s="47" t="n"/>
      <c r="E123" s="47" t="n"/>
      <c r="F123" s="47" t="n"/>
      <c r="G123" s="72" t="n">
        <v>0.4823425115497183</v>
      </c>
      <c r="H123" s="72" t="n">
        <v>0.687405296624289</v>
      </c>
      <c r="I123" s="72" t="n">
        <v>0.5790317946609086</v>
      </c>
      <c r="J123" s="72" t="n">
        <v>0.30749545728777</v>
      </c>
    </row>
    <row r="124" ht="8" customHeight="1"/>
    <row r="125" ht="18" customHeight="1">
      <c r="A125" s="94" t="inlineStr">
        <is>
          <t>SWBI  —  Smith &amp; Wesson Brands, Inc.</t>
        </is>
      </c>
      <c r="C125" s="38" t="inlineStr">
        <is>
          <t>Small Cap</t>
        </is>
      </c>
      <c r="D125" s="75" t="inlineStr">
        <is>
          <t>Mkt Cap: $659M</t>
        </is>
      </c>
      <c r="E125" s="95" t="n"/>
      <c r="F125" s="95" t="n"/>
      <c r="G125" s="95" t="n"/>
      <c r="H125" s="95" t="n"/>
      <c r="I125" s="95" t="n"/>
      <c r="J125" s="95" t="n"/>
      <c r="K125" s="95" t="n"/>
    </row>
    <row r="126" ht="16" customHeight="1">
      <c r="A126" s="96" t="inlineStr"/>
      <c r="B126" s="18" t="inlineStr">
        <is>
          <t>Quarter</t>
        </is>
      </c>
      <c r="C126" s="18" t="inlineStr">
        <is>
          <t>2024-04-30</t>
        </is>
      </c>
      <c r="D126" s="18" t="inlineStr">
        <is>
          <t>2024-07-31</t>
        </is>
      </c>
      <c r="E126" s="18" t="inlineStr">
        <is>
          <t>2024-10-31</t>
        </is>
      </c>
      <c r="F126" s="18" t="inlineStr">
        <is>
          <t>2025-01-31</t>
        </is>
      </c>
      <c r="G126" s="18" t="inlineStr">
        <is>
          <t>2025-04-30</t>
        </is>
      </c>
      <c r="H126" s="18" t="inlineStr">
        <is>
          <t>2025-07-31</t>
        </is>
      </c>
      <c r="I126" s="18" t="inlineStr">
        <is>
          <t>2025-10-31</t>
        </is>
      </c>
      <c r="J126" s="18" t="inlineStr">
        <is>
          <t>2026-01-31</t>
        </is>
      </c>
    </row>
    <row r="127" ht="16" customHeight="1">
      <c r="A127" s="96" t="inlineStr"/>
      <c r="B127" s="67" t="inlineStr">
        <is>
          <t>Revenue ($M)</t>
        </is>
      </c>
      <c r="C127" s="97" t="n">
        <v>159.147</v>
      </c>
      <c r="D127" s="97" t="n">
        <v>88.334</v>
      </c>
      <c r="E127" s="97" t="n">
        <v>129.679</v>
      </c>
      <c r="F127" s="97" t="n">
        <v>115.885</v>
      </c>
      <c r="G127" s="97" t="n">
        <v>140.762</v>
      </c>
      <c r="H127" s="97" t="n">
        <v>85.077</v>
      </c>
      <c r="I127" s="97" t="n">
        <v>124.67</v>
      </c>
      <c r="J127" s="97" t="n">
        <v>135.71</v>
      </c>
    </row>
    <row r="128" ht="16" customHeight="1">
      <c r="A128" s="96" t="inlineStr"/>
      <c r="B128" s="94" t="inlineStr">
        <is>
          <t>Gross Margin %</t>
        </is>
      </c>
      <c r="C128" s="72" t="n">
        <v>0.356</v>
      </c>
      <c r="D128" s="72" t="n">
        <v>0.274</v>
      </c>
      <c r="E128" s="72" t="n">
        <v>0.266</v>
      </c>
      <c r="F128" s="72" t="n">
        <v>0.241</v>
      </c>
      <c r="G128" s="72" t="n">
        <v>0.288</v>
      </c>
      <c r="H128" s="72" t="n">
        <v>0.259</v>
      </c>
      <c r="I128" s="72" t="n">
        <v>0.243</v>
      </c>
      <c r="J128" s="72" t="n">
        <v>0.262</v>
      </c>
    </row>
    <row r="129" ht="16" customHeight="1">
      <c r="A129" s="96" t="inlineStr"/>
      <c r="B129" s="25" t="inlineStr">
        <is>
          <t>QoQ Rev Growth</t>
        </is>
      </c>
      <c r="C129" s="50" t="n"/>
      <c r="D129" s="76" t="n">
        <v>-0.4449534078556303</v>
      </c>
      <c r="E129" s="76" t="n">
        <v>0.4680530712975751</v>
      </c>
      <c r="F129" s="76" t="n">
        <v>-0.1063703452370854</v>
      </c>
      <c r="G129" s="76" t="n">
        <v>0.2146697156663934</v>
      </c>
      <c r="H129" s="76" t="n">
        <v>-0.3955968230062091</v>
      </c>
      <c r="I129" s="76" t="n">
        <v>0.465378421900161</v>
      </c>
      <c r="J129" s="76" t="n">
        <v>0.08855378198443892</v>
      </c>
    </row>
    <row r="130" ht="16" customHeight="1">
      <c r="A130" s="96" t="inlineStr"/>
      <c r="B130" s="20" t="inlineStr">
        <is>
          <t>YoY Rev Growth</t>
        </is>
      </c>
      <c r="C130" s="47" t="n"/>
      <c r="D130" s="47" t="n"/>
      <c r="E130" s="47" t="n"/>
      <c r="F130" s="47" t="n"/>
      <c r="G130" s="72" t="n">
        <v>-0.1155221273413888</v>
      </c>
      <c r="H130" s="72" t="n">
        <v>-0.03687141983834084</v>
      </c>
      <c r="I130" s="72" t="n">
        <v>-0.03862614609921421</v>
      </c>
      <c r="J130" s="72" t="n">
        <v>0.1710747724036761</v>
      </c>
    </row>
    <row r="131" ht="8" customHeight="1"/>
    <row r="132" ht="18" customHeight="1">
      <c r="A132" s="94" t="inlineStr">
        <is>
          <t>ROCK  —  Gibraltar Industries, Inc.</t>
        </is>
      </c>
      <c r="C132" s="38" t="inlineStr">
        <is>
          <t>Small Cap</t>
        </is>
      </c>
      <c r="D132" s="75" t="inlineStr">
        <is>
          <t>Mkt Cap: $1097M</t>
        </is>
      </c>
      <c r="E132" s="95" t="n"/>
      <c r="F132" s="95" t="n"/>
      <c r="G132" s="95" t="n"/>
      <c r="H132" s="95" t="n"/>
      <c r="I132" s="95" t="n"/>
      <c r="J132" s="95" t="n"/>
      <c r="K132" s="95" t="n"/>
    </row>
    <row r="133" ht="16" customHeight="1">
      <c r="A133" s="96" t="inlineStr"/>
      <c r="B133" s="18" t="inlineStr">
        <is>
          <t>Quarter</t>
        </is>
      </c>
      <c r="C133" s="18" t="inlineStr">
        <is>
          <t>2024-06-30</t>
        </is>
      </c>
      <c r="D133" s="18" t="inlineStr">
        <is>
          <t>2024-09-30</t>
        </is>
      </c>
      <c r="E133" s="18" t="inlineStr">
        <is>
          <t>2024-12-31</t>
        </is>
      </c>
      <c r="F133" s="18" t="inlineStr">
        <is>
          <t>2025-03-31</t>
        </is>
      </c>
      <c r="G133" s="18" t="inlineStr">
        <is>
          <t>2025-06-30</t>
        </is>
      </c>
      <c r="H133" s="18" t="inlineStr">
        <is>
          <t>2025-09-30</t>
        </is>
      </c>
      <c r="I133" s="18" t="inlineStr">
        <is>
          <t>2025-12-31</t>
        </is>
      </c>
      <c r="J133" s="18" t="inlineStr">
        <is>
          <t>2026-03-31</t>
        </is>
      </c>
    </row>
    <row r="134" ht="16" customHeight="1">
      <c r="A134" s="96" t="inlineStr"/>
      <c r="B134" s="67" t="inlineStr">
        <is>
          <t>Revenue ($M)</t>
        </is>
      </c>
      <c r="C134" s="97" t="n">
        <v>273.624</v>
      </c>
      <c r="D134" s="97" t="n">
        <v>361.196</v>
      </c>
      <c r="E134" s="97" t="n">
        <v>302.057</v>
      </c>
      <c r="F134" s="97" t="n">
        <v>290.015</v>
      </c>
      <c r="G134" s="97" t="n">
        <v>309.517</v>
      </c>
      <c r="H134" s="97" t="n">
        <v>310.939</v>
      </c>
      <c r="I134" s="97" t="n">
        <v>225.03</v>
      </c>
      <c r="J134" s="97" t="n">
        <v>356.287</v>
      </c>
    </row>
    <row r="135" ht="16" customHeight="1">
      <c r="A135" s="96" t="inlineStr"/>
      <c r="B135" s="94" t="inlineStr">
        <is>
          <t>Gross Margin %</t>
        </is>
      </c>
      <c r="C135" s="72" t="n">
        <v>0.305</v>
      </c>
      <c r="D135" s="72" t="n">
        <v>0.259</v>
      </c>
      <c r="E135" s="72" t="n">
        <v>0.258</v>
      </c>
      <c r="F135" s="72" t="n">
        <v>0.268</v>
      </c>
      <c r="G135" s="72" t="n">
        <v>0.284</v>
      </c>
      <c r="H135" s="72" t="n">
        <v>0.266</v>
      </c>
      <c r="I135" s="72" t="n">
        <v>0.253</v>
      </c>
      <c r="J135" s="72" t="n">
        <v>0.221</v>
      </c>
    </row>
    <row r="136" ht="16" customHeight="1">
      <c r="A136" s="96" t="inlineStr"/>
      <c r="B136" s="25" t="inlineStr">
        <is>
          <t>QoQ Rev Growth</t>
        </is>
      </c>
      <c r="C136" s="50" t="n"/>
      <c r="D136" s="76" t="n">
        <v>0.3200450252901792</v>
      </c>
      <c r="E136" s="76" t="n">
        <v>-0.1637310490703109</v>
      </c>
      <c r="F136" s="76" t="n">
        <v>-0.0398666476857017</v>
      </c>
      <c r="G136" s="76" t="n">
        <v>0.06724479768287847</v>
      </c>
      <c r="H136" s="76" t="n">
        <v>0.004594254919762081</v>
      </c>
      <c r="I136" s="76" t="n">
        <v>-0.2762889184052177</v>
      </c>
      <c r="J136" s="76" t="n">
        <v>0.5832866728880594</v>
      </c>
    </row>
    <row r="137" ht="16" customHeight="1">
      <c r="A137" s="96" t="inlineStr"/>
      <c r="B137" s="20" t="inlineStr">
        <is>
          <t>YoY Rev Growth</t>
        </is>
      </c>
      <c r="C137" s="47" t="n"/>
      <c r="D137" s="47" t="n"/>
      <c r="E137" s="47" t="n"/>
      <c r="F137" s="47" t="n"/>
      <c r="G137" s="72" t="n">
        <v>0.1311763587989358</v>
      </c>
      <c r="H137" s="72" t="n">
        <v>-0.1391405220434335</v>
      </c>
      <c r="I137" s="72" t="n">
        <v>-0.2550081607113889</v>
      </c>
      <c r="J137" s="72" t="n">
        <v>0.2285123183283623</v>
      </c>
    </row>
    <row r="138" ht="8" customHeight="1"/>
    <row r="139" ht="18" customHeight="1">
      <c r="A139" s="94" t="inlineStr">
        <is>
          <t>BUKS  —  Butler National Corporation</t>
        </is>
      </c>
      <c r="C139" s="38" t="inlineStr">
        <is>
          <t>Small Cap</t>
        </is>
      </c>
      <c r="D139" s="75" t="inlineStr">
        <is>
          <t>Mkt Cap: $322M</t>
        </is>
      </c>
      <c r="E139" s="95" t="n"/>
      <c r="F139" s="95" t="n"/>
      <c r="G139" s="95" t="n"/>
      <c r="H139" s="95" t="n"/>
      <c r="I139" s="95" t="n"/>
      <c r="J139" s="95" t="n"/>
      <c r="K139" s="95" t="n"/>
    </row>
    <row r="140" ht="16" customHeight="1">
      <c r="A140" s="96" t="inlineStr"/>
      <c r="B140" s="18" t="inlineStr">
        <is>
          <t>Quarter</t>
        </is>
      </c>
      <c r="C140" s="18" t="inlineStr">
        <is>
          <t>2024-04-30</t>
        </is>
      </c>
      <c r="D140" s="18" t="inlineStr">
        <is>
          <t>2024-07-31</t>
        </is>
      </c>
      <c r="E140" s="18" t="inlineStr">
        <is>
          <t>2024-10-31</t>
        </is>
      </c>
      <c r="F140" s="18" t="inlineStr">
        <is>
          <t>2025-01-31</t>
        </is>
      </c>
      <c r="G140" s="18" t="inlineStr">
        <is>
          <t>2025-04-30</t>
        </is>
      </c>
      <c r="H140" s="18" t="inlineStr">
        <is>
          <t>2025-07-31</t>
        </is>
      </c>
      <c r="I140" s="18" t="inlineStr">
        <is>
          <t>2025-10-31</t>
        </is>
      </c>
      <c r="J140" s="18" t="inlineStr">
        <is>
          <t>2026-01-31</t>
        </is>
      </c>
    </row>
    <row r="141" ht="16" customHeight="1">
      <c r="A141" s="96" t="inlineStr"/>
      <c r="B141" s="67" t="inlineStr">
        <is>
          <t>Revenue ($M)</t>
        </is>
      </c>
      <c r="C141" s="97" t="n">
        <v>22.63</v>
      </c>
      <c r="D141" s="97" t="n">
        <v>19.828</v>
      </c>
      <c r="E141" s="97" t="n">
        <v>21.36</v>
      </c>
      <c r="F141" s="97" t="n">
        <v>21.174</v>
      </c>
      <c r="G141" s="97" t="n">
        <v>21.605</v>
      </c>
      <c r="H141" s="97" t="n">
        <v>20.125</v>
      </c>
      <c r="I141" s="97" t="n">
        <v>23.251</v>
      </c>
      <c r="J141" s="97" t="n">
        <v>26.913</v>
      </c>
    </row>
    <row r="142" ht="16" customHeight="1">
      <c r="A142" s="96" t="inlineStr"/>
      <c r="B142" s="94" t="inlineStr">
        <is>
          <t>Gross Margin %</t>
        </is>
      </c>
      <c r="C142" s="72" t="n">
        <v>0.452</v>
      </c>
      <c r="D142" s="72" t="n">
        <v>0.427</v>
      </c>
      <c r="E142" s="72" t="n">
        <v>0.465</v>
      </c>
      <c r="F142" s="72" t="n">
        <v>0.417</v>
      </c>
      <c r="G142" s="72" t="n">
        <v>0.501</v>
      </c>
      <c r="H142" s="72" t="n">
        <v>0.478</v>
      </c>
      <c r="I142" s="72" t="n">
        <v>0.512</v>
      </c>
      <c r="J142" s="72" t="n">
        <v>0.5379999999999999</v>
      </c>
    </row>
    <row r="143" ht="16" customHeight="1">
      <c r="A143" s="96" t="inlineStr"/>
      <c r="B143" s="25" t="inlineStr">
        <is>
          <t>QoQ Rev Growth</t>
        </is>
      </c>
      <c r="C143" s="50" t="n"/>
      <c r="D143" s="76" t="n">
        <v>-0.1238179407865665</v>
      </c>
      <c r="E143" s="76" t="n">
        <v>0.07726447448053259</v>
      </c>
      <c r="F143" s="76" t="n">
        <v>-0.008707865168539325</v>
      </c>
      <c r="G143" s="76" t="n">
        <v>0.02035515254557476</v>
      </c>
      <c r="H143" s="76" t="n">
        <v>-0.06850266142096736</v>
      </c>
      <c r="I143" s="76" t="n">
        <v>0.1553291925465838</v>
      </c>
      <c r="J143" s="76" t="n">
        <v>0.1574986022106576</v>
      </c>
    </row>
    <row r="144" ht="16" customHeight="1">
      <c r="A144" s="96" t="inlineStr"/>
      <c r="B144" s="20" t="inlineStr">
        <is>
          <t>YoY Rev Growth</t>
        </is>
      </c>
      <c r="C144" s="47" t="n"/>
      <c r="D144" s="47" t="n"/>
      <c r="E144" s="47" t="n"/>
      <c r="F144" s="47" t="n"/>
      <c r="G144" s="72" t="n">
        <v>-0.0452938577110031</v>
      </c>
      <c r="H144" s="72" t="n">
        <v>0.01497881783336696</v>
      </c>
      <c r="I144" s="72" t="n">
        <v>0.08852996254681648</v>
      </c>
      <c r="J144" s="72" t="n">
        <v>0.2710399546613771</v>
      </c>
    </row>
    <row r="145" ht="8" customHeight="1"/>
    <row r="146" ht="22" customHeight="1">
      <c r="A146" s="16" t="inlineStr">
        <is>
          <t xml:space="preserve">  Breakout</t>
        </is>
      </c>
      <c r="B146" s="17" t="n"/>
      <c r="C146" s="17" t="n"/>
      <c r="D146" s="17" t="n"/>
      <c r="E146" s="17" t="n"/>
      <c r="F146" s="17" t="n"/>
      <c r="G146" s="17" t="n"/>
      <c r="H146" s="17" t="n"/>
      <c r="I146" s="17" t="n"/>
      <c r="J146" s="17" t="n"/>
      <c r="K146" s="17" t="n"/>
    </row>
    <row r="147" ht="18" customHeight="1">
      <c r="A147" s="94" t="inlineStr">
        <is>
          <t>KRMN  —  Karman Holdings Inc.</t>
        </is>
      </c>
      <c r="C147" s="38" t="inlineStr">
        <is>
          <t>Breakout</t>
        </is>
      </c>
      <c r="D147" s="75" t="inlineStr">
        <is>
          <t>Mkt Cap: $6552M</t>
        </is>
      </c>
      <c r="E147" s="95" t="n"/>
      <c r="F147" s="95" t="n"/>
      <c r="G147" s="95" t="n"/>
      <c r="H147" s="95" t="n"/>
      <c r="I147" s="95" t="n"/>
      <c r="J147" s="95" t="n"/>
      <c r="K147" s="95" t="n"/>
    </row>
    <row r="148" ht="16" customHeight="1">
      <c r="A148" s="96" t="inlineStr"/>
      <c r="B148" s="18" t="inlineStr">
        <is>
          <t>Quarter</t>
        </is>
      </c>
      <c r="C148" s="18" t="inlineStr">
        <is>
          <t>2024-06-30</t>
        </is>
      </c>
      <c r="D148" s="18" t="inlineStr">
        <is>
          <t>2024-09-30</t>
        </is>
      </c>
      <c r="E148" s="18" t="inlineStr">
        <is>
          <t>2024-12-31</t>
        </is>
      </c>
      <c r="F148" s="18" t="inlineStr">
        <is>
          <t>2025-03-31</t>
        </is>
      </c>
      <c r="G148" s="18" t="inlineStr">
        <is>
          <t>2025-06-30</t>
        </is>
      </c>
      <c r="H148" s="18" t="inlineStr">
        <is>
          <t>2025-09-30</t>
        </is>
      </c>
      <c r="I148" s="18" t="inlineStr">
        <is>
          <t>2025-12-31</t>
        </is>
      </c>
      <c r="J148" s="18" t="inlineStr">
        <is>
          <t>2026-03-31</t>
        </is>
      </c>
    </row>
    <row r="149" ht="16" customHeight="1">
      <c r="A149" s="96" t="inlineStr"/>
      <c r="B149" s="67" t="inlineStr">
        <is>
          <t>Revenue ($M)</t>
        </is>
      </c>
      <c r="C149" s="97" t="n">
        <v>85.039</v>
      </c>
      <c r="D149" s="97" t="n">
        <v>85.968</v>
      </c>
      <c r="E149" s="97" t="n">
        <v>91.23796900000001</v>
      </c>
      <c r="F149" s="97" t="n">
        <v>100.124</v>
      </c>
      <c r="G149" s="97" t="n">
        <v>115.097</v>
      </c>
      <c r="H149" s="97" t="n">
        <v>121.787</v>
      </c>
      <c r="I149" s="97" t="n">
        <v>134.492</v>
      </c>
      <c r="J149" s="97" t="n">
        <v>151.21</v>
      </c>
    </row>
    <row r="150" ht="16" customHeight="1">
      <c r="A150" s="96" t="inlineStr"/>
      <c r="B150" s="94" t="inlineStr">
        <is>
          <t>Gross Margin %</t>
        </is>
      </c>
      <c r="C150" s="72" t="n">
        <v>0.407</v>
      </c>
      <c r="D150" s="72" t="n">
        <v>0.393</v>
      </c>
      <c r="E150" s="72" t="n">
        <v>0.381</v>
      </c>
      <c r="F150" s="72" t="n">
        <v>0.394</v>
      </c>
      <c r="G150" s="72" t="n">
        <v>0.409</v>
      </c>
      <c r="H150" s="72" t="n">
        <v>0.41</v>
      </c>
      <c r="I150" s="72" t="n">
        <v>0.399</v>
      </c>
      <c r="J150" s="72" t="n">
        <v>0.422</v>
      </c>
    </row>
    <row r="151" ht="16" customHeight="1">
      <c r="A151" s="96" t="inlineStr"/>
      <c r="B151" s="25" t="inlineStr">
        <is>
          <t>QoQ Rev Growth</t>
        </is>
      </c>
      <c r="C151" s="50" t="n"/>
      <c r="D151" s="76" t="n">
        <v>0.01092439939321958</v>
      </c>
      <c r="E151" s="76" t="n">
        <v>0.06130151916992369</v>
      </c>
      <c r="F151" s="76" t="n">
        <v>0.09739400270955177</v>
      </c>
      <c r="G151" s="76" t="n">
        <v>0.1495445647397227</v>
      </c>
      <c r="H151" s="76" t="n">
        <v>0.05812488596575063</v>
      </c>
      <c r="I151" s="76" t="n">
        <v>0.1043214793040308</v>
      </c>
      <c r="J151" s="76" t="n">
        <v>0.1243047913630551</v>
      </c>
    </row>
    <row r="152" ht="16" customHeight="1">
      <c r="A152" s="96" t="inlineStr"/>
      <c r="B152" s="20" t="inlineStr">
        <is>
          <t>YoY Rev Growth</t>
        </is>
      </c>
      <c r="C152" s="47" t="n"/>
      <c r="D152" s="47" t="n"/>
      <c r="E152" s="47" t="n"/>
      <c r="F152" s="47" t="n"/>
      <c r="G152" s="72" t="n">
        <v>0.3534613530262585</v>
      </c>
      <c r="H152" s="72" t="n">
        <v>0.4166550344314163</v>
      </c>
      <c r="I152" s="72" t="n">
        <v>0.4740792838122032</v>
      </c>
      <c r="J152" s="72" t="n">
        <v>0.5102273181255244</v>
      </c>
    </row>
    <row r="153" ht="8" customHeight="1"/>
    <row r="154" ht="18" customHeight="1">
      <c r="A154" s="94" t="inlineStr">
        <is>
          <t>ESI  —  Element Solutions Inc</t>
        </is>
      </c>
      <c r="C154" s="38" t="inlineStr">
        <is>
          <t>Breakout</t>
        </is>
      </c>
      <c r="D154" s="75" t="inlineStr">
        <is>
          <t>Mkt Cap: $9705M</t>
        </is>
      </c>
      <c r="E154" s="95" t="n"/>
      <c r="F154" s="95" t="n"/>
      <c r="G154" s="95" t="n"/>
      <c r="H154" s="95" t="n"/>
      <c r="I154" s="95" t="n"/>
      <c r="J154" s="95" t="n"/>
      <c r="K154" s="95" t="n"/>
    </row>
    <row r="155" ht="16" customHeight="1">
      <c r="A155" s="96" t="inlineStr"/>
      <c r="B155" s="18" t="inlineStr">
        <is>
          <t>Quarter</t>
        </is>
      </c>
      <c r="C155" s="18" t="inlineStr">
        <is>
          <t>2024-06-30</t>
        </is>
      </c>
      <c r="D155" s="18" t="inlineStr">
        <is>
          <t>2024-09-30</t>
        </is>
      </c>
      <c r="E155" s="18" t="inlineStr">
        <is>
          <t>2024-12-31</t>
        </is>
      </c>
      <c r="F155" s="18" t="inlineStr">
        <is>
          <t>2025-03-31</t>
        </is>
      </c>
      <c r="G155" s="18" t="inlineStr">
        <is>
          <t>2025-06-30</t>
        </is>
      </c>
      <c r="H155" s="18" t="inlineStr">
        <is>
          <t>2025-09-30</t>
        </is>
      </c>
      <c r="I155" s="18" t="inlineStr">
        <is>
          <t>2025-12-31</t>
        </is>
      </c>
      <c r="J155" s="18" t="inlineStr">
        <is>
          <t>2026-03-31</t>
        </is>
      </c>
    </row>
    <row r="156" ht="16" customHeight="1">
      <c r="A156" s="96" t="inlineStr"/>
      <c r="B156" s="67" t="inlineStr">
        <is>
          <t>Revenue ($M)</t>
        </is>
      </c>
      <c r="C156" s="97" t="n">
        <v>612.7</v>
      </c>
      <c r="D156" s="97" t="n">
        <v>645</v>
      </c>
      <c r="E156" s="97" t="n">
        <v>624.2</v>
      </c>
      <c r="F156" s="97" t="n">
        <v>593.7</v>
      </c>
      <c r="G156" s="97" t="n">
        <v>625.2</v>
      </c>
      <c r="H156" s="97" t="n">
        <v>656.1</v>
      </c>
      <c r="I156" s="97" t="n">
        <v>676.2</v>
      </c>
      <c r="J156" s="97" t="n">
        <v>840</v>
      </c>
    </row>
    <row r="157" ht="16" customHeight="1">
      <c r="A157" s="96" t="inlineStr"/>
      <c r="B157" s="94" t="inlineStr">
        <is>
          <t>Gross Margin %</t>
        </is>
      </c>
      <c r="C157" s="72" t="n">
        <v>0.436</v>
      </c>
      <c r="D157" s="72" t="n">
        <v>0.415</v>
      </c>
      <c r="E157" s="72" t="n">
        <v>0.41</v>
      </c>
      <c r="F157" s="72" t="n">
        <v>0.422</v>
      </c>
      <c r="G157" s="72" t="n">
        <v>0.426</v>
      </c>
      <c r="H157" s="72" t="n">
        <v>0.422</v>
      </c>
      <c r="I157" s="72" t="n">
        <v>0.409</v>
      </c>
      <c r="J157" s="72" t="n">
        <v>0.384</v>
      </c>
    </row>
    <row r="158" ht="16" customHeight="1">
      <c r="A158" s="96" t="inlineStr"/>
      <c r="B158" s="25" t="inlineStr">
        <is>
          <t>QoQ Rev Growth</t>
        </is>
      </c>
      <c r="C158" s="50" t="n"/>
      <c r="D158" s="76" t="n">
        <v>0.05271748000652848</v>
      </c>
      <c r="E158" s="76" t="n">
        <v>-0.03224806201550388</v>
      </c>
      <c r="F158" s="76" t="n">
        <v>-0.04886254405639218</v>
      </c>
      <c r="G158" s="76" t="n">
        <v>0.05305709954522486</v>
      </c>
      <c r="H158" s="76" t="n">
        <v>0.04942418426103647</v>
      </c>
      <c r="I158" s="76" t="n">
        <v>0.03063557384545039</v>
      </c>
      <c r="J158" s="76" t="n">
        <v>0.2422360248447205</v>
      </c>
    </row>
    <row r="159" ht="16" customHeight="1">
      <c r="A159" s="96" t="inlineStr"/>
      <c r="B159" s="20" t="inlineStr">
        <is>
          <t>YoY Rev Growth</t>
        </is>
      </c>
      <c r="C159" s="47" t="n"/>
      <c r="D159" s="47" t="n"/>
      <c r="E159" s="47" t="n"/>
      <c r="F159" s="47" t="n"/>
      <c r="G159" s="72" t="n">
        <v>0.02040150155051412</v>
      </c>
      <c r="H159" s="72" t="n">
        <v>0.01720930232558139</v>
      </c>
      <c r="I159" s="72" t="n">
        <v>0.08330663248958667</v>
      </c>
      <c r="J159" s="72" t="n">
        <v>0.414855987872663</v>
      </c>
    </row>
    <row r="160" ht="8" customHeight="1"/>
    <row r="161" ht="18" customHeight="1">
      <c r="A161" s="94" t="inlineStr">
        <is>
          <t>RUN  —  Sunrun Inc.</t>
        </is>
      </c>
      <c r="C161" s="38" t="inlineStr">
        <is>
          <t>Breakout</t>
        </is>
      </c>
      <c r="D161" s="75" t="inlineStr">
        <is>
          <t>Mkt Cap: $3186M</t>
        </is>
      </c>
      <c r="E161" s="95" t="n"/>
      <c r="F161" s="95" t="n"/>
      <c r="G161" s="95" t="n"/>
      <c r="H161" s="95" t="n"/>
      <c r="I161" s="95" t="n"/>
      <c r="J161" s="95" t="n"/>
      <c r="K161" s="95" t="n"/>
    </row>
    <row r="162" ht="16" customHeight="1">
      <c r="A162" s="96" t="inlineStr"/>
      <c r="B162" s="18" t="inlineStr">
        <is>
          <t>Quarter</t>
        </is>
      </c>
      <c r="C162" s="18" t="inlineStr">
        <is>
          <t>2024-06-30</t>
        </is>
      </c>
      <c r="D162" s="18" t="inlineStr">
        <is>
          <t>2024-09-30</t>
        </is>
      </c>
      <c r="E162" s="18" t="inlineStr">
        <is>
          <t>2024-12-31</t>
        </is>
      </c>
      <c r="F162" s="18" t="inlineStr">
        <is>
          <t>2025-03-31</t>
        </is>
      </c>
      <c r="G162" s="18" t="inlineStr">
        <is>
          <t>2025-06-30</t>
        </is>
      </c>
      <c r="H162" s="18" t="inlineStr">
        <is>
          <t>2025-09-30</t>
        </is>
      </c>
      <c r="I162" s="18" t="inlineStr">
        <is>
          <t>2025-12-31</t>
        </is>
      </c>
      <c r="J162" s="18" t="inlineStr">
        <is>
          <t>2026-03-31</t>
        </is>
      </c>
    </row>
    <row r="163" ht="16" customHeight="1">
      <c r="A163" s="96" t="inlineStr"/>
      <c r="B163" s="67" t="inlineStr">
        <is>
          <t>Revenue ($M)</t>
        </is>
      </c>
      <c r="C163" s="97" t="n">
        <v>523.866</v>
      </c>
      <c r="D163" s="97" t="n">
        <v>537.173</v>
      </c>
      <c r="E163" s="97" t="n">
        <v>518.492</v>
      </c>
      <c r="F163" s="97" t="n">
        <v>504.271</v>
      </c>
      <c r="G163" s="97" t="n">
        <v>569.336</v>
      </c>
      <c r="H163" s="97" t="n">
        <v>724.557</v>
      </c>
      <c r="I163" s="97" t="n">
        <v>1158.833</v>
      </c>
      <c r="J163" s="97" t="n">
        <v>722.231</v>
      </c>
    </row>
    <row r="164" ht="16" customHeight="1">
      <c r="A164" s="96" t="inlineStr"/>
      <c r="B164" s="94" t="inlineStr">
        <is>
          <t>Gross Margin %</t>
        </is>
      </c>
      <c r="C164" s="72" t="n">
        <v>0.181</v>
      </c>
      <c r="D164" s="72" t="n">
        <v>0.193</v>
      </c>
      <c r="E164" s="72" t="n">
        <v>0.188</v>
      </c>
      <c r="F164" s="72" t="n">
        <v>0.196</v>
      </c>
      <c r="G164" s="72" t="n">
        <v>0.166</v>
      </c>
      <c r="H164" s="72" t="n">
        <v>0.336</v>
      </c>
      <c r="I164" s="72" t="n">
        <v>0.353</v>
      </c>
      <c r="J164" s="72" t="n">
        <v>0.304</v>
      </c>
    </row>
    <row r="165" ht="16" customHeight="1">
      <c r="A165" s="96" t="inlineStr"/>
      <c r="B165" s="25" t="inlineStr">
        <is>
          <t>QoQ Rev Growth</t>
        </is>
      </c>
      <c r="C165" s="50" t="n"/>
      <c r="D165" s="76" t="n">
        <v>0.0254015339800636</v>
      </c>
      <c r="E165" s="76" t="n">
        <v>-0.0347765058928874</v>
      </c>
      <c r="F165" s="76" t="n">
        <v>-0.02742761701241292</v>
      </c>
      <c r="G165" s="76" t="n">
        <v>0.1290278441552261</v>
      </c>
      <c r="H165" s="76" t="n">
        <v>0.2726351398822488</v>
      </c>
      <c r="I165" s="76" t="n">
        <v>0.5993676135900972</v>
      </c>
      <c r="J165" s="76" t="n">
        <v>-0.3767600681029967</v>
      </c>
    </row>
    <row r="166" ht="16" customHeight="1">
      <c r="A166" s="96" t="inlineStr"/>
      <c r="B166" s="20" t="inlineStr">
        <is>
          <t>YoY Rev Growth</t>
        </is>
      </c>
      <c r="C166" s="47" t="n"/>
      <c r="D166" s="47" t="n"/>
      <c r="E166" s="47" t="n"/>
      <c r="F166" s="47" t="n"/>
      <c r="G166" s="72" t="n">
        <v>0.0867970053410605</v>
      </c>
      <c r="H166" s="72" t="n">
        <v>0.3488336159859114</v>
      </c>
      <c r="I166" s="72" t="n">
        <v>1.235006518904824</v>
      </c>
      <c r="J166" s="72" t="n">
        <v>0.4322279091996169</v>
      </c>
    </row>
    <row r="167" ht="8" customHeight="1"/>
    <row r="168" ht="18" customHeight="1">
      <c r="A168" s="94" t="inlineStr">
        <is>
          <t>LYFT  —  Lyft, Inc.</t>
        </is>
      </c>
      <c r="C168" s="38" t="inlineStr">
        <is>
          <t>Breakout</t>
        </is>
      </c>
      <c r="D168" s="75" t="inlineStr">
        <is>
          <t>Mkt Cap: $5183M</t>
        </is>
      </c>
      <c r="E168" s="95" t="n"/>
      <c r="F168" s="95" t="n"/>
      <c r="G168" s="95" t="n"/>
      <c r="H168" s="95" t="n"/>
      <c r="I168" s="95" t="n"/>
      <c r="J168" s="95" t="n"/>
      <c r="K168" s="95" t="n"/>
    </row>
    <row r="169" ht="16" customHeight="1">
      <c r="A169" s="96" t="inlineStr"/>
      <c r="B169" s="18" t="inlineStr">
        <is>
          <t>Quarter</t>
        </is>
      </c>
      <c r="C169" s="18" t="inlineStr">
        <is>
          <t>2024-06-30</t>
        </is>
      </c>
      <c r="D169" s="18" t="inlineStr">
        <is>
          <t>2024-09-30</t>
        </is>
      </c>
      <c r="E169" s="18" t="inlineStr">
        <is>
          <t>2024-12-31</t>
        </is>
      </c>
      <c r="F169" s="18" t="inlineStr">
        <is>
          <t>2025-03-31</t>
        </is>
      </c>
      <c r="G169" s="18" t="inlineStr">
        <is>
          <t>2025-06-30</t>
        </is>
      </c>
      <c r="H169" s="18" t="inlineStr">
        <is>
          <t>2025-09-30</t>
        </is>
      </c>
      <c r="I169" s="18" t="inlineStr">
        <is>
          <t>2025-12-31</t>
        </is>
      </c>
      <c r="J169" s="18" t="inlineStr">
        <is>
          <t>2026-03-31</t>
        </is>
      </c>
    </row>
    <row r="170" ht="16" customHeight="1">
      <c r="A170" s="96" t="inlineStr"/>
      <c r="B170" s="67" t="inlineStr">
        <is>
          <t>Revenue ($M)</t>
        </is>
      </c>
      <c r="C170" s="97" t="n">
        <v>1435.846</v>
      </c>
      <c r="D170" s="97" t="n">
        <v>1522.692</v>
      </c>
      <c r="E170" s="97" t="n">
        <v>1550.277</v>
      </c>
      <c r="F170" s="97" t="n">
        <v>1450.172</v>
      </c>
      <c r="G170" s="97" t="n">
        <v>1588.183</v>
      </c>
      <c r="H170" s="97" t="n">
        <v>1685.195</v>
      </c>
      <c r="I170" s="97" t="n">
        <v>1592.711</v>
      </c>
      <c r="J170" s="97" t="n">
        <v>1650.489</v>
      </c>
    </row>
    <row r="171" ht="16" customHeight="1">
      <c r="A171" s="96" t="inlineStr"/>
      <c r="B171" s="94" t="inlineStr">
        <is>
          <t>Gross Margin %</t>
        </is>
      </c>
      <c r="C171" s="72" t="n">
        <v>0.429</v>
      </c>
      <c r="D171" s="72" t="n">
        <v>0.417</v>
      </c>
      <c r="E171" s="72" t="n">
        <v>0.436</v>
      </c>
      <c r="F171" s="72" t="n">
        <v>0.405</v>
      </c>
      <c r="G171" s="72" t="n">
        <v>0.411</v>
      </c>
      <c r="H171" s="72" t="n">
        <v>0.45</v>
      </c>
      <c r="I171" s="72" t="n">
        <v>0.39</v>
      </c>
      <c r="J171" s="72" t="n">
        <v>0.476</v>
      </c>
    </row>
    <row r="172" ht="16" customHeight="1">
      <c r="A172" s="96" t="inlineStr"/>
      <c r="B172" s="25" t="inlineStr">
        <is>
          <t>QoQ Rev Growth</t>
        </is>
      </c>
      <c r="C172" s="50" t="n"/>
      <c r="D172" s="76" t="n">
        <v>0.06048420234481971</v>
      </c>
      <c r="E172" s="76" t="n">
        <v>0.01811594202898551</v>
      </c>
      <c r="F172" s="76" t="n">
        <v>-0.06457233126725095</v>
      </c>
      <c r="G172" s="76" t="n">
        <v>0.095168711021865</v>
      </c>
      <c r="H172" s="76" t="n">
        <v>0.06108364086506404</v>
      </c>
      <c r="I172" s="76" t="n">
        <v>-0.05488029575212364</v>
      </c>
      <c r="J172" s="76" t="n">
        <v>0.03627651218582656</v>
      </c>
    </row>
    <row r="173" ht="16" customHeight="1">
      <c r="A173" s="96" t="inlineStr"/>
      <c r="B173" s="20" t="inlineStr">
        <is>
          <t>YoY Rev Growth</t>
        </is>
      </c>
      <c r="C173" s="47" t="n"/>
      <c r="D173" s="47" t="n"/>
      <c r="E173" s="47" t="n"/>
      <c r="F173" s="47" t="n"/>
      <c r="G173" s="72" t="n">
        <v>0.1060956397830965</v>
      </c>
      <c r="H173" s="72" t="n">
        <v>0.1067208601608204</v>
      </c>
      <c r="I173" s="72" t="n">
        <v>0.02737188257324336</v>
      </c>
      <c r="J173" s="72" t="n">
        <v>0.1381332697086966</v>
      </c>
    </row>
    <row r="174" ht="8" customHeight="1"/>
    <row r="175" ht="18" customHeight="1">
      <c r="A175" s="94" t="inlineStr">
        <is>
          <t>FELE  —  Franklin Electric Co., Inc.</t>
        </is>
      </c>
      <c r="C175" s="38" t="inlineStr">
        <is>
          <t>Breakout</t>
        </is>
      </c>
      <c r="D175" s="75" t="inlineStr">
        <is>
          <t>Mkt Cap: $4355M</t>
        </is>
      </c>
      <c r="E175" s="95" t="n"/>
      <c r="F175" s="95" t="n"/>
      <c r="G175" s="95" t="n"/>
      <c r="H175" s="95" t="n"/>
      <c r="I175" s="95" t="n"/>
      <c r="J175" s="95" t="n"/>
      <c r="K175" s="95" t="n"/>
    </row>
    <row r="176" ht="16" customHeight="1">
      <c r="A176" s="96" t="inlineStr"/>
      <c r="B176" s="18" t="inlineStr">
        <is>
          <t>Quarter</t>
        </is>
      </c>
      <c r="C176" s="18" t="inlineStr">
        <is>
          <t>2024-06-30</t>
        </is>
      </c>
      <c r="D176" s="18" t="inlineStr">
        <is>
          <t>2024-09-30</t>
        </is>
      </c>
      <c r="E176" s="18" t="inlineStr">
        <is>
          <t>2024-12-31</t>
        </is>
      </c>
      <c r="F176" s="18" t="inlineStr">
        <is>
          <t>2025-03-31</t>
        </is>
      </c>
      <c r="G176" s="18" t="inlineStr">
        <is>
          <t>2025-06-30</t>
        </is>
      </c>
      <c r="H176" s="18" t="inlineStr">
        <is>
          <t>2025-09-30</t>
        </is>
      </c>
      <c r="I176" s="18" t="inlineStr">
        <is>
          <t>2025-12-31</t>
        </is>
      </c>
      <c r="J176" s="18" t="inlineStr">
        <is>
          <t>2026-03-31</t>
        </is>
      </c>
    </row>
    <row r="177" ht="16" customHeight="1">
      <c r="A177" s="96" t="inlineStr"/>
      <c r="B177" s="67" t="inlineStr">
        <is>
          <t>Revenue ($M)</t>
        </is>
      </c>
      <c r="C177" s="97" t="n">
        <v>543.258</v>
      </c>
      <c r="D177" s="97" t="n">
        <v>531.438</v>
      </c>
      <c r="E177" s="97" t="n">
        <v>485.745</v>
      </c>
      <c r="F177" s="97" t="n">
        <v>455.247</v>
      </c>
      <c r="G177" s="97" t="n">
        <v>587.434</v>
      </c>
      <c r="H177" s="97" t="n">
        <v>581.7140000000001</v>
      </c>
      <c r="I177" s="97" t="n">
        <v>506.855</v>
      </c>
      <c r="J177" s="97" t="n">
        <v>500.437</v>
      </c>
    </row>
    <row r="178" ht="16" customHeight="1">
      <c r="A178" s="96" t="inlineStr"/>
      <c r="B178" s="94" t="inlineStr">
        <is>
          <t>Gross Margin %</t>
        </is>
      </c>
      <c r="C178" s="72" t="n">
        <v>0.368</v>
      </c>
      <c r="D178" s="72" t="n">
        <v>0.357</v>
      </c>
      <c r="E178" s="72" t="n">
        <v>0.338</v>
      </c>
      <c r="F178" s="72" t="n">
        <v>0.36</v>
      </c>
      <c r="G178" s="72" t="n">
        <v>0.361</v>
      </c>
      <c r="H178" s="72" t="n">
        <v>0.359</v>
      </c>
      <c r="I178" s="72" t="n">
        <v>0.338</v>
      </c>
      <c r="J178" s="72" t="n">
        <v>0.35</v>
      </c>
    </row>
    <row r="179" ht="16" customHeight="1">
      <c r="A179" s="96" t="inlineStr"/>
      <c r="B179" s="25" t="inlineStr">
        <is>
          <t>QoQ Rev Growth</t>
        </is>
      </c>
      <c r="C179" s="50" t="n"/>
      <c r="D179" s="76" t="n">
        <v>-0.02175761792739361</v>
      </c>
      <c r="E179" s="76" t="n">
        <v>-0.08597992616260033</v>
      </c>
      <c r="F179" s="76" t="n">
        <v>-0.062786029706945</v>
      </c>
      <c r="G179" s="76" t="n">
        <v>0.2903632533547723</v>
      </c>
      <c r="H179" s="76" t="n">
        <v>-0.009737264101158598</v>
      </c>
      <c r="I179" s="76" t="n">
        <v>-0.1286869492568513</v>
      </c>
      <c r="J179" s="76" t="n">
        <v>-0.01266239851634096</v>
      </c>
    </row>
    <row r="180" ht="16" customHeight="1">
      <c r="A180" s="96" t="inlineStr"/>
      <c r="B180" s="20" t="inlineStr">
        <is>
          <t>YoY Rev Growth</t>
        </is>
      </c>
      <c r="C180" s="47" t="n"/>
      <c r="D180" s="47" t="n"/>
      <c r="E180" s="47" t="n"/>
      <c r="F180" s="47" t="n"/>
      <c r="G180" s="72" t="n">
        <v>0.0813167960711117</v>
      </c>
      <c r="H180" s="72" t="n">
        <v>0.0946036978913815</v>
      </c>
      <c r="I180" s="72" t="n">
        <v>0.04345901656218798</v>
      </c>
      <c r="J180" s="72" t="n">
        <v>0.09926479471583557</v>
      </c>
    </row>
    <row r="181" ht="8" customHeight="1"/>
    <row r="182" ht="18" customHeight="1">
      <c r="A182" s="94" t="inlineStr">
        <is>
          <t>ALGM  —  Allegro MicroSystems, Inc.</t>
        </is>
      </c>
      <c r="C182" s="38" t="inlineStr">
        <is>
          <t>Breakout</t>
        </is>
      </c>
      <c r="D182" s="75" t="inlineStr">
        <is>
          <t>Mkt Cap: $8639M</t>
        </is>
      </c>
      <c r="E182" s="95" t="n"/>
      <c r="F182" s="95" t="n"/>
      <c r="G182" s="95" t="n"/>
      <c r="H182" s="95" t="n"/>
      <c r="I182" s="95" t="n"/>
      <c r="J182" s="95" t="n"/>
      <c r="K182" s="95" t="n"/>
    </row>
    <row r="183" ht="16" customHeight="1">
      <c r="A183" s="96" t="inlineStr"/>
      <c r="B183" s="18" t="inlineStr">
        <is>
          <t>Quarter</t>
        </is>
      </c>
      <c r="C183" s="18" t="inlineStr">
        <is>
          <t>2024-06-28</t>
        </is>
      </c>
      <c r="D183" s="18" t="inlineStr">
        <is>
          <t>2024-09-27</t>
        </is>
      </c>
      <c r="E183" s="18" t="inlineStr">
        <is>
          <t>2024-12-27</t>
        </is>
      </c>
      <c r="F183" s="18" t="inlineStr">
        <is>
          <t>2025-03-28</t>
        </is>
      </c>
      <c r="G183" s="18" t="inlineStr">
        <is>
          <t>2025-06-27</t>
        </is>
      </c>
      <c r="H183" s="18" t="inlineStr">
        <is>
          <t>2025-09-26</t>
        </is>
      </c>
      <c r="I183" s="18" t="inlineStr">
        <is>
          <t>2025-12-26</t>
        </is>
      </c>
      <c r="J183" s="18" t="inlineStr">
        <is>
          <t>2026-03-27</t>
        </is>
      </c>
    </row>
    <row r="184" ht="16" customHeight="1">
      <c r="A184" s="96" t="inlineStr"/>
      <c r="B184" s="67" t="inlineStr">
        <is>
          <t>Revenue ($M)</t>
        </is>
      </c>
      <c r="C184" s="97" t="n">
        <v>166.919</v>
      </c>
      <c r="D184" s="97" t="n">
        <v>187.391</v>
      </c>
      <c r="E184" s="97" t="n">
        <v>177.872</v>
      </c>
      <c r="F184" s="97" t="n">
        <v>192.824</v>
      </c>
      <c r="G184" s="97" t="n">
        <v>203.405</v>
      </c>
      <c r="H184" s="97" t="n">
        <v>214.294</v>
      </c>
      <c r="I184" s="97" t="n">
        <v>229.21</v>
      </c>
      <c r="J184" s="97" t="n">
        <v>243.187</v>
      </c>
    </row>
    <row r="185" ht="16" customHeight="1">
      <c r="A185" s="96" t="inlineStr"/>
      <c r="B185" s="94" t="inlineStr">
        <is>
          <t>Gross Margin %</t>
        </is>
      </c>
      <c r="C185" s="72" t="n">
        <v>0.448</v>
      </c>
      <c r="D185" s="72" t="n">
        <v>0.457</v>
      </c>
      <c r="E185" s="72" t="n">
        <v>0.457</v>
      </c>
      <c r="F185" s="72" t="n">
        <v>0.414</v>
      </c>
      <c r="G185" s="72" t="n">
        <v>0.449</v>
      </c>
      <c r="H185" s="72" t="n">
        <v>0.463</v>
      </c>
      <c r="I185" s="72" t="n">
        <v>0.467</v>
      </c>
      <c r="J185" s="72" t="n">
        <v>0.471</v>
      </c>
    </row>
    <row r="186" ht="16" customHeight="1">
      <c r="A186" s="96" t="inlineStr"/>
      <c r="B186" s="25" t="inlineStr">
        <is>
          <t>QoQ Rev Growth</t>
        </is>
      </c>
      <c r="C186" s="50" t="n"/>
      <c r="D186" s="76" t="n">
        <v>0.1226463134813892</v>
      </c>
      <c r="E186" s="76" t="n">
        <v>-0.05079753029761301</v>
      </c>
      <c r="F186" s="76" t="n">
        <v>0.08406044796257983</v>
      </c>
      <c r="G186" s="76" t="n">
        <v>0.05487387462141642</v>
      </c>
      <c r="H186" s="76" t="n">
        <v>0.05353359061969962</v>
      </c>
      <c r="I186" s="76" t="n">
        <v>0.06960530859473434</v>
      </c>
      <c r="J186" s="76" t="n">
        <v>0.06097901487718686</v>
      </c>
    </row>
    <row r="187" ht="16" customHeight="1">
      <c r="A187" s="96" t="inlineStr"/>
      <c r="B187" s="20" t="inlineStr">
        <is>
          <t>YoY Rev Growth</t>
        </is>
      </c>
      <c r="C187" s="47" t="n"/>
      <c r="D187" s="47" t="n"/>
      <c r="E187" s="47" t="n"/>
      <c r="F187" s="47" t="n"/>
      <c r="G187" s="72" t="n">
        <v>0.2185850622158053</v>
      </c>
      <c r="H187" s="72" t="n">
        <v>0.1435661264415047</v>
      </c>
      <c r="I187" s="72" t="n">
        <v>0.2886232796617793</v>
      </c>
      <c r="J187" s="72" t="n">
        <v>0.2611863668423018</v>
      </c>
    </row>
    <row r="188" ht="8" customHeight="1"/>
    <row r="189" ht="18" customHeight="1">
      <c r="A189" s="94" t="inlineStr">
        <is>
          <t>IPGP  —  IPG Photonics Corporation</t>
        </is>
      </c>
      <c r="C189" s="38" t="inlineStr">
        <is>
          <t>Breakout</t>
        </is>
      </c>
      <c r="D189" s="75" t="inlineStr">
        <is>
          <t>Mkt Cap: $4557M</t>
        </is>
      </c>
      <c r="E189" s="95" t="n"/>
      <c r="F189" s="95" t="n"/>
      <c r="G189" s="95" t="n"/>
      <c r="H189" s="95" t="n"/>
      <c r="I189" s="95" t="n"/>
      <c r="J189" s="95" t="n"/>
      <c r="K189" s="95" t="n"/>
    </row>
    <row r="190" ht="16" customHeight="1">
      <c r="A190" s="96" t="inlineStr"/>
      <c r="B190" s="18" t="inlineStr">
        <is>
          <t>Quarter</t>
        </is>
      </c>
      <c r="C190" s="18" t="inlineStr">
        <is>
          <t>2024-06-30</t>
        </is>
      </c>
      <c r="D190" s="18" t="inlineStr">
        <is>
          <t>2024-09-30</t>
        </is>
      </c>
      <c r="E190" s="18" t="inlineStr">
        <is>
          <t>2024-12-31</t>
        </is>
      </c>
      <c r="F190" s="18" t="inlineStr">
        <is>
          <t>2025-03-31</t>
        </is>
      </c>
      <c r="G190" s="18" t="inlineStr">
        <is>
          <t>2025-06-30</t>
        </is>
      </c>
      <c r="H190" s="18" t="inlineStr">
        <is>
          <t>2025-09-30</t>
        </is>
      </c>
      <c r="I190" s="18" t="inlineStr">
        <is>
          <t>2025-12-31</t>
        </is>
      </c>
      <c r="J190" s="18" t="inlineStr">
        <is>
          <t>2026-03-31</t>
        </is>
      </c>
    </row>
    <row r="191" ht="16" customHeight="1">
      <c r="A191" s="96" t="inlineStr"/>
      <c r="B191" s="67" t="inlineStr">
        <is>
          <t>Revenue ($M)</t>
        </is>
      </c>
      <c r="C191" s="97" t="n">
        <v>257.645</v>
      </c>
      <c r="D191" s="97" t="n">
        <v>233.143</v>
      </c>
      <c r="E191" s="97" t="n">
        <v>234.337</v>
      </c>
      <c r="F191" s="97" t="n">
        <v>227.793</v>
      </c>
      <c r="G191" s="97" t="n">
        <v>250.721</v>
      </c>
      <c r="H191" s="97" t="n">
        <v>250.792</v>
      </c>
      <c r="I191" s="97" t="n">
        <v>274.471</v>
      </c>
      <c r="J191" s="97" t="n">
        <v>265.497</v>
      </c>
    </row>
    <row r="192" ht="16" customHeight="1">
      <c r="A192" s="96" t="inlineStr"/>
      <c r="B192" s="94" t="inlineStr">
        <is>
          <t>Gross Margin %</t>
        </is>
      </c>
      <c r="C192" s="72" t="n">
        <v>0.373</v>
      </c>
      <c r="D192" s="72" t="n">
        <v>0.232</v>
      </c>
      <c r="E192" s="72" t="n">
        <v>0.386</v>
      </c>
      <c r="F192" s="72" t="n">
        <v>0.394</v>
      </c>
      <c r="G192" s="72" t="n">
        <v>0.373</v>
      </c>
      <c r="H192" s="72" t="n">
        <v>0.395</v>
      </c>
      <c r="I192" s="72" t="n">
        <v>0.361</v>
      </c>
      <c r="J192" s="72" t="n">
        <v>0.375</v>
      </c>
    </row>
    <row r="193" ht="16" customHeight="1">
      <c r="A193" s="96" t="inlineStr"/>
      <c r="B193" s="25" t="inlineStr">
        <is>
          <t>QoQ Rev Growth</t>
        </is>
      </c>
      <c r="C193" s="50" t="n"/>
      <c r="D193" s="76" t="n">
        <v>-0.09509984668827262</v>
      </c>
      <c r="E193" s="76" t="n">
        <v>0.005121320391347799</v>
      </c>
      <c r="F193" s="76" t="n">
        <v>-0.02792559433636174</v>
      </c>
      <c r="G193" s="76" t="n">
        <v>0.1006527856431058</v>
      </c>
      <c r="H193" s="76" t="n">
        <v>0.0002831832993646324</v>
      </c>
      <c r="I193" s="76" t="n">
        <v>0.09441688730103033</v>
      </c>
      <c r="J193" s="76" t="n">
        <v>-0.03269562175967589</v>
      </c>
    </row>
    <row r="194" ht="16" customHeight="1">
      <c r="A194" s="96" t="inlineStr"/>
      <c r="B194" s="20" t="inlineStr">
        <is>
          <t>YoY Rev Growth</t>
        </is>
      </c>
      <c r="C194" s="47" t="n"/>
      <c r="D194" s="47" t="n"/>
      <c r="E194" s="47" t="n"/>
      <c r="F194" s="47" t="n"/>
      <c r="G194" s="72" t="n">
        <v>-0.02687418735081216</v>
      </c>
      <c r="H194" s="72" t="n">
        <v>0.07570032126205806</v>
      </c>
      <c r="I194" s="72" t="n">
        <v>0.1712661679546977</v>
      </c>
      <c r="J194" s="72" t="n">
        <v>0.1655186946043118</v>
      </c>
    </row>
    <row r="195" ht="8" customHeight="1"/>
    <row r="196" ht="18" customHeight="1">
      <c r="A196" s="94" t="inlineStr">
        <is>
          <t>ESAB  —  ESAB Corporation</t>
        </is>
      </c>
      <c r="C196" s="38" t="inlineStr">
        <is>
          <t>Breakout</t>
        </is>
      </c>
      <c r="D196" s="75" t="inlineStr">
        <is>
          <t>Mkt Cap: $5354M</t>
        </is>
      </c>
      <c r="E196" s="95" t="n"/>
      <c r="F196" s="95" t="n"/>
      <c r="G196" s="95" t="n"/>
      <c r="H196" s="95" t="n"/>
      <c r="I196" s="95" t="n"/>
      <c r="J196" s="95" t="n"/>
      <c r="K196" s="95" t="n"/>
    </row>
    <row r="197" ht="16" customHeight="1">
      <c r="A197" s="96" t="inlineStr"/>
      <c r="B197" s="18" t="inlineStr">
        <is>
          <t>Quarter</t>
        </is>
      </c>
      <c r="C197" s="18" t="inlineStr">
        <is>
          <t>2024-06-28</t>
        </is>
      </c>
      <c r="D197" s="18" t="inlineStr">
        <is>
          <t>2024-09-27</t>
        </is>
      </c>
      <c r="E197" s="18" t="inlineStr">
        <is>
          <t>2024-12-31</t>
        </is>
      </c>
      <c r="F197" s="18" t="inlineStr">
        <is>
          <t>2025-04-04</t>
        </is>
      </c>
      <c r="G197" s="18" t="inlineStr">
        <is>
          <t>2025-07-04</t>
        </is>
      </c>
      <c r="H197" s="18" t="inlineStr">
        <is>
          <t>2025-10-03</t>
        </is>
      </c>
      <c r="I197" s="18" t="inlineStr">
        <is>
          <t>2025-12-31</t>
        </is>
      </c>
      <c r="J197" s="18" t="inlineStr">
        <is>
          <t>2026-04-03</t>
        </is>
      </c>
    </row>
    <row r="198" ht="16" customHeight="1">
      <c r="A198" s="96" t="inlineStr"/>
      <c r="B198" s="67" t="inlineStr">
        <is>
          <t>Revenue ($M)</t>
        </is>
      </c>
      <c r="C198" s="97" t="n">
        <v>707.053</v>
      </c>
      <c r="D198" s="97" t="n">
        <v>673.25</v>
      </c>
      <c r="E198" s="97" t="n">
        <v>670.756</v>
      </c>
      <c r="F198" s="97" t="n">
        <v>678.138</v>
      </c>
      <c r="G198" s="97" t="n">
        <v>715.586</v>
      </c>
      <c r="H198" s="97" t="n">
        <v>727.845</v>
      </c>
      <c r="I198" s="97" t="n">
        <v>720.986</v>
      </c>
      <c r="J198" s="97" t="n">
        <v>745.597</v>
      </c>
    </row>
    <row r="199" ht="16" customHeight="1">
      <c r="A199" s="96" t="inlineStr"/>
      <c r="B199" s="94" t="inlineStr">
        <is>
          <t>Gross Margin %</t>
        </is>
      </c>
      <c r="C199" s="72" t="n">
        <v>0.382</v>
      </c>
      <c r="D199" s="72" t="n">
        <v>0.377</v>
      </c>
      <c r="E199" s="72" t="n">
        <v>0.385</v>
      </c>
      <c r="F199" s="72" t="n">
        <v>0.376</v>
      </c>
      <c r="G199" s="72" t="n">
        <v>0.3720000000000001</v>
      </c>
      <c r="H199" s="72" t="n">
        <v>0.37</v>
      </c>
      <c r="I199" s="72" t="n">
        <v>0.305</v>
      </c>
      <c r="J199" s="72" t="n">
        <v>0.369</v>
      </c>
    </row>
    <row r="200" ht="16" customHeight="1">
      <c r="A200" s="96" t="inlineStr"/>
      <c r="B200" s="25" t="inlineStr">
        <is>
          <t>QoQ Rev Growth</t>
        </is>
      </c>
      <c r="C200" s="50" t="n"/>
      <c r="D200" s="76" t="n">
        <v>-0.04780829725635843</v>
      </c>
      <c r="E200" s="76" t="n">
        <v>-0.003704418863720757</v>
      </c>
      <c r="F200" s="76" t="n">
        <v>0.01100549231016942</v>
      </c>
      <c r="G200" s="76" t="n">
        <v>0.05522179851298703</v>
      </c>
      <c r="H200" s="76" t="n">
        <v>0.01713141397400173</v>
      </c>
      <c r="I200" s="76" t="n">
        <v>-0.009423709718415323</v>
      </c>
      <c r="J200" s="76" t="n">
        <v>0.03413519818692735</v>
      </c>
    </row>
    <row r="201" ht="16" customHeight="1">
      <c r="A201" s="96" t="inlineStr"/>
      <c r="B201" s="20" t="inlineStr">
        <is>
          <t>YoY Rev Growth</t>
        </is>
      </c>
      <c r="C201" s="47" t="n"/>
      <c r="D201" s="47" t="n"/>
      <c r="E201" s="47" t="n"/>
      <c r="F201" s="47" t="n"/>
      <c r="G201" s="72" t="n">
        <v>0.01206840222727292</v>
      </c>
      <c r="H201" s="72" t="n">
        <v>0.08109171927218715</v>
      </c>
      <c r="I201" s="72" t="n">
        <v>0.07488565141422514</v>
      </c>
      <c r="J201" s="72" t="n">
        <v>0.0994768026566864</v>
      </c>
    </row>
    <row r="202" ht="8" customHeight="1"/>
    <row r="203" ht="18" customHeight="1">
      <c r="A203" s="94" t="inlineStr">
        <is>
          <t>PINS  —  Pinterest, Inc.</t>
        </is>
      </c>
      <c r="C203" s="38" t="inlineStr">
        <is>
          <t>Breakout</t>
        </is>
      </c>
      <c r="D203" s="75" t="inlineStr">
        <is>
          <t>Mkt Cap: $14238M</t>
        </is>
      </c>
      <c r="E203" s="95" t="n"/>
      <c r="F203" s="95" t="n"/>
      <c r="G203" s="95" t="n"/>
      <c r="H203" s="95" t="n"/>
      <c r="I203" s="95" t="n"/>
      <c r="J203" s="95" t="n"/>
      <c r="K203" s="95" t="n"/>
    </row>
    <row r="204" ht="16" customHeight="1">
      <c r="A204" s="96" t="inlineStr"/>
      <c r="B204" s="18" t="inlineStr">
        <is>
          <t>Quarter</t>
        </is>
      </c>
      <c r="C204" s="18" t="inlineStr">
        <is>
          <t>2024-06-30</t>
        </is>
      </c>
      <c r="D204" s="18" t="inlineStr">
        <is>
          <t>2024-09-30</t>
        </is>
      </c>
      <c r="E204" s="18" t="inlineStr">
        <is>
          <t>2024-12-31</t>
        </is>
      </c>
      <c r="F204" s="18" t="inlineStr">
        <is>
          <t>2025-03-31</t>
        </is>
      </c>
      <c r="G204" s="18" t="inlineStr">
        <is>
          <t>2025-06-30</t>
        </is>
      </c>
      <c r="H204" s="18" t="inlineStr">
        <is>
          <t>2025-09-30</t>
        </is>
      </c>
      <c r="I204" s="18" t="inlineStr">
        <is>
          <t>2025-12-31</t>
        </is>
      </c>
      <c r="J204" s="18" t="inlineStr">
        <is>
          <t>2026-03-31</t>
        </is>
      </c>
    </row>
    <row r="205" ht="16" customHeight="1">
      <c r="A205" s="96" t="inlineStr"/>
      <c r="B205" s="67" t="inlineStr">
        <is>
          <t>Revenue ($M)</t>
        </is>
      </c>
      <c r="C205" s="97" t="n">
        <v>853.6799999999999</v>
      </c>
      <c r="D205" s="97" t="n">
        <v>898.373</v>
      </c>
      <c r="E205" s="97" t="n">
        <v>1154.13</v>
      </c>
      <c r="F205" s="97" t="n">
        <v>854.9880000000001</v>
      </c>
      <c r="G205" s="97" t="n">
        <v>998.227</v>
      </c>
      <c r="H205" s="97" t="n">
        <v>1049.205</v>
      </c>
      <c r="I205" s="97" t="n">
        <v>1319.347</v>
      </c>
      <c r="J205" s="97" t="n">
        <v>1007.514</v>
      </c>
    </row>
    <row r="206" ht="16" customHeight="1">
      <c r="A206" s="96" t="inlineStr"/>
      <c r="B206" s="94" t="inlineStr">
        <is>
          <t>Gross Margin %</t>
        </is>
      </c>
      <c r="C206" s="72" t="n">
        <v>0.7829999999999999</v>
      </c>
      <c r="D206" s="72" t="n">
        <v>0.7909999999999999</v>
      </c>
      <c r="E206" s="72" t="n">
        <v>0.8290000000000001</v>
      </c>
      <c r="F206" s="72" t="n">
        <v>0.767</v>
      </c>
      <c r="G206" s="72" t="n">
        <v>0.797</v>
      </c>
      <c r="H206" s="72" t="n">
        <v>0.7979999999999999</v>
      </c>
      <c r="I206" s="72" t="n">
        <v>0.828</v>
      </c>
      <c r="J206" s="72" t="n">
        <v>0.763</v>
      </c>
    </row>
    <row r="207" ht="16" customHeight="1">
      <c r="A207" s="96" t="inlineStr"/>
      <c r="B207" s="25" t="inlineStr">
        <is>
          <t>QoQ Rev Growth</t>
        </is>
      </c>
      <c r="C207" s="50" t="n"/>
      <c r="D207" s="76" t="n">
        <v>0.0523533408302877</v>
      </c>
      <c r="E207" s="76" t="n">
        <v>0.2846890990713212</v>
      </c>
      <c r="F207" s="76" t="n">
        <v>-0.2591926386109017</v>
      </c>
      <c r="G207" s="76" t="n">
        <v>0.1675333454972467</v>
      </c>
      <c r="H207" s="76" t="n">
        <v>0.05106854452945071</v>
      </c>
      <c r="I207" s="76" t="n">
        <v>0.2574730391105647</v>
      </c>
      <c r="J207" s="76" t="n">
        <v>-0.2363540448418801</v>
      </c>
    </row>
    <row r="208" ht="16" customHeight="1">
      <c r="A208" s="96" t="inlineStr"/>
      <c r="B208" s="20" t="inlineStr">
        <is>
          <t>YoY Rev Growth</t>
        </is>
      </c>
      <c r="C208" s="47" t="n"/>
      <c r="D208" s="47" t="n"/>
      <c r="E208" s="47" t="n"/>
      <c r="F208" s="47" t="n"/>
      <c r="G208" s="72" t="n">
        <v>0.1693222284696842</v>
      </c>
      <c r="H208" s="72" t="n">
        <v>0.1678946272873294</v>
      </c>
      <c r="I208" s="72" t="n">
        <v>0.1431528510653046</v>
      </c>
      <c r="J208" s="72" t="n">
        <v>0.1783954862524386</v>
      </c>
    </row>
    <row r="209" ht="8" customHeight="1"/>
    <row r="210" ht="18" customHeight="1">
      <c r="A210" s="94" t="inlineStr">
        <is>
          <t>RVTY  —  Revvity, Inc.</t>
        </is>
      </c>
      <c r="C210" s="38" t="inlineStr">
        <is>
          <t>Breakout</t>
        </is>
      </c>
      <c r="D210" s="75" t="inlineStr">
        <is>
          <t>Mkt Cap: $10974M</t>
        </is>
      </c>
      <c r="E210" s="95" t="n"/>
      <c r="F210" s="95" t="n"/>
      <c r="G210" s="95" t="n"/>
      <c r="H210" s="95" t="n"/>
      <c r="I210" s="95" t="n"/>
      <c r="J210" s="95" t="n"/>
      <c r="K210" s="95" t="n"/>
    </row>
    <row r="211" ht="16" customHeight="1">
      <c r="A211" s="96" t="inlineStr"/>
      <c r="B211" s="18" t="inlineStr">
        <is>
          <t>Quarter</t>
        </is>
      </c>
      <c r="C211" s="18" t="inlineStr">
        <is>
          <t>2024-06-30</t>
        </is>
      </c>
      <c r="D211" s="18" t="inlineStr">
        <is>
          <t>2024-09-29</t>
        </is>
      </c>
      <c r="E211" s="18" t="inlineStr">
        <is>
          <t>2024-12-29</t>
        </is>
      </c>
      <c r="F211" s="18" t="inlineStr">
        <is>
          <t>2025-03-30</t>
        </is>
      </c>
      <c r="G211" s="18" t="inlineStr">
        <is>
          <t>2025-06-29</t>
        </is>
      </c>
      <c r="H211" s="18" t="inlineStr">
        <is>
          <t>2025-09-28</t>
        </is>
      </c>
      <c r="I211" s="18" t="inlineStr">
        <is>
          <t>2025-12-28</t>
        </is>
      </c>
      <c r="J211" s="18" t="inlineStr">
        <is>
          <t>2026-04-05</t>
        </is>
      </c>
    </row>
    <row r="212" ht="16" customHeight="1">
      <c r="A212" s="96" t="inlineStr"/>
      <c r="B212" s="67" t="inlineStr">
        <is>
          <t>Revenue ($M)</t>
        </is>
      </c>
      <c r="C212" s="97" t="n">
        <v>691.6849999999999</v>
      </c>
      <c r="D212" s="97" t="n">
        <v>684.049</v>
      </c>
      <c r="E212" s="97" t="n">
        <v>729.372</v>
      </c>
      <c r="F212" s="97" t="n">
        <v>664.7619999999999</v>
      </c>
      <c r="G212" s="97" t="n">
        <v>720.284</v>
      </c>
      <c r="H212" s="97" t="n">
        <v>698.949</v>
      </c>
      <c r="I212" s="97" t="n">
        <v>772.056</v>
      </c>
      <c r="J212" s="97" t="n">
        <v>711.1180000000001</v>
      </c>
    </row>
    <row r="213" ht="16" customHeight="1">
      <c r="A213" s="96" t="inlineStr"/>
      <c r="B213" s="94" t="inlineStr">
        <is>
          <t>Gross Margin %</t>
        </is>
      </c>
      <c r="C213" s="72" t="n">
        <v>0.5570000000000001</v>
      </c>
      <c r="D213" s="72" t="n">
        <v>0.5629999999999999</v>
      </c>
      <c r="E213" s="72" t="n">
        <v>0.493</v>
      </c>
      <c r="F213" s="72" t="n">
        <v>0.5649999999999999</v>
      </c>
      <c r="G213" s="72" t="n">
        <v>0.545</v>
      </c>
      <c r="H213" s="72" t="n">
        <v>0.536</v>
      </c>
      <c r="I213" s="72" t="n">
        <v>0.4379999999999999</v>
      </c>
      <c r="J213" s="72" t="n">
        <v>0.545</v>
      </c>
    </row>
    <row r="214" ht="16" customHeight="1">
      <c r="A214" s="96" t="inlineStr"/>
      <c r="B214" s="25" t="inlineStr">
        <is>
          <t>QoQ Rev Growth</t>
        </is>
      </c>
      <c r="C214" s="50" t="n"/>
      <c r="D214" s="76" t="n">
        <v>-0.01103970738125013</v>
      </c>
      <c r="E214" s="76" t="n">
        <v>0.06625694942906137</v>
      </c>
      <c r="F214" s="76" t="n">
        <v>-0.0885830550117087</v>
      </c>
      <c r="G214" s="76" t="n">
        <v>0.08352162127197403</v>
      </c>
      <c r="H214" s="76" t="n">
        <v>-0.02962026089709059</v>
      </c>
      <c r="I214" s="76" t="n">
        <v>0.104595614272286</v>
      </c>
      <c r="J214" s="76" t="n">
        <v>-0.07892950770410437</v>
      </c>
    </row>
    <row r="215" ht="16" customHeight="1">
      <c r="A215" s="96" t="inlineStr"/>
      <c r="B215" s="20" t="inlineStr">
        <is>
          <t>YoY Rev Growth</t>
        </is>
      </c>
      <c r="C215" s="47" t="n"/>
      <c r="D215" s="47" t="n"/>
      <c r="E215" s="47" t="n"/>
      <c r="F215" s="47" t="n"/>
      <c r="G215" s="72" t="n">
        <v>0.04134685586647101</v>
      </c>
      <c r="H215" s="72" t="n">
        <v>0.02178206531988205</v>
      </c>
      <c r="I215" s="72" t="n">
        <v>0.05852157746664254</v>
      </c>
      <c r="J215" s="72" t="n">
        <v>0.06973322783191578</v>
      </c>
    </row>
    <row r="216" ht="8" customHeight="1"/>
  </sheetData>
  <mergeCells count="35">
    <mergeCell ref="A182:B182"/>
    <mergeCell ref="A132:B132"/>
    <mergeCell ref="A61:B61"/>
    <mergeCell ref="A1:K1"/>
    <mergeCell ref="A168:B168"/>
    <mergeCell ref="A146:K146"/>
    <mergeCell ref="A54:B54"/>
    <mergeCell ref="A196:B196"/>
    <mergeCell ref="A90:B90"/>
    <mergeCell ref="A118:B118"/>
    <mergeCell ref="A189:B189"/>
    <mergeCell ref="A75:K75"/>
    <mergeCell ref="A154:B154"/>
    <mergeCell ref="A12:B12"/>
    <mergeCell ref="A26:B26"/>
    <mergeCell ref="A139:B139"/>
    <mergeCell ref="A210:B210"/>
    <mergeCell ref="A104:B104"/>
    <mergeCell ref="A175:B175"/>
    <mergeCell ref="A76:B76"/>
    <mergeCell ref="A33:B33"/>
    <mergeCell ref="A47:B47"/>
    <mergeCell ref="A5:B5"/>
    <mergeCell ref="A2:K2"/>
    <mergeCell ref="A203:B203"/>
    <mergeCell ref="A97:B97"/>
    <mergeCell ref="A125:B125"/>
    <mergeCell ref="A4:K4"/>
    <mergeCell ref="A147:B147"/>
    <mergeCell ref="A19:B19"/>
    <mergeCell ref="A68:B68"/>
    <mergeCell ref="A161:B161"/>
    <mergeCell ref="A111:B111"/>
    <mergeCell ref="A40:B40"/>
    <mergeCell ref="A83:B83"/>
  </mergeCells>
  <conditionalFormatting sqref="C8:J8">
    <cfRule type="colorScale" priority="1">
      <colorScale>
        <cfvo type="min"/>
        <cfvo type="max"/>
        <color rgb="00FFFFFF"/>
        <color rgb="002A9D8F"/>
      </colorScale>
    </cfRule>
  </conditionalFormatting>
  <conditionalFormatting sqref="D9:J9">
    <cfRule type="colorScale" priority="2">
      <colorScale>
        <cfvo type="min"/>
        <cfvo type="num" val="0"/>
        <cfvo type="max"/>
        <color rgb="00E76F51"/>
        <color rgb="00FFFFFF"/>
        <color rgb="002A9D8F"/>
      </colorScale>
    </cfRule>
  </conditionalFormatting>
  <conditionalFormatting sqref="C15:J15">
    <cfRule type="colorScale" priority="3">
      <colorScale>
        <cfvo type="min"/>
        <cfvo type="max"/>
        <color rgb="00FFFFFF"/>
        <color rgb="002A9D8F"/>
      </colorScale>
    </cfRule>
  </conditionalFormatting>
  <conditionalFormatting sqref="D16:J16">
    <cfRule type="colorScale" priority="4">
      <colorScale>
        <cfvo type="min"/>
        <cfvo type="num" val="0"/>
        <cfvo type="max"/>
        <color rgb="00E76F51"/>
        <color rgb="00FFFFFF"/>
        <color rgb="002A9D8F"/>
      </colorScale>
    </cfRule>
  </conditionalFormatting>
  <conditionalFormatting sqref="C22:J22">
    <cfRule type="colorScale" priority="5">
      <colorScale>
        <cfvo type="min"/>
        <cfvo type="max"/>
        <color rgb="00FFFFFF"/>
        <color rgb="002A9D8F"/>
      </colorScale>
    </cfRule>
  </conditionalFormatting>
  <conditionalFormatting sqref="D23:J23">
    <cfRule type="colorScale" priority="6">
      <colorScale>
        <cfvo type="min"/>
        <cfvo type="num" val="0"/>
        <cfvo type="max"/>
        <color rgb="00E76F51"/>
        <color rgb="00FFFFFF"/>
        <color rgb="002A9D8F"/>
      </colorScale>
    </cfRule>
  </conditionalFormatting>
  <conditionalFormatting sqref="C29:J29">
    <cfRule type="colorScale" priority="7">
      <colorScale>
        <cfvo type="min"/>
        <cfvo type="max"/>
        <color rgb="00FFFFFF"/>
        <color rgb="002A9D8F"/>
      </colorScale>
    </cfRule>
  </conditionalFormatting>
  <conditionalFormatting sqref="D30:J30">
    <cfRule type="colorScale" priority="8">
      <colorScale>
        <cfvo type="min"/>
        <cfvo type="num" val="0"/>
        <cfvo type="max"/>
        <color rgb="00E76F51"/>
        <color rgb="00FFFFFF"/>
        <color rgb="002A9D8F"/>
      </colorScale>
    </cfRule>
  </conditionalFormatting>
  <conditionalFormatting sqref="C36:J36">
    <cfRule type="colorScale" priority="9">
      <colorScale>
        <cfvo type="min"/>
        <cfvo type="max"/>
        <color rgb="00FFFFFF"/>
        <color rgb="002A9D8F"/>
      </colorScale>
    </cfRule>
  </conditionalFormatting>
  <conditionalFormatting sqref="D37:J37">
    <cfRule type="colorScale" priority="10">
      <colorScale>
        <cfvo type="min"/>
        <cfvo type="num" val="0"/>
        <cfvo type="max"/>
        <color rgb="00E76F51"/>
        <color rgb="00FFFFFF"/>
        <color rgb="002A9D8F"/>
      </colorScale>
    </cfRule>
  </conditionalFormatting>
  <conditionalFormatting sqref="C43:I43">
    <cfRule type="colorScale" priority="11">
      <colorScale>
        <cfvo type="min"/>
        <cfvo type="max"/>
        <color rgb="00FFFFFF"/>
        <color rgb="002A9D8F"/>
      </colorScale>
    </cfRule>
  </conditionalFormatting>
  <conditionalFormatting sqref="D44:I44">
    <cfRule type="colorScale" priority="12">
      <colorScale>
        <cfvo type="min"/>
        <cfvo type="num" val="0"/>
        <cfvo type="max"/>
        <color rgb="00E76F51"/>
        <color rgb="00FFFFFF"/>
        <color rgb="002A9D8F"/>
      </colorScale>
    </cfRule>
  </conditionalFormatting>
  <conditionalFormatting sqref="C50:J50">
    <cfRule type="colorScale" priority="13">
      <colorScale>
        <cfvo type="min"/>
        <cfvo type="max"/>
        <color rgb="00FFFFFF"/>
        <color rgb="002A9D8F"/>
      </colorScale>
    </cfRule>
  </conditionalFormatting>
  <conditionalFormatting sqref="D51:J51">
    <cfRule type="colorScale" priority="14">
      <colorScale>
        <cfvo type="min"/>
        <cfvo type="num" val="0"/>
        <cfvo type="max"/>
        <color rgb="00E76F51"/>
        <color rgb="00FFFFFF"/>
        <color rgb="002A9D8F"/>
      </colorScale>
    </cfRule>
  </conditionalFormatting>
  <conditionalFormatting sqref="C57:J57">
    <cfRule type="colorScale" priority="15">
      <colorScale>
        <cfvo type="min"/>
        <cfvo type="max"/>
        <color rgb="00FFFFFF"/>
        <color rgb="002A9D8F"/>
      </colorScale>
    </cfRule>
  </conditionalFormatting>
  <conditionalFormatting sqref="D58:J58">
    <cfRule type="colorScale" priority="16">
      <colorScale>
        <cfvo type="min"/>
        <cfvo type="num" val="0"/>
        <cfvo type="max"/>
        <color rgb="00E76F51"/>
        <color rgb="00FFFFFF"/>
        <color rgb="002A9D8F"/>
      </colorScale>
    </cfRule>
  </conditionalFormatting>
  <conditionalFormatting sqref="C64:J64">
    <cfRule type="colorScale" priority="17">
      <colorScale>
        <cfvo type="min"/>
        <cfvo type="max"/>
        <color rgb="00FFFFFF"/>
        <color rgb="002A9D8F"/>
      </colorScale>
    </cfRule>
  </conditionalFormatting>
  <conditionalFormatting sqref="D65:J65">
    <cfRule type="colorScale" priority="18">
      <colorScale>
        <cfvo type="min"/>
        <cfvo type="num" val="0"/>
        <cfvo type="max"/>
        <color rgb="00E76F51"/>
        <color rgb="00FFFFFF"/>
        <color rgb="002A9D8F"/>
      </colorScale>
    </cfRule>
  </conditionalFormatting>
  <conditionalFormatting sqref="C71:J71">
    <cfRule type="colorScale" priority="19">
      <colorScale>
        <cfvo type="min"/>
        <cfvo type="max"/>
        <color rgb="00FFFFFF"/>
        <color rgb="002A9D8F"/>
      </colorScale>
    </cfRule>
  </conditionalFormatting>
  <conditionalFormatting sqref="D72:J72">
    <cfRule type="colorScale" priority="20">
      <colorScale>
        <cfvo type="min"/>
        <cfvo type="num" val="0"/>
        <cfvo type="max"/>
        <color rgb="00E76F51"/>
        <color rgb="00FFFFFF"/>
        <color rgb="002A9D8F"/>
      </colorScale>
    </cfRule>
  </conditionalFormatting>
  <conditionalFormatting sqref="C79:J79">
    <cfRule type="colorScale" priority="21">
      <colorScale>
        <cfvo type="min"/>
        <cfvo type="max"/>
        <color rgb="00FFFFFF"/>
        <color rgb="002A9D8F"/>
      </colorScale>
    </cfRule>
  </conditionalFormatting>
  <conditionalFormatting sqref="D80:J80">
    <cfRule type="colorScale" priority="22">
      <colorScale>
        <cfvo type="min"/>
        <cfvo type="num" val="0"/>
        <cfvo type="max"/>
        <color rgb="00E76F51"/>
        <color rgb="00FFFFFF"/>
        <color rgb="002A9D8F"/>
      </colorScale>
    </cfRule>
  </conditionalFormatting>
  <conditionalFormatting sqref="C86:J86">
    <cfRule type="colorScale" priority="23">
      <colorScale>
        <cfvo type="min"/>
        <cfvo type="max"/>
        <color rgb="00FFFFFF"/>
        <color rgb="002A9D8F"/>
      </colorScale>
    </cfRule>
  </conditionalFormatting>
  <conditionalFormatting sqref="D87:J87">
    <cfRule type="colorScale" priority="24">
      <colorScale>
        <cfvo type="min"/>
        <cfvo type="num" val="0"/>
        <cfvo type="max"/>
        <color rgb="00E76F51"/>
        <color rgb="00FFFFFF"/>
        <color rgb="002A9D8F"/>
      </colorScale>
    </cfRule>
  </conditionalFormatting>
  <conditionalFormatting sqref="C93:J93">
    <cfRule type="colorScale" priority="25">
      <colorScale>
        <cfvo type="min"/>
        <cfvo type="max"/>
        <color rgb="00FFFFFF"/>
        <color rgb="002A9D8F"/>
      </colorScale>
    </cfRule>
  </conditionalFormatting>
  <conditionalFormatting sqref="D94:J94">
    <cfRule type="colorScale" priority="26">
      <colorScale>
        <cfvo type="min"/>
        <cfvo type="num" val="0"/>
        <cfvo type="max"/>
        <color rgb="00E76F51"/>
        <color rgb="00FFFFFF"/>
        <color rgb="002A9D8F"/>
      </colorScale>
    </cfRule>
  </conditionalFormatting>
  <conditionalFormatting sqref="C100:J100">
    <cfRule type="colorScale" priority="27">
      <colorScale>
        <cfvo type="min"/>
        <cfvo type="max"/>
        <color rgb="00FFFFFF"/>
        <color rgb="002A9D8F"/>
      </colorScale>
    </cfRule>
  </conditionalFormatting>
  <conditionalFormatting sqref="D101:J101">
    <cfRule type="colorScale" priority="28">
      <colorScale>
        <cfvo type="min"/>
        <cfvo type="num" val="0"/>
        <cfvo type="max"/>
        <color rgb="00E76F51"/>
        <color rgb="00FFFFFF"/>
        <color rgb="002A9D8F"/>
      </colorScale>
    </cfRule>
  </conditionalFormatting>
  <conditionalFormatting sqref="C107:J107">
    <cfRule type="colorScale" priority="29">
      <colorScale>
        <cfvo type="min"/>
        <cfvo type="max"/>
        <color rgb="00FFFFFF"/>
        <color rgb="002A9D8F"/>
      </colorScale>
    </cfRule>
  </conditionalFormatting>
  <conditionalFormatting sqref="D108:J108">
    <cfRule type="colorScale" priority="30">
      <colorScale>
        <cfvo type="min"/>
        <cfvo type="num" val="0"/>
        <cfvo type="max"/>
        <color rgb="00E76F51"/>
        <color rgb="00FFFFFF"/>
        <color rgb="002A9D8F"/>
      </colorScale>
    </cfRule>
  </conditionalFormatting>
  <conditionalFormatting sqref="C114:J114">
    <cfRule type="colorScale" priority="31">
      <colorScale>
        <cfvo type="min"/>
        <cfvo type="max"/>
        <color rgb="00FFFFFF"/>
        <color rgb="002A9D8F"/>
      </colorScale>
    </cfRule>
  </conditionalFormatting>
  <conditionalFormatting sqref="D115:J115">
    <cfRule type="colorScale" priority="32">
      <colorScale>
        <cfvo type="min"/>
        <cfvo type="num" val="0"/>
        <cfvo type="max"/>
        <color rgb="00E76F51"/>
        <color rgb="00FFFFFF"/>
        <color rgb="002A9D8F"/>
      </colorScale>
    </cfRule>
  </conditionalFormatting>
  <conditionalFormatting sqref="C121:J121">
    <cfRule type="colorScale" priority="33">
      <colorScale>
        <cfvo type="min"/>
        <cfvo type="max"/>
        <color rgb="00FFFFFF"/>
        <color rgb="002A9D8F"/>
      </colorScale>
    </cfRule>
  </conditionalFormatting>
  <conditionalFormatting sqref="D122:J122">
    <cfRule type="colorScale" priority="34">
      <colorScale>
        <cfvo type="min"/>
        <cfvo type="num" val="0"/>
        <cfvo type="max"/>
        <color rgb="00E76F51"/>
        <color rgb="00FFFFFF"/>
        <color rgb="002A9D8F"/>
      </colorScale>
    </cfRule>
  </conditionalFormatting>
  <conditionalFormatting sqref="C128:J128">
    <cfRule type="colorScale" priority="35">
      <colorScale>
        <cfvo type="min"/>
        <cfvo type="max"/>
        <color rgb="00FFFFFF"/>
        <color rgb="002A9D8F"/>
      </colorScale>
    </cfRule>
  </conditionalFormatting>
  <conditionalFormatting sqref="D129:J129">
    <cfRule type="colorScale" priority="36">
      <colorScale>
        <cfvo type="min"/>
        <cfvo type="num" val="0"/>
        <cfvo type="max"/>
        <color rgb="00E76F51"/>
        <color rgb="00FFFFFF"/>
        <color rgb="002A9D8F"/>
      </colorScale>
    </cfRule>
  </conditionalFormatting>
  <conditionalFormatting sqref="C135:J135">
    <cfRule type="colorScale" priority="37">
      <colorScale>
        <cfvo type="min"/>
        <cfvo type="max"/>
        <color rgb="00FFFFFF"/>
        <color rgb="002A9D8F"/>
      </colorScale>
    </cfRule>
  </conditionalFormatting>
  <conditionalFormatting sqref="D136:J136">
    <cfRule type="colorScale" priority="38">
      <colorScale>
        <cfvo type="min"/>
        <cfvo type="num" val="0"/>
        <cfvo type="max"/>
        <color rgb="00E76F51"/>
        <color rgb="00FFFFFF"/>
        <color rgb="002A9D8F"/>
      </colorScale>
    </cfRule>
  </conditionalFormatting>
  <conditionalFormatting sqref="C142:J142">
    <cfRule type="colorScale" priority="39">
      <colorScale>
        <cfvo type="min"/>
        <cfvo type="max"/>
        <color rgb="00FFFFFF"/>
        <color rgb="002A9D8F"/>
      </colorScale>
    </cfRule>
  </conditionalFormatting>
  <conditionalFormatting sqref="D143:J143">
    <cfRule type="colorScale" priority="40">
      <colorScale>
        <cfvo type="min"/>
        <cfvo type="num" val="0"/>
        <cfvo type="max"/>
        <color rgb="00E76F51"/>
        <color rgb="00FFFFFF"/>
        <color rgb="002A9D8F"/>
      </colorScale>
    </cfRule>
  </conditionalFormatting>
  <conditionalFormatting sqref="C150:J150">
    <cfRule type="colorScale" priority="41">
      <colorScale>
        <cfvo type="min"/>
        <cfvo type="max"/>
        <color rgb="00FFFFFF"/>
        <color rgb="002A9D8F"/>
      </colorScale>
    </cfRule>
  </conditionalFormatting>
  <conditionalFormatting sqref="D151:J151">
    <cfRule type="colorScale" priority="42">
      <colorScale>
        <cfvo type="min"/>
        <cfvo type="num" val="0"/>
        <cfvo type="max"/>
        <color rgb="00E76F51"/>
        <color rgb="00FFFFFF"/>
        <color rgb="002A9D8F"/>
      </colorScale>
    </cfRule>
  </conditionalFormatting>
  <conditionalFormatting sqref="C157:J157">
    <cfRule type="colorScale" priority="43">
      <colorScale>
        <cfvo type="min"/>
        <cfvo type="max"/>
        <color rgb="00FFFFFF"/>
        <color rgb="002A9D8F"/>
      </colorScale>
    </cfRule>
  </conditionalFormatting>
  <conditionalFormatting sqref="D158:J158">
    <cfRule type="colorScale" priority="44">
      <colorScale>
        <cfvo type="min"/>
        <cfvo type="num" val="0"/>
        <cfvo type="max"/>
        <color rgb="00E76F51"/>
        <color rgb="00FFFFFF"/>
        <color rgb="002A9D8F"/>
      </colorScale>
    </cfRule>
  </conditionalFormatting>
  <conditionalFormatting sqref="C164:J164">
    <cfRule type="colorScale" priority="45">
      <colorScale>
        <cfvo type="min"/>
        <cfvo type="max"/>
        <color rgb="00FFFFFF"/>
        <color rgb="002A9D8F"/>
      </colorScale>
    </cfRule>
  </conditionalFormatting>
  <conditionalFormatting sqref="D165:J165">
    <cfRule type="colorScale" priority="46">
      <colorScale>
        <cfvo type="min"/>
        <cfvo type="num" val="0"/>
        <cfvo type="max"/>
        <color rgb="00E76F51"/>
        <color rgb="00FFFFFF"/>
        <color rgb="002A9D8F"/>
      </colorScale>
    </cfRule>
  </conditionalFormatting>
  <conditionalFormatting sqref="C171:J171">
    <cfRule type="colorScale" priority="47">
      <colorScale>
        <cfvo type="min"/>
        <cfvo type="max"/>
        <color rgb="00FFFFFF"/>
        <color rgb="002A9D8F"/>
      </colorScale>
    </cfRule>
  </conditionalFormatting>
  <conditionalFormatting sqref="D172:J172">
    <cfRule type="colorScale" priority="48">
      <colorScale>
        <cfvo type="min"/>
        <cfvo type="num" val="0"/>
        <cfvo type="max"/>
        <color rgb="00E76F51"/>
        <color rgb="00FFFFFF"/>
        <color rgb="002A9D8F"/>
      </colorScale>
    </cfRule>
  </conditionalFormatting>
  <conditionalFormatting sqref="C178:J178">
    <cfRule type="colorScale" priority="49">
      <colorScale>
        <cfvo type="min"/>
        <cfvo type="max"/>
        <color rgb="00FFFFFF"/>
        <color rgb="002A9D8F"/>
      </colorScale>
    </cfRule>
  </conditionalFormatting>
  <conditionalFormatting sqref="D179:J179">
    <cfRule type="colorScale" priority="50">
      <colorScale>
        <cfvo type="min"/>
        <cfvo type="num" val="0"/>
        <cfvo type="max"/>
        <color rgb="00E76F51"/>
        <color rgb="00FFFFFF"/>
        <color rgb="002A9D8F"/>
      </colorScale>
    </cfRule>
  </conditionalFormatting>
  <conditionalFormatting sqref="C185:J185">
    <cfRule type="colorScale" priority="51">
      <colorScale>
        <cfvo type="min"/>
        <cfvo type="max"/>
        <color rgb="00FFFFFF"/>
        <color rgb="002A9D8F"/>
      </colorScale>
    </cfRule>
  </conditionalFormatting>
  <conditionalFormatting sqref="D186:J186">
    <cfRule type="colorScale" priority="52">
      <colorScale>
        <cfvo type="min"/>
        <cfvo type="num" val="0"/>
        <cfvo type="max"/>
        <color rgb="00E76F51"/>
        <color rgb="00FFFFFF"/>
        <color rgb="002A9D8F"/>
      </colorScale>
    </cfRule>
  </conditionalFormatting>
  <conditionalFormatting sqref="C192:J192">
    <cfRule type="colorScale" priority="53">
      <colorScale>
        <cfvo type="min"/>
        <cfvo type="max"/>
        <color rgb="00FFFFFF"/>
        <color rgb="002A9D8F"/>
      </colorScale>
    </cfRule>
  </conditionalFormatting>
  <conditionalFormatting sqref="D193:J193">
    <cfRule type="colorScale" priority="54">
      <colorScale>
        <cfvo type="min"/>
        <cfvo type="num" val="0"/>
        <cfvo type="max"/>
        <color rgb="00E76F51"/>
        <color rgb="00FFFFFF"/>
        <color rgb="002A9D8F"/>
      </colorScale>
    </cfRule>
  </conditionalFormatting>
  <conditionalFormatting sqref="C199:J199">
    <cfRule type="colorScale" priority="55">
      <colorScale>
        <cfvo type="min"/>
        <cfvo type="max"/>
        <color rgb="00FFFFFF"/>
        <color rgb="002A9D8F"/>
      </colorScale>
    </cfRule>
  </conditionalFormatting>
  <conditionalFormatting sqref="D200:J200">
    <cfRule type="colorScale" priority="56">
      <colorScale>
        <cfvo type="min"/>
        <cfvo type="num" val="0"/>
        <cfvo type="max"/>
        <color rgb="00E76F51"/>
        <color rgb="00FFFFFF"/>
        <color rgb="002A9D8F"/>
      </colorScale>
    </cfRule>
  </conditionalFormatting>
  <conditionalFormatting sqref="C206:J206">
    <cfRule type="colorScale" priority="57">
      <colorScale>
        <cfvo type="min"/>
        <cfvo type="max"/>
        <color rgb="00FFFFFF"/>
        <color rgb="002A9D8F"/>
      </colorScale>
    </cfRule>
  </conditionalFormatting>
  <conditionalFormatting sqref="D207:J207">
    <cfRule type="colorScale" priority="58">
      <colorScale>
        <cfvo type="min"/>
        <cfvo type="num" val="0"/>
        <cfvo type="max"/>
        <color rgb="00E76F51"/>
        <color rgb="00FFFFFF"/>
        <color rgb="002A9D8F"/>
      </colorScale>
    </cfRule>
  </conditionalFormatting>
  <conditionalFormatting sqref="C213:J213">
    <cfRule type="colorScale" priority="59">
      <colorScale>
        <cfvo type="min"/>
        <cfvo type="max"/>
        <color rgb="00FFFFFF"/>
        <color rgb="002A9D8F"/>
      </colorScale>
    </cfRule>
  </conditionalFormatting>
  <conditionalFormatting sqref="D214:J214">
    <cfRule type="colorScale" priority="60">
      <colorScale>
        <cfvo type="min"/>
        <cfvo type="num" val="0"/>
        <cfvo type="max"/>
        <color rgb="00E76F51"/>
        <color rgb="00FFFFFF"/>
        <color rgb="002A9D8F"/>
      </colorScale>
    </cfRule>
  </conditionalFormatting>
  <pageMargins left="0.75" right="0.75" top="1" bottom="1" header="0.5" footer="0.5"/>
  <pageSetup orientation="landscape" fitToWidth="1"/>
</worksheet>
</file>

<file path=xl/worksheets/sheet12.xml><?xml version="1.0" encoding="utf-8"?>
<worksheet xmlns="http://schemas.openxmlformats.org/spreadsheetml/2006/main">
  <sheetPr>
    <tabColor rgb="00C9A84C"/>
    <outlinePr summaryBelow="1" summaryRight="1"/>
    <pageSetUpPr fitToPage="1"/>
  </sheetPr>
  <dimension ref="A1:Q6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ht="28" customHeight="1">
      <c r="A1" s="15" t="inlineStr">
        <is>
          <t>THE FINGERPRINT — Pre-Run Profiles of 10x Stocks</t>
        </is>
      </c>
    </row>
    <row r="2" ht="20" customHeight="1"/>
    <row r="3" ht="20" customHeight="1">
      <c r="A3" s="31" t="inlineStr">
        <is>
          <t>Historical winners at their pre-run inflection point — the benchmark for scoring</t>
        </is>
      </c>
    </row>
    <row r="4" ht="8" customHeight="1"/>
    <row r="5" ht="22" customHeight="1">
      <c r="A5" s="16" t="inlineStr">
        <is>
          <t>REFERENCE STOCK PROFILES</t>
        </is>
      </c>
      <c r="B5" s="17" t="n"/>
      <c r="C5" s="17" t="n"/>
      <c r="D5" s="17" t="n"/>
      <c r="E5" s="17" t="n"/>
      <c r="F5" s="17" t="n"/>
      <c r="G5" s="17" t="n"/>
      <c r="H5" s="17" t="n"/>
      <c r="I5" s="17" t="n"/>
      <c r="J5" s="17" t="n"/>
      <c r="K5" s="17" t="n"/>
      <c r="L5" s="17" t="n"/>
      <c r="M5" s="17" t="n"/>
      <c r="N5" s="17" t="n"/>
      <c r="O5" s="17" t="n"/>
      <c r="P5" s="17" t="n"/>
      <c r="Q5" s="17" t="n"/>
    </row>
    <row r="6">
      <c r="A6" s="98" t="inlineStr">
        <is>
          <t>LITE  —  Lumentum Holdings</t>
        </is>
      </c>
      <c r="B6" s="81" t="n"/>
      <c r="C6" s="81" t="n"/>
      <c r="D6" s="81" t="n"/>
      <c r="E6" s="99" t="n"/>
      <c r="G6" s="98" t="inlineStr">
        <is>
          <t>COHR  —  Coherent Corp (formerly II-VI)</t>
        </is>
      </c>
      <c r="H6" s="81" t="n"/>
      <c r="I6" s="81" t="n"/>
      <c r="J6" s="81" t="n"/>
      <c r="K6" s="99" t="n"/>
      <c r="M6" s="98" t="inlineStr">
        <is>
          <t>AAOI  —  Applied Optoelectronics</t>
        </is>
      </c>
      <c r="N6" s="81" t="n"/>
      <c r="O6" s="81" t="n"/>
      <c r="P6" s="81" t="n"/>
      <c r="Q6" s="99" t="n"/>
    </row>
    <row r="7">
      <c r="A7" s="100" t="inlineStr">
        <is>
          <t>Run Period: 2017   ▲ 850%</t>
        </is>
      </c>
      <c r="B7" s="95" t="n"/>
      <c r="C7" s="95" t="n"/>
      <c r="D7" s="95" t="n"/>
      <c r="E7" s="101" t="n"/>
      <c r="G7" s="100" t="inlineStr">
        <is>
          <t>Run Period: 2016   ▲ 600%</t>
        </is>
      </c>
      <c r="H7" s="95" t="n"/>
      <c r="I7" s="95" t="n"/>
      <c r="J7" s="95" t="n"/>
      <c r="K7" s="101" t="n"/>
      <c r="M7" s="100" t="inlineStr">
        <is>
          <t>Run Period: 2017   ▲ 1,200%</t>
        </is>
      </c>
      <c r="N7" s="95" t="n"/>
      <c r="O7" s="95" t="n"/>
      <c r="P7" s="95" t="n"/>
      <c r="Q7" s="101" t="n"/>
    </row>
    <row r="8">
      <c r="A8" s="102" t="inlineStr">
        <is>
          <t>Market Cap</t>
        </is>
      </c>
      <c r="B8" s="94" t="inlineStr">
        <is>
          <t>$1200M</t>
        </is>
      </c>
      <c r="C8" s="95" t="n"/>
      <c r="D8" s="95" t="n"/>
      <c r="E8" s="101" t="n"/>
      <c r="G8" s="102" t="inlineStr">
        <is>
          <t>Market Cap</t>
        </is>
      </c>
      <c r="H8" s="94" t="inlineStr">
        <is>
          <t>$900M</t>
        </is>
      </c>
      <c r="I8" s="95" t="n"/>
      <c r="J8" s="95" t="n"/>
      <c r="K8" s="101" t="n"/>
      <c r="M8" s="102" t="inlineStr">
        <is>
          <t>Market Cap</t>
        </is>
      </c>
      <c r="N8" s="94" t="inlineStr">
        <is>
          <t>$300M</t>
        </is>
      </c>
      <c r="O8" s="95" t="n"/>
      <c r="P8" s="95" t="n"/>
      <c r="Q8" s="101" t="n"/>
    </row>
    <row r="9">
      <c r="A9" s="102" t="inlineStr">
        <is>
          <t>Revenue Growth</t>
        </is>
      </c>
      <c r="B9" s="94" t="inlineStr">
        <is>
          <t>38%</t>
        </is>
      </c>
      <c r="C9" s="95" t="n"/>
      <c r="D9" s="95" t="n"/>
      <c r="E9" s="101" t="n"/>
      <c r="G9" s="102" t="inlineStr">
        <is>
          <t>Revenue Growth</t>
        </is>
      </c>
      <c r="H9" s="94" t="inlineStr">
        <is>
          <t>22%</t>
        </is>
      </c>
      <c r="I9" s="95" t="n"/>
      <c r="J9" s="95" t="n"/>
      <c r="K9" s="101" t="n"/>
      <c r="M9" s="102" t="inlineStr">
        <is>
          <t>Revenue Growth</t>
        </is>
      </c>
      <c r="N9" s="94" t="inlineStr">
        <is>
          <t>95%</t>
        </is>
      </c>
      <c r="O9" s="95" t="n"/>
      <c r="P9" s="95" t="n"/>
      <c r="Q9" s="101" t="n"/>
    </row>
    <row r="10">
      <c r="A10" s="102" t="inlineStr">
        <is>
          <t>Gross Margin</t>
        </is>
      </c>
      <c r="B10" s="94" t="inlineStr">
        <is>
          <t>44%</t>
        </is>
      </c>
      <c r="C10" s="95" t="n"/>
      <c r="D10" s="95" t="n"/>
      <c r="E10" s="101" t="n"/>
      <c r="G10" s="102" t="inlineStr">
        <is>
          <t>Gross Margin</t>
        </is>
      </c>
      <c r="H10" s="94" t="inlineStr">
        <is>
          <t>50%</t>
        </is>
      </c>
      <c r="I10" s="95" t="n"/>
      <c r="J10" s="95" t="n"/>
      <c r="K10" s="101" t="n"/>
      <c r="M10" s="102" t="inlineStr">
        <is>
          <t>Gross Margin</t>
        </is>
      </c>
      <c r="N10" s="94" t="inlineStr">
        <is>
          <t>38%</t>
        </is>
      </c>
      <c r="O10" s="95" t="n"/>
      <c r="P10" s="95" t="n"/>
      <c r="Q10" s="101" t="n"/>
    </row>
    <row r="11">
      <c r="A11" s="102" t="inlineStr">
        <is>
          <t>Insider Ownership</t>
        </is>
      </c>
      <c r="B11" s="94" t="inlineStr">
        <is>
          <t>8%</t>
        </is>
      </c>
      <c r="C11" s="95" t="n"/>
      <c r="D11" s="95" t="n"/>
      <c r="E11" s="101" t="n"/>
      <c r="G11" s="102" t="inlineStr">
        <is>
          <t>Insider Ownership</t>
        </is>
      </c>
      <c r="H11" s="94" t="inlineStr">
        <is>
          <t>12%</t>
        </is>
      </c>
      <c r="I11" s="95" t="n"/>
      <c r="J11" s="95" t="n"/>
      <c r="K11" s="101" t="n"/>
      <c r="M11" s="102" t="inlineStr">
        <is>
          <t>Insider Ownership</t>
        </is>
      </c>
      <c r="N11" s="94" t="inlineStr">
        <is>
          <t>20%</t>
        </is>
      </c>
      <c r="O11" s="95" t="n"/>
      <c r="P11" s="95" t="n"/>
      <c r="Q11" s="101" t="n"/>
    </row>
    <row r="12">
      <c r="A12" s="102" t="inlineStr">
        <is>
          <t>Dilution 3yr</t>
        </is>
      </c>
      <c r="B12" s="94" t="inlineStr">
        <is>
          <t>4%</t>
        </is>
      </c>
      <c r="C12" s="95" t="n"/>
      <c r="D12" s="95" t="n"/>
      <c r="E12" s="101" t="n"/>
      <c r="G12" s="102" t="inlineStr">
        <is>
          <t>Dilution 3yr</t>
        </is>
      </c>
      <c r="H12" s="94" t="inlineStr">
        <is>
          <t>6%</t>
        </is>
      </c>
      <c r="I12" s="95" t="n"/>
      <c r="J12" s="95" t="n"/>
      <c r="K12" s="101" t="n"/>
      <c r="M12" s="102" t="inlineStr">
        <is>
          <t>Dilution 3yr</t>
        </is>
      </c>
      <c r="N12" s="94" t="inlineStr">
        <is>
          <t>3%</t>
        </is>
      </c>
      <c r="O12" s="95" t="n"/>
      <c r="P12" s="95" t="n"/>
      <c r="Q12" s="101" t="n"/>
    </row>
    <row r="13">
      <c r="A13" s="103" t="inlineStr">
        <is>
          <t>Data center optical interconnects</t>
        </is>
      </c>
      <c r="B13" s="95" t="n"/>
      <c r="C13" s="95" t="n"/>
      <c r="D13" s="95" t="n"/>
      <c r="E13" s="101" t="n"/>
      <c r="G13" s="103" t="inlineStr">
        <is>
          <t>Optical networking + vertical integration</t>
        </is>
      </c>
      <c r="H13" s="95" t="n"/>
      <c r="I13" s="95" t="n"/>
      <c r="J13" s="95" t="n"/>
      <c r="K13" s="101" t="n"/>
      <c r="M13" s="103" t="inlineStr">
        <is>
          <t>Hyperscaler data center buildout</t>
        </is>
      </c>
      <c r="N13" s="95" t="n"/>
      <c r="O13" s="95" t="n"/>
      <c r="P13" s="95" t="n"/>
      <c r="Q13" s="101" t="n"/>
    </row>
    <row r="19">
      <c r="A19" s="98" t="inlineStr">
        <is>
          <t>KTOS  —  Kratos Defense &amp; Security</t>
        </is>
      </c>
      <c r="B19" s="81" t="n"/>
      <c r="C19" s="81" t="n"/>
      <c r="D19" s="81" t="n"/>
      <c r="E19" s="99" t="n"/>
      <c r="G19" s="98" t="inlineStr">
        <is>
          <t>RKLB  —  Rocket Lab USA</t>
        </is>
      </c>
      <c r="H19" s="81" t="n"/>
      <c r="I19" s="81" t="n"/>
      <c r="J19" s="81" t="n"/>
      <c r="K19" s="99" t="n"/>
      <c r="M19" s="98" t="inlineStr">
        <is>
          <t>MVIS  —  MicroVision</t>
        </is>
      </c>
      <c r="N19" s="81" t="n"/>
      <c r="O19" s="81" t="n"/>
      <c r="P19" s="81" t="n"/>
      <c r="Q19" s="99" t="n"/>
    </row>
    <row r="20">
      <c r="A20" s="100" t="inlineStr">
        <is>
          <t>Run Period: 2019   ▲ 500%</t>
        </is>
      </c>
      <c r="B20" s="95" t="n"/>
      <c r="C20" s="95" t="n"/>
      <c r="D20" s="95" t="n"/>
      <c r="E20" s="101" t="n"/>
      <c r="G20" s="100" t="inlineStr">
        <is>
          <t>Run Period: 2023   ▲ 400%</t>
        </is>
      </c>
      <c r="H20" s="95" t="n"/>
      <c r="I20" s="95" t="n"/>
      <c r="J20" s="95" t="n"/>
      <c r="K20" s="101" t="n"/>
      <c r="M20" s="100" t="inlineStr">
        <is>
          <t>Run Period: 2021   ▲ 700%</t>
        </is>
      </c>
      <c r="N20" s="95" t="n"/>
      <c r="O20" s="95" t="n"/>
      <c r="P20" s="95" t="n"/>
      <c r="Q20" s="101" t="n"/>
    </row>
    <row r="21">
      <c r="A21" s="102" t="inlineStr">
        <is>
          <t>Market Cap</t>
        </is>
      </c>
      <c r="B21" s="94" t="inlineStr">
        <is>
          <t>$700M</t>
        </is>
      </c>
      <c r="C21" s="95" t="n"/>
      <c r="D21" s="95" t="n"/>
      <c r="E21" s="101" t="n"/>
      <c r="G21" s="102" t="inlineStr">
        <is>
          <t>Market Cap</t>
        </is>
      </c>
      <c r="H21" s="94" t="inlineStr">
        <is>
          <t>$1200M</t>
        </is>
      </c>
      <c r="I21" s="95" t="n"/>
      <c r="J21" s="95" t="n"/>
      <c r="K21" s="101" t="n"/>
      <c r="M21" s="102" t="inlineStr">
        <is>
          <t>Market Cap</t>
        </is>
      </c>
      <c r="N21" s="94" t="inlineStr">
        <is>
          <t>$150M</t>
        </is>
      </c>
      <c r="O21" s="95" t="n"/>
      <c r="P21" s="95" t="n"/>
      <c r="Q21" s="101" t="n"/>
    </row>
    <row r="22">
      <c r="A22" s="102" t="inlineStr">
        <is>
          <t>Revenue Growth</t>
        </is>
      </c>
      <c r="B22" s="94" t="inlineStr">
        <is>
          <t>18%</t>
        </is>
      </c>
      <c r="C22" s="95" t="n"/>
      <c r="D22" s="95" t="n"/>
      <c r="E22" s="101" t="n"/>
      <c r="G22" s="102" t="inlineStr">
        <is>
          <t>Revenue Growth</t>
        </is>
      </c>
      <c r="H22" s="94" t="inlineStr">
        <is>
          <t>55%</t>
        </is>
      </c>
      <c r="I22" s="95" t="n"/>
      <c r="J22" s="95" t="n"/>
      <c r="K22" s="101" t="n"/>
      <c r="M22" s="102" t="inlineStr">
        <is>
          <t>Revenue Growth</t>
        </is>
      </c>
      <c r="N22" s="94" t="inlineStr">
        <is>
          <t>12%</t>
        </is>
      </c>
      <c r="O22" s="95" t="n"/>
      <c r="P22" s="95" t="n"/>
      <c r="Q22" s="101" t="n"/>
    </row>
    <row r="23">
      <c r="A23" s="102" t="inlineStr">
        <is>
          <t>Gross Margin</t>
        </is>
      </c>
      <c r="B23" s="94" t="inlineStr">
        <is>
          <t>25%</t>
        </is>
      </c>
      <c r="C23" s="95" t="n"/>
      <c r="D23" s="95" t="n"/>
      <c r="E23" s="101" t="n"/>
      <c r="G23" s="102" t="inlineStr">
        <is>
          <t>Gross Margin</t>
        </is>
      </c>
      <c r="H23" s="94" t="inlineStr">
        <is>
          <t>28%</t>
        </is>
      </c>
      <c r="I23" s="95" t="n"/>
      <c r="J23" s="95" t="n"/>
      <c r="K23" s="101" t="n"/>
      <c r="M23" s="102" t="inlineStr">
        <is>
          <t>Gross Margin</t>
        </is>
      </c>
      <c r="N23" s="94" t="inlineStr">
        <is>
          <t>35%</t>
        </is>
      </c>
      <c r="O23" s="95" t="n"/>
      <c r="P23" s="95" t="n"/>
      <c r="Q23" s="101" t="n"/>
    </row>
    <row r="24">
      <c r="A24" s="102" t="inlineStr">
        <is>
          <t>Insider Ownership</t>
        </is>
      </c>
      <c r="B24" s="94" t="inlineStr">
        <is>
          <t>5%</t>
        </is>
      </c>
      <c r="C24" s="95" t="n"/>
      <c r="D24" s="95" t="n"/>
      <c r="E24" s="101" t="n"/>
      <c r="G24" s="102" t="inlineStr">
        <is>
          <t>Insider Ownership</t>
        </is>
      </c>
      <c r="H24" s="94" t="inlineStr">
        <is>
          <t>30%</t>
        </is>
      </c>
      <c r="I24" s="95" t="n"/>
      <c r="J24" s="95" t="n"/>
      <c r="K24" s="101" t="n"/>
      <c r="M24" s="102" t="inlineStr">
        <is>
          <t>Insider Ownership</t>
        </is>
      </c>
      <c r="N24" s="94" t="inlineStr">
        <is>
          <t>6%</t>
        </is>
      </c>
      <c r="O24" s="95" t="n"/>
      <c r="P24" s="95" t="n"/>
      <c r="Q24" s="101" t="n"/>
    </row>
    <row r="25">
      <c r="A25" s="102" t="inlineStr">
        <is>
          <t>Dilution 3yr</t>
        </is>
      </c>
      <c r="B25" s="94" t="inlineStr">
        <is>
          <t>8%</t>
        </is>
      </c>
      <c r="C25" s="95" t="n"/>
      <c r="D25" s="95" t="n"/>
      <c r="E25" s="101" t="n"/>
      <c r="G25" s="102" t="inlineStr">
        <is>
          <t>Dilution 3yr</t>
        </is>
      </c>
      <c r="H25" s="94" t="inlineStr">
        <is>
          <t>15%</t>
        </is>
      </c>
      <c r="I25" s="95" t="n"/>
      <c r="J25" s="95" t="n"/>
      <c r="K25" s="101" t="n"/>
      <c r="M25" s="102" t="inlineStr">
        <is>
          <t>Dilution 3yr</t>
        </is>
      </c>
      <c r="N25" s="94" t="inlineStr">
        <is>
          <t>25%</t>
        </is>
      </c>
      <c r="O25" s="95" t="n"/>
      <c r="P25" s="95" t="n"/>
      <c r="Q25" s="101" t="n"/>
    </row>
    <row r="26">
      <c r="A26" s="103" t="inlineStr">
        <is>
          <t>Drone warfare + affordable attritable aircraft</t>
        </is>
      </c>
      <c r="B26" s="95" t="n"/>
      <c r="C26" s="95" t="n"/>
      <c r="D26" s="95" t="n"/>
      <c r="E26" s="101" t="n"/>
      <c r="G26" s="103" t="inlineStr">
        <is>
          <t>Small sat launch + space systems vertical integration</t>
        </is>
      </c>
      <c r="H26" s="95" t="n"/>
      <c r="I26" s="95" t="n"/>
      <c r="J26" s="95" t="n"/>
      <c r="K26" s="101" t="n"/>
      <c r="M26" s="103" t="inlineStr">
        <is>
          <t>Autonomous vehicle sensor infrastructure</t>
        </is>
      </c>
      <c r="N26" s="95" t="n"/>
      <c r="O26" s="95" t="n"/>
      <c r="P26" s="95" t="n"/>
      <c r="Q26" s="101" t="n"/>
    </row>
    <row r="34" ht="22" customHeight="1">
      <c r="A34" s="16" t="inlineStr">
        <is>
          <t>COMPARATIVE RADAR — All Reference Stocks</t>
        </is>
      </c>
      <c r="B34" s="17" t="n"/>
      <c r="C34" s="17" t="n"/>
      <c r="D34" s="17" t="n"/>
      <c r="E34" s="17" t="n"/>
      <c r="F34" s="17" t="n"/>
      <c r="G34" s="17" t="n"/>
      <c r="H34" s="17" t="n"/>
      <c r="I34" s="17" t="n"/>
      <c r="J34" s="17" t="n"/>
      <c r="K34" s="17" t="n"/>
      <c r="L34" s="17" t="n"/>
      <c r="M34" s="17" t="n"/>
      <c r="N34" s="17" t="n"/>
      <c r="O34" s="17" t="n"/>
      <c r="P34" s="17" t="n"/>
      <c r="Q34" s="17" t="n"/>
    </row>
    <row r="35">
      <c r="A35" t="inlineStr">
        <is>
          <t>Metric</t>
        </is>
      </c>
      <c r="B35" t="inlineStr">
        <is>
          <t>LITE</t>
        </is>
      </c>
      <c r="C35" t="inlineStr">
        <is>
          <t>COHR</t>
        </is>
      </c>
      <c r="D35" t="inlineStr">
        <is>
          <t>AAOI</t>
        </is>
      </c>
      <c r="E35" t="inlineStr">
        <is>
          <t>KTOS</t>
        </is>
      </c>
      <c r="F35" t="inlineStr">
        <is>
          <t>RKLB</t>
        </is>
      </c>
      <c r="G35" t="inlineStr">
        <is>
          <t>MVIS</t>
        </is>
      </c>
    </row>
    <row r="36">
      <c r="A36" t="inlineStr">
        <is>
          <t>Revenue Growth</t>
        </is>
      </c>
      <c r="B36" t="n">
        <v>40</v>
      </c>
      <c r="C36" t="n">
        <v>23.15789473684211</v>
      </c>
      <c r="D36" t="n">
        <v>100</v>
      </c>
      <c r="E36" t="n">
        <v>18.94736842105263</v>
      </c>
      <c r="F36" t="n">
        <v>57.89473684210526</v>
      </c>
      <c r="G36" t="n">
        <v>12.63157894736842</v>
      </c>
    </row>
    <row r="37">
      <c r="A37" t="inlineStr">
        <is>
          <t>Gross Margin</t>
        </is>
      </c>
      <c r="B37" t="n">
        <v>88</v>
      </c>
      <c r="C37" t="n">
        <v>100</v>
      </c>
      <c r="D37" t="n">
        <v>76</v>
      </c>
      <c r="E37" t="n">
        <v>50</v>
      </c>
      <c r="F37" t="n">
        <v>56</v>
      </c>
      <c r="G37" t="n">
        <v>70</v>
      </c>
    </row>
    <row r="38">
      <c r="A38" t="inlineStr">
        <is>
          <t>Insider %</t>
        </is>
      </c>
      <c r="B38" t="n">
        <v>26.66666666666667</v>
      </c>
      <c r="C38" t="n">
        <v>40</v>
      </c>
      <c r="D38" t="n">
        <v>66.66666666666667</v>
      </c>
      <c r="E38" t="n">
        <v>16.66666666666667</v>
      </c>
      <c r="F38" t="n">
        <v>100</v>
      </c>
      <c r="G38" t="n">
        <v>20</v>
      </c>
    </row>
    <row r="39">
      <c r="A39" t="inlineStr">
        <is>
          <t>Low Dilution</t>
        </is>
      </c>
      <c r="B39" t="n">
        <v>84</v>
      </c>
      <c r="C39" t="n">
        <v>76</v>
      </c>
      <c r="D39" t="n">
        <v>88</v>
      </c>
      <c r="E39" t="n">
        <v>68</v>
      </c>
      <c r="F39" t="n">
        <v>40</v>
      </c>
      <c r="G39" t="n">
        <v>0</v>
      </c>
    </row>
    <row r="40">
      <c r="A40" t="inlineStr">
        <is>
          <t>Mkt Cap Score</t>
        </is>
      </c>
      <c r="B40" t="n">
        <v>0</v>
      </c>
      <c r="C40" t="n">
        <v>25</v>
      </c>
      <c r="D40" t="n">
        <v>75</v>
      </c>
      <c r="E40" t="n">
        <v>41.66666666666666</v>
      </c>
      <c r="F40" t="n">
        <v>0</v>
      </c>
      <c r="G40" t="n">
        <v>87.5</v>
      </c>
    </row>
    <row r="60" ht="22" customHeight="1">
      <c r="A60" s="16" t="inlineStr">
        <is>
          <t>DERIVED IDEAL RANGES</t>
        </is>
      </c>
      <c r="B60" s="17" t="n"/>
      <c r="C60" s="17" t="n"/>
      <c r="D60" s="17" t="n"/>
      <c r="E60" s="17" t="n"/>
      <c r="F60" s="17" t="n"/>
      <c r="G60" s="17" t="n"/>
      <c r="H60" s="17" t="n"/>
      <c r="I60" s="17" t="n"/>
      <c r="J60" s="17" t="n"/>
    </row>
    <row r="61" ht="18" customHeight="1">
      <c r="A61" s="18" t="inlineStr">
        <is>
          <t>Metric</t>
        </is>
      </c>
      <c r="B61" s="18" t="inlineStr">
        <is>
          <t>Min</t>
        </is>
      </c>
      <c r="C61" s="18" t="inlineStr">
        <is>
          <t>Median</t>
        </is>
      </c>
      <c r="D61" s="18" t="inlineStr">
        <is>
          <t>Max</t>
        </is>
      </c>
      <c r="E61" s="18" t="inlineStr">
        <is>
          <t>Screener Threshold</t>
        </is>
      </c>
      <c r="F61" s="18" t="inlineStr">
        <is>
          <t>Status</t>
        </is>
      </c>
    </row>
    <row r="62" ht="16" customHeight="1">
      <c r="A62" s="94" t="inlineStr">
        <is>
          <t>Revenue Growth %</t>
        </is>
      </c>
      <c r="B62" s="35" t="n">
        <v>12</v>
      </c>
      <c r="C62" s="35" t="n">
        <v>30</v>
      </c>
      <c r="D62" s="35" t="n">
        <v>95</v>
      </c>
      <c r="E62" s="20" t="inlineStr">
        <is>
          <t>5% (floor)</t>
        </is>
      </c>
      <c r="F62" s="104" t="inlineStr">
        <is>
          <t>✓ Aligned</t>
        </is>
      </c>
    </row>
    <row r="63" ht="16" customHeight="1">
      <c r="A63" s="67" t="inlineStr">
        <is>
          <t>Gross Margin %</t>
        </is>
      </c>
      <c r="B63" s="42" t="n">
        <v>25</v>
      </c>
      <c r="C63" s="42" t="n">
        <v>36.5</v>
      </c>
      <c r="D63" s="42" t="n">
        <v>50</v>
      </c>
      <c r="E63" s="25" t="inlineStr">
        <is>
          <t>20% (floor)</t>
        </is>
      </c>
      <c r="F63" s="104" t="inlineStr">
        <is>
          <t>✓ Aligned</t>
        </is>
      </c>
    </row>
    <row r="64" ht="16" customHeight="1">
      <c r="A64" s="94" t="inlineStr">
        <is>
          <t>Insider Ownership %</t>
        </is>
      </c>
      <c r="B64" s="35" t="n">
        <v>5</v>
      </c>
      <c r="C64" s="35" t="n">
        <v>10</v>
      </c>
      <c r="D64" s="35" t="n">
        <v>30</v>
      </c>
      <c r="E64" s="20" t="inlineStr">
        <is>
          <t>N/A</t>
        </is>
      </c>
      <c r="F64" s="105" t="inlineStr">
        <is>
          <t>⚠ Loose</t>
        </is>
      </c>
    </row>
    <row r="65" ht="16" customHeight="1">
      <c r="A65" s="67" t="inlineStr">
        <is>
          <t>Dilution 3yr %</t>
        </is>
      </c>
      <c r="B65" s="42" t="n">
        <v>3</v>
      </c>
      <c r="C65" s="42" t="n">
        <v>7</v>
      </c>
      <c r="D65" s="42" t="n">
        <v>25</v>
      </c>
      <c r="E65" s="25" t="inlineStr">
        <is>
          <t>30% (ceiling)</t>
        </is>
      </c>
      <c r="F65" s="104" t="inlineStr">
        <is>
          <t>✓ Aligned</t>
        </is>
      </c>
    </row>
  </sheetData>
  <mergeCells count="53">
    <mergeCell ref="H22:K22"/>
    <mergeCell ref="B9:E9"/>
    <mergeCell ref="A34:Q34"/>
    <mergeCell ref="N9:Q9"/>
    <mergeCell ref="H12:K12"/>
    <mergeCell ref="B24:E24"/>
    <mergeCell ref="H24:K24"/>
    <mergeCell ref="N24:Q24"/>
    <mergeCell ref="A6:E6"/>
    <mergeCell ref="H23:K23"/>
    <mergeCell ref="G7:K7"/>
    <mergeCell ref="M20:Q20"/>
    <mergeCell ref="H8:K8"/>
    <mergeCell ref="A7:E7"/>
    <mergeCell ref="N11:Q11"/>
    <mergeCell ref="B25:E25"/>
    <mergeCell ref="G13:K13"/>
    <mergeCell ref="G19:K19"/>
    <mergeCell ref="G6:K6"/>
    <mergeCell ref="M13:Q13"/>
    <mergeCell ref="H10:K10"/>
    <mergeCell ref="B22:E22"/>
    <mergeCell ref="M7:Q7"/>
    <mergeCell ref="N25:Q25"/>
    <mergeCell ref="A60:J60"/>
    <mergeCell ref="A26:E26"/>
    <mergeCell ref="H9:K9"/>
    <mergeCell ref="A3:Q3"/>
    <mergeCell ref="N22:Q22"/>
    <mergeCell ref="B12:E12"/>
    <mergeCell ref="M6:Q6"/>
    <mergeCell ref="H25:K25"/>
    <mergeCell ref="B21:E21"/>
    <mergeCell ref="N21:Q21"/>
    <mergeCell ref="B11:E11"/>
    <mergeCell ref="N12:Q12"/>
    <mergeCell ref="H21:K21"/>
    <mergeCell ref="A5:Q5"/>
    <mergeCell ref="A1:Q2"/>
    <mergeCell ref="G26:K26"/>
    <mergeCell ref="M26:Q26"/>
    <mergeCell ref="B23:E23"/>
    <mergeCell ref="N23:Q23"/>
    <mergeCell ref="B8:E8"/>
    <mergeCell ref="A20:E20"/>
    <mergeCell ref="N8:Q8"/>
    <mergeCell ref="G20:K20"/>
    <mergeCell ref="H11:K11"/>
    <mergeCell ref="A19:E19"/>
    <mergeCell ref="A13:E13"/>
    <mergeCell ref="M19:Q19"/>
    <mergeCell ref="B10:E10"/>
    <mergeCell ref="N10:Q10"/>
  </mergeCells>
  <pageMargins left="0.75" right="0.75" top="1" bottom="1" header="0.5" footer="0.5"/>
  <pageSetup orientation="landscape" fitToWidth="1"/>
  <drawing xmlns:r="http://schemas.openxmlformats.org/officeDocument/2006/relationships" r:id="rId1"/>
</worksheet>
</file>

<file path=xl/worksheets/sheet13.xml><?xml version="1.0" encoding="utf-8"?>
<worksheet xmlns="http://schemas.openxmlformats.org/spreadsheetml/2006/main">
  <sheetPr>
    <tabColor rgb="001B2A3B"/>
    <outlinePr summaryBelow="1" summaryRight="1"/>
    <pageSetUpPr fitToPage="1"/>
  </sheetPr>
  <dimension ref="A1:C62"/>
  <sheetViews>
    <sheetView showGridLines="0" workbookViewId="0">
      <pane ySplit="3" topLeftCell="A4" activePane="bottomLeft" state="frozen"/>
      <selection pane="bottomLeft" activeCell="A1" sqref="A1"/>
    </sheetView>
  </sheetViews>
  <sheetFormatPr baseColWidth="8" defaultRowHeight="15"/>
  <cols>
    <col width="3" customWidth="1" min="1" max="1"/>
    <col width="28" customWidth="1" min="2" max="2"/>
    <col width="55" customWidth="1" min="3" max="3"/>
  </cols>
  <sheetData>
    <row r="1" ht="28" customHeight="1">
      <c r="A1" s="30" t="inlineStr">
        <is>
          <t>SCREENING METHODOLOGY</t>
        </is>
      </c>
      <c r="B1" s="11" t="n"/>
      <c r="C1" s="11" t="n"/>
    </row>
    <row r="2" ht="22" customHeight="1">
      <c r="A2" s="31" t="inlineStr">
        <is>
          <t>Technical documentation for the structural growth equity screener</t>
        </is>
      </c>
      <c r="B2" s="12" t="n"/>
      <c r="C2" s="12" t="n"/>
    </row>
    <row r="3" ht="8" customHeight="1"/>
    <row r="4" ht="22" customHeight="1">
      <c r="B4" s="16" t="inlineStr">
        <is>
          <t>Screening Universe</t>
        </is>
      </c>
      <c r="C4" s="17" t="n"/>
    </row>
    <row r="5" ht="16" customHeight="1">
      <c r="B5" s="106" t="inlineStr"/>
      <c r="C5" s="51" t="inlineStr">
        <is>
          <t>US-listed equities across three market cap tiers:</t>
        </is>
      </c>
    </row>
    <row r="6" ht="16" customHeight="1">
      <c r="B6" s="106" t="inlineStr"/>
      <c r="C6" s="51" t="inlineStr">
        <is>
          <t xml:space="preserve">  Nano Cap: $50M–$300M (highest risk, highest upside)</t>
        </is>
      </c>
    </row>
    <row r="7" ht="16" customHeight="1">
      <c r="B7" s="106" t="inlineStr"/>
      <c r="C7" s="51" t="inlineStr">
        <is>
          <t xml:space="preserve">  Small Cap: $300M–$2B (the sweet spot — proven enough to have real revenue)</t>
        </is>
      </c>
    </row>
    <row r="8" ht="16" customHeight="1">
      <c r="B8" s="106" t="inlineStr"/>
      <c r="C8" s="51" t="inlineStr">
        <is>
          <t xml:space="preserve">  Breakout: $2B–$15B (validated, growth re-accelerating)</t>
        </is>
      </c>
    </row>
    <row r="9" ht="8" customHeight="1"/>
    <row r="10" ht="16" customHeight="1">
      <c r="B10" s="106" t="inlineStr"/>
      <c r="C10" s="51" t="inlineStr">
        <is>
          <t>Focus themes: Aerospace/Defense, Semiconductors, AI Infrastructure,</t>
        </is>
      </c>
    </row>
    <row r="11" ht="16" customHeight="1">
      <c r="B11" s="106" t="inlineStr"/>
      <c r="C11" s="51" t="inlineStr">
        <is>
          <t>Photonics, Quantum Computing, Space, New Energy, Gene Editing</t>
        </is>
      </c>
    </row>
    <row r="12" ht="8" customHeight="1"/>
    <row r="13" ht="22" customHeight="1">
      <c r="B13" s="16" t="inlineStr">
        <is>
          <t>Hard Filters</t>
        </is>
      </c>
      <c r="C13" s="17" t="n"/>
    </row>
    <row r="14" ht="16" customHeight="1">
      <c r="B14" s="106" t="inlineStr"/>
      <c r="C14" s="51" t="inlineStr">
        <is>
          <t>Must be US-domiciled and actively trading on a major exchange</t>
        </is>
      </c>
    </row>
    <row r="15" ht="16" customHeight="1">
      <c r="B15" s="106" t="inlineStr"/>
      <c r="C15" s="51" t="inlineStr">
        <is>
          <t>Excludes: Biotech/Pharma (unless gene editing keywords in description)</t>
        </is>
      </c>
    </row>
    <row r="16" ht="16" customHeight="1">
      <c r="B16" s="106" t="inlineStr"/>
      <c r="C16" s="51" t="inlineStr">
        <is>
          <t>Excludes: Oil &amp; Gas, Warrants, Units, Preferred shares</t>
        </is>
      </c>
    </row>
    <row r="17" ht="16" customHeight="1">
      <c r="B17" s="106" t="inlineStr"/>
      <c r="C17" s="51" t="inlineStr">
        <is>
          <t>Must match industry whitelist OR description keywords in target themes</t>
        </is>
      </c>
    </row>
    <row r="18" ht="16" customHeight="1">
      <c r="B18" s="106" t="inlineStr"/>
      <c r="C18" s="51" t="inlineStr">
        <is>
          <t>No OTC/pink sheet securities</t>
        </is>
      </c>
    </row>
    <row r="19" ht="8" customHeight="1"/>
    <row r="20" ht="22" customHeight="1">
      <c r="B20" s="16" t="inlineStr">
        <is>
          <t>Quality Floor</t>
        </is>
      </c>
      <c r="C20" s="17" t="n"/>
    </row>
    <row r="21" ht="16" customHeight="1">
      <c r="B21" s="106" t="inlineStr"/>
      <c r="C21" s="51" t="inlineStr">
        <is>
          <t>Revenue growth must exceed 5% YoY</t>
        </is>
      </c>
    </row>
    <row r="22" ht="16" customHeight="1">
      <c r="B22" s="106" t="inlineStr"/>
      <c r="C22" s="51" t="inlineStr">
        <is>
          <t>Gross margin must exceed 20%</t>
        </is>
      </c>
    </row>
    <row r="23" ht="16" customHeight="1">
      <c r="B23" s="106" t="inlineStr"/>
      <c r="C23" s="51" t="inlineStr">
        <is>
          <t>3-year share dilution must be below 30%</t>
        </is>
      </c>
    </row>
    <row r="24" ht="16" customHeight="1">
      <c r="B24" s="106" t="inlineStr"/>
      <c r="C24" s="51" t="inlineStr">
        <is>
          <t>Stocks failing any of these thresholds are excluded entirely</t>
        </is>
      </c>
    </row>
    <row r="25" ht="8" customHeight="1"/>
    <row r="26" ht="22" customHeight="1">
      <c r="B26" s="16" t="inlineStr">
        <is>
          <t>Composite Score (60%)</t>
        </is>
      </c>
      <c r="C26" s="17" t="n"/>
    </row>
    <row r="27" ht="16" customHeight="1">
      <c r="B27" s="106" t="inlineStr"/>
      <c r="C27" s="51" t="inlineStr">
        <is>
          <t>Revenue Growth YoY: 30% weight — Higher is better, &gt;50% = max score</t>
        </is>
      </c>
    </row>
    <row r="28" ht="16" customHeight="1">
      <c r="B28" s="106" t="inlineStr"/>
      <c r="C28" s="51" t="inlineStr">
        <is>
          <t>Gross Margin: 20% weight — &gt;40% = max, proxy for pricing power and moat</t>
        </is>
      </c>
    </row>
    <row r="29" ht="16" customHeight="1">
      <c r="B29" s="106" t="inlineStr"/>
      <c r="C29" s="51" t="inlineStr">
        <is>
          <t>Dilution 3yr: 20% weight — Lower is better, &lt;5% = full points, &gt;30% = zero</t>
        </is>
      </c>
    </row>
    <row r="30" ht="16" customHeight="1">
      <c r="B30" s="106" t="inlineStr"/>
      <c r="C30" s="51" t="inlineStr">
        <is>
          <t>Insider Ownership: 15% weight — &gt;10% = full points, founders with skin in the game</t>
        </is>
      </c>
    </row>
    <row r="31" ht="16" customHeight="1">
      <c r="B31" s="106" t="inlineStr"/>
      <c r="C31" s="51" t="inlineStr">
        <is>
          <t>Revenue Acceleration: 15% weight — Is the growth rate itself increasing?</t>
        </is>
      </c>
    </row>
    <row r="32" ht="8" customHeight="1"/>
    <row r="33" ht="22" customHeight="1">
      <c r="B33" s="16" t="inlineStr">
        <is>
          <t>Fingerprint Score (40%)</t>
        </is>
      </c>
      <c r="C33" s="17" t="n"/>
    </row>
    <row r="34" ht="16" customHeight="1">
      <c r="B34" s="106" t="inlineStr"/>
      <c r="C34" s="51" t="inlineStr">
        <is>
          <t>Measures similarity to 6 reference stocks at their pre-run inflection point</t>
        </is>
      </c>
    </row>
    <row r="35" ht="16" customHeight="1">
      <c r="B35" s="106" t="inlineStr"/>
      <c r="C35" s="51" t="inlineStr">
        <is>
          <t>Reference stocks: LITE, COHR, AAOI, KTOS, RKLB, MVIS</t>
        </is>
      </c>
    </row>
    <row r="36" ht="16" customHeight="1">
      <c r="B36" s="106" t="inlineStr"/>
      <c r="C36" s="51" t="inlineStr">
        <is>
          <t>Compares: revenue growth, gross margin, insider %, dilution, market cap</t>
        </is>
      </c>
    </row>
    <row r="37" ht="16" customHeight="1">
      <c r="B37" s="106" t="inlineStr"/>
      <c r="C37" s="51" t="inlineStr">
        <is>
          <t>Inside the ideal range = 100; score decays with distance from range</t>
        </is>
      </c>
    </row>
    <row r="38" ht="16" customHeight="1">
      <c r="B38" s="106" t="inlineStr"/>
      <c r="C38" s="51" t="inlineStr">
        <is>
          <t>Combined Score = 60% × Composite + 40% × Fingerprint</t>
        </is>
      </c>
    </row>
    <row r="39" ht="8" customHeight="1"/>
    <row r="40" ht="22" customHeight="1">
      <c r="B40" s="16" t="inlineStr">
        <is>
          <t>Position Sizing Rules</t>
        </is>
      </c>
      <c r="C40" s="17" t="n"/>
    </row>
    <row r="41" ht="16" customHeight="1">
      <c r="B41" s="106" t="inlineStr"/>
      <c r="C41" s="51" t="inlineStr">
        <is>
          <t>Based on conviction level: High (8%), Medium-High (5%), Medium (3%), Speculative (1.5%)</t>
        </is>
      </c>
    </row>
    <row r="42" ht="16" customHeight="1">
      <c r="B42" s="106" t="inlineStr"/>
      <c r="C42" s="51" t="inlineStr">
        <is>
          <t>Nano caps receive 0.6x risk multiplier (smaller positions for higher risk)</t>
        </is>
      </c>
    </row>
    <row r="43" ht="16" customHeight="1">
      <c r="B43" s="106" t="inlineStr"/>
      <c r="C43" s="51" t="inlineStr">
        <is>
          <t>Breakout caps receive 1.2x multiplier (larger positions for validated growth)</t>
        </is>
      </c>
    </row>
    <row r="44" ht="16" customHeight="1">
      <c r="B44" s="106" t="inlineStr"/>
      <c r="C44" s="51" t="inlineStr">
        <is>
          <t>Designed to sum to &lt;100% with meaningful cash reserve</t>
        </is>
      </c>
    </row>
    <row r="45" ht="8" customHeight="1"/>
    <row r="46" ht="22" customHeight="1">
      <c r="B46" s="16" t="inlineStr">
        <is>
          <t>Data Source &amp; Refresh</t>
        </is>
      </c>
      <c r="C46" s="17" t="n"/>
    </row>
    <row r="47" ht="16" customHeight="1">
      <c r="B47" s="106" t="inlineStr"/>
      <c r="C47" s="51" t="inlineStr">
        <is>
          <t>All data sourced from Financial Modeling Prep (FMP) API</t>
        </is>
      </c>
    </row>
    <row r="48" ht="16" customHeight="1">
      <c r="B48" s="106" t="inlineStr"/>
      <c r="C48" s="51" t="inlineStr">
        <is>
          <t>24-hour cache on all API responses to protect rate limits</t>
        </is>
      </c>
    </row>
    <row r="49" ht="16" customHeight="1">
      <c r="B49" s="106" t="inlineStr"/>
      <c r="C49" s="51" t="inlineStr">
        <is>
          <t>Quarterly financials: last 8 quarters of income statements</t>
        </is>
      </c>
    </row>
    <row r="50" ht="16" customHeight="1">
      <c r="B50" s="106" t="inlineStr"/>
      <c r="C50" s="51" t="inlineStr">
        <is>
          <t>Share count history: last 12 quarters of enterprise values</t>
        </is>
      </c>
    </row>
    <row r="51" ht="16" customHeight="1">
      <c r="B51" s="106" t="inlineStr"/>
      <c r="C51" s="51" t="inlineStr">
        <is>
          <t>Report generated: June 06, 2026</t>
        </is>
      </c>
    </row>
    <row r="52" ht="8" customHeight="1"/>
    <row r="53" ht="22" customHeight="1">
      <c r="B53" s="16" t="inlineStr">
        <is>
          <t>Disclaimer</t>
        </is>
      </c>
      <c r="C53" s="17" t="n"/>
    </row>
    <row r="54" ht="16" customHeight="1">
      <c r="B54" s="106" t="inlineStr"/>
      <c r="C54" s="51" t="inlineStr">
        <is>
          <t>This screener is for research and educational purposes only.</t>
        </is>
      </c>
    </row>
    <row r="55" ht="16" customHeight="1">
      <c r="B55" s="106" t="inlineStr"/>
      <c r="C55" s="51" t="inlineStr">
        <is>
          <t>It does not constitute investment advice or a recommendation to buy or sell.</t>
        </is>
      </c>
    </row>
    <row r="56" ht="16" customHeight="1">
      <c r="B56" s="106" t="inlineStr"/>
      <c r="C56" s="51" t="inlineStr">
        <is>
          <t>Past performance of reference stocks does not guarantee future results.</t>
        </is>
      </c>
    </row>
    <row r="57" ht="16" customHeight="1">
      <c r="B57" s="106" t="inlineStr"/>
      <c r="C57" s="51" t="inlineStr">
        <is>
          <t>All investments carry risk of loss. Consult a licensed financial advisor.</t>
        </is>
      </c>
    </row>
    <row r="58" ht="8" customHeight="1"/>
    <row r="60">
      <c r="B60" s="16" t="inlineStr">
        <is>
          <t>VERSION HISTORY</t>
        </is>
      </c>
      <c r="C60" s="17" t="n"/>
    </row>
    <row r="61">
      <c r="B61" s="94" t="inlineStr">
        <is>
          <t>v2.0</t>
        </is>
      </c>
      <c r="C61" s="48" t="inlineStr">
        <is>
          <t>June 06, 2026 — Institutional rebuild: openpyxl, design system, charts, data validation</t>
        </is>
      </c>
    </row>
    <row r="62">
      <c r="B62" s="67" t="inlineStr">
        <is>
          <t>v1.0</t>
        </is>
      </c>
      <c r="C62" s="51" t="inlineStr">
        <is>
          <t>Initial release — xlsxwriter-based export with basic formatting</t>
        </is>
      </c>
    </row>
  </sheetData>
  <mergeCells count="2">
    <mergeCell ref="A1:C1"/>
    <mergeCell ref="A2:C2"/>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2026-06-06T02:49:50Z</dcterms:created>
  <dcterms:modified xmlns:dcterms="http://purl.org/dc/terms/" xmlns:xsi="http://www.w3.org/2001/XMLSchema-instance" xsi:type="dcterms:W3CDTF">2026-06-06T02:49:50Z</dcterms:modified>
</cp:coreProperties>
</file>