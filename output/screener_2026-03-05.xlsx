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Nano Cap" sheetId="2" r:id="rId2"/>
    <sheet name="Small Cap" sheetId="3" r:id="rId3"/>
    <sheet name="Breakout" sheetId="4" r:id="rId4"/>
    <sheet name="Descriptions" sheetId="5" r:id="rId5"/>
    <sheet name="Standouts" sheetId="6" r:id="rId6"/>
    <sheet name="Recommendations" sheetId="7" r:id="rId7"/>
    <sheet name="Portfolio Construction" sheetId="8" r:id="rId8"/>
    <sheet name="Sensitivity" sheetId="9" r:id="rId9"/>
    <sheet name="Revenue Trends" sheetId="10" r:id="rId10"/>
    <sheet name="Fingerprint Reference" sheetId="11" r:id="rId11"/>
    <sheet name="Methodology" sheetId="12" r:id="rId12"/>
  </sheets>
  <calcPr calcId="124519" fullCalcOnLoad="1"/>
</workbook>
</file>

<file path=xl/sharedStrings.xml><?xml version="1.0" encoding="utf-8"?>
<sst xmlns="http://schemas.openxmlformats.org/spreadsheetml/2006/main" count="1133" uniqueCount="315">
  <si>
    <t>Stock Screener — Executive Summary</t>
  </si>
  <si>
    <t>Generated 2026-03-05 02:51  |  Structural Growth Screener</t>
  </si>
  <si>
    <t>Nano Cap ($50M–$300M)</t>
  </si>
  <si>
    <t>Ticker</t>
  </si>
  <si>
    <t>Company</t>
  </si>
  <si>
    <t>Mkt Cap ($M)</t>
  </si>
  <si>
    <t>Score</t>
  </si>
  <si>
    <t>Fingerprint</t>
  </si>
  <si>
    <t>Conviction</t>
  </si>
  <si>
    <t>SODI</t>
  </si>
  <si>
    <t>Solitron Devices, Inc.</t>
  </si>
  <si>
    <t>High</t>
  </si>
  <si>
    <t>SPRU</t>
  </si>
  <si>
    <t>Spruce Power Holding Corporation</t>
  </si>
  <si>
    <t>CODA</t>
  </si>
  <si>
    <t>Coda Octopus Group, Inc.</t>
  </si>
  <si>
    <t>TGEN</t>
  </si>
  <si>
    <t>Tecogen Inc.</t>
  </si>
  <si>
    <t>Medium-High</t>
  </si>
  <si>
    <t>TAYD</t>
  </si>
  <si>
    <t>Taylor Devices, Inc.</t>
  </si>
  <si>
    <t>RFIL</t>
  </si>
  <si>
    <t>RF Industries, Ltd.</t>
  </si>
  <si>
    <t>MRAM</t>
  </si>
  <si>
    <t>Everspin Technologies, Inc.</t>
  </si>
  <si>
    <t>ZEO</t>
  </si>
  <si>
    <t>Zeo Energy Corp.</t>
  </si>
  <si>
    <t>Small Cap ($300M–$2B)</t>
  </si>
  <si>
    <t>GOGO</t>
  </si>
  <si>
    <t>Gogo Inc.</t>
  </si>
  <si>
    <t>MXL</t>
  </si>
  <si>
    <t>MaxLinear, Inc.</t>
  </si>
  <si>
    <t>CDRE</t>
  </si>
  <si>
    <t>Cadre Holdings, Inc.</t>
  </si>
  <si>
    <t>ADTN</t>
  </si>
  <si>
    <t>ADTRAN Holdings, Inc.</t>
  </si>
  <si>
    <t>PKE</t>
  </si>
  <si>
    <t>Park Aerospace Corp.</t>
  </si>
  <si>
    <t>MVST</t>
  </si>
  <si>
    <t>Microvast Holdings, Inc.</t>
  </si>
  <si>
    <t>CLFD</t>
  </si>
  <si>
    <t>Clearfield, Inc.</t>
  </si>
  <si>
    <t>ISSC</t>
  </si>
  <si>
    <t>Innovative Solutions and Support, Inc.</t>
  </si>
  <si>
    <t>Breakout ($2B–$15B)</t>
  </si>
  <si>
    <t>COMM</t>
  </si>
  <si>
    <t>CommScope Holding Company, Inc.</t>
  </si>
  <si>
    <t>ALGM</t>
  </si>
  <si>
    <t>Allegro MicroSystems, Inc.</t>
  </si>
  <si>
    <t>LASR</t>
  </si>
  <si>
    <t>nLIGHT, Inc.</t>
  </si>
  <si>
    <t>KRMN</t>
  </si>
  <si>
    <t>Karman Holdings Inc.</t>
  </si>
  <si>
    <t>XMTR</t>
  </si>
  <si>
    <t>Xometry, Inc.</t>
  </si>
  <si>
    <t>RUN</t>
  </si>
  <si>
    <t>Sunrun Inc.</t>
  </si>
  <si>
    <t>MOG-A</t>
  </si>
  <si>
    <t>Moog Inc.</t>
  </si>
  <si>
    <t>IPGP</t>
  </si>
  <si>
    <t>IPG Photonics Corporation</t>
  </si>
  <si>
    <t>Portfolio Overview</t>
  </si>
  <si>
    <t>Total Candidates</t>
  </si>
  <si>
    <t>Avg Combined Score</t>
  </si>
  <si>
    <t>Avg Rev Growth</t>
  </si>
  <si>
    <t>44.8%</t>
  </si>
  <si>
    <t>Avg Gross Margin</t>
  </si>
  <si>
    <t>44.0%</t>
  </si>
  <si>
    <t>Nano Cap ($50M–$300M) — Screener Results</t>
  </si>
  <si>
    <t>Top 8 by combined score  |  2026-03-05 02:51</t>
  </si>
  <si>
    <t>Industry</t>
  </si>
  <si>
    <t>Price</t>
  </si>
  <si>
    <t>Rev Growth %</t>
  </si>
  <si>
    <t>Rev Accel %</t>
  </si>
  <si>
    <t>Gross Margin %</t>
  </si>
  <si>
    <t>Dilution 3yr %</t>
  </si>
  <si>
    <t>Insider %</t>
  </si>
  <si>
    <t>Composite</t>
  </si>
  <si>
    <t>Combined</t>
  </si>
  <si>
    <t>1M %</t>
  </si>
  <si>
    <t>3M %</t>
  </si>
  <si>
    <t>6M %</t>
  </si>
  <si>
    <t>YTD %</t>
  </si>
  <si>
    <t>1Y %</t>
  </si>
  <si>
    <t>Semiconductors</t>
  </si>
  <si>
    <t>Solar</t>
  </si>
  <si>
    <t>Aerospace &amp; Defense</t>
  </si>
  <si>
    <t>Electrical Equipment &amp; Parts</t>
  </si>
  <si>
    <t>Industrial - Machinery</t>
  </si>
  <si>
    <t>Small Cap ($300M–$2B) — Screener Results</t>
  </si>
  <si>
    <t>Telecommunications Services</t>
  </si>
  <si>
    <t>Communication Equipment</t>
  </si>
  <si>
    <t>Breakout ($2B–$15B) — Screener Results</t>
  </si>
  <si>
    <t>Company Descriptions &amp; Profiles</t>
  </si>
  <si>
    <t>All screened companies  |  2026-03-05 02:51</t>
  </si>
  <si>
    <t>Sector</t>
  </si>
  <si>
    <t>Tier</t>
  </si>
  <si>
    <t>Description</t>
  </si>
  <si>
    <t>Technology</t>
  </si>
  <si>
    <t>Nano Cap</t>
  </si>
  <si>
    <t>Solitron Devices, Inc. designs, develops, manufactures, and markets solid-state semiconductor components and related devices primarily for the military and aerospace markets. The company offers various bipolar and metal oxide semiconductor (MOS) power transistors, power and control hybrids, junction and power MOS field effect transistors, field effect transistors, and other related products. It also provides joint army/navy transistors, diodes, and standard military drawings voltage regulators. The company's semiconductor products are used as components of military, commercial, and aerospace electronic equipment, such as ground and airborne radar systems, power distribution systems, missiles, missile control systems, satellites, and space applications, as well as for non-military, scientific, and industrial applications. It operates in the United States, Canada, Latin America, the Far East, and the Middle East. The company was incorporated in 1959 and is headquartered in West Palm Beac</t>
  </si>
  <si>
    <t>Energy</t>
  </si>
  <si>
    <t>XL Fleet Corp. provides fleet electrification solutions for commercial vehicles in North America. Its products include hybrid electric drive systems are comprised of an electric motor that is mounted onto the vehicle's drive shaft, an inverter motor controller, and a lithium-ion battery pack to store energy to be used for propulsion; plug-in hybrid electric drive system, which are fitted to vehicles. In addition, the company offers vehicle electrification and infrastructure solutions, and charging stations. It serves end-use customer base comprising Fortune 500 corporate enterprises, public utilities, and various municipalities. The company was incorporated in 2009 and is headquartered in Boston, Massachusetts.</t>
  </si>
  <si>
    <t>Industrials</t>
  </si>
  <si>
    <t>Coda Octopus Group, Inc., together with its subsidiaries, develops and sells underwater technologies and equipment for 3D imaging, mapping, defense, and survey applications in the Americas, Europe, Australia, Asia, the Middle East, and Africa. The company operates through two segments, Marine Engineering Business and Marine Technology Business. It sells technology solutions to the subsea and underwater markets. The company's solutions include geophysical systems, a geophysical data acquisition systems, processing, and analysis software that are used primarily by survey companies, offshore renewable companies, research institutions, and salvage companies; GNSS-aided navigation systems; Echoscope and Echoscope PIPE used for real time monitoring of cable installations for offshore wind projects; and diver augmented vision display system. It offers CodaOctopus GeoSurvey products, such as hardware and software solutions for field acquisition of sidescan sonar and sub-bottom profiler; and Co</t>
  </si>
  <si>
    <t>Tecogen Inc. designs, manufactures, markets, and maintains industrial and commercial cogeneration systems for residential, commercial, recreational, and industrial use in the United States and internationally. It operates through three segments: Products, Services, and Energy Production. The company offers InVerde e+ and TecoPower, a cogeneration product that supplies electricity and hot water; TECOCHILL air-conditioning and refrigeration chillers; Tecofrost gas engine-driven refrigeration compressors; and water heaters under the Ilios brand name, as well as emissions control technology under the Ultera brand name. It also provides long-term maintenance contracts, parts sales, and turnkey installation services through a network of eleven field service centers in California, the Midwest, the Northeast, and the Southeast, as well as in Ontario, Canada. In addition, the company installs, owns, operates, and maintains distributed generation of electricity, energy, and other complementary s</t>
  </si>
  <si>
    <t>Taylor Devices, Inc. engages in design, development, manufacture, and marketing of shock absorption, rate control, and energy storage devices for use in machinery, equipment, and structures in North America, Asia, and internationally. Its products include seismic dampers that are designed to mitigate the effects of earthquakes on structures; Fluidicshoks, which are compact shock absorbers primarily used in defense, aerospace, and commercial industries; and crane and industrial buffers, which are larger versions of the Fluidicshoks for industrial application on cranes and crane trolleys, truck docks, ladle and ingot cars, ore trolleys, and car stops. The company's products also comprise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t>
  </si>
  <si>
    <t>RF Industries, Ltd., together with its subsidiaries, designs, manufactures, and markets interconnect products and systems in the United States, Canada, Mexico, and internationally. The company operates through two segments, RF Connector and Cable Assembly and Custom Cabling Manufacturing and Assembly. The company's RF Connector and Cable Assembly segment designs, manufactures, and distributes various coaxial connectors and cable assemblies that are integrated with coaxial connectors. The Custom Cabling Manufacturing and Assembly segment designs, manufactures, markets, and distributes custom copper and fiber cable assemblies, complex hybrid fiber optic and power solution cables, energy-efficient cooling systems for wireless base stations and remote equipment shelters, and custom designed pole-ready 5G small cell integrated enclosures. It also manufactures and sells custom and standard cable assemblies, hybrid fiber optic power solution cables, adapters, and electromechanical wiring harn</t>
  </si>
  <si>
    <t>Everspin Technologies, Inc. manufactures and sells magnetoresistive random access memory (MRAM) products in the United States, Hong Kong, Japan, China, Canada, and internationally. It offers Toggle MRAM, spin-transfer torque MRAM, and tunnel magneto resistance sensor products, as well as foundry services for embedded MRAM. The company provides its products for applications, including data center, industrial, medical, automotive/transportation, and aerospace markets. It serves original equipment manufacturers and original design manufacturers through a direct sales channel and a network of representatives and distributors. Everspin Technologies, Inc. was incorporated in 2008 and is headquartered in Chandler, Arizona.</t>
  </si>
  <si>
    <t>Zeo Energy Corp. is a vertically integrated provider of residential solar energy systems, other energy efficient equipment, and related services. The company is headquartered in New Port Richey, FL.</t>
  </si>
  <si>
    <t>Communication Services</t>
  </si>
  <si>
    <t>Small Cap</t>
  </si>
  <si>
    <t xml:space="preserve">Gogo Inc., through its subsidiaries, provides broadband connectivity services to the aviation industry in the United States and internationally. It operates through Commercial Aviation North America (CA-NA), Commercial Aviation Rest of World (CA-ROW), and Business Aviation (BA) segments. The company design, build and operate air-to-ground networks, engineer and maintain in-flight systems of proprietary hardware and software, and deliver customizable connectivity and wireless entertainment services. It also offers suite of integrated equipment, network, and internet connectivity products and services, as well as includes suite of smart cabin systems for integrated connectivity, in-flight entertainment, and voice solutions. In addition, the company portfolio comprises of in-flight network, in-flight systems, in-flight services, aviation partner support, and production operations functions. Further, the company offers satellite-based voice and data services. Gogo Inc. was founded in 1991 </t>
  </si>
  <si>
    <t>MaxLinear, Inc. provides radiofrequency (RF), high-performance analog, and mixed-signal communications systems-on-chip solutions (SoCs) for the connected home, wired and wireless infrastructure, and industrial and multi-market applications worldwide. Its products integrate various portions of a high-speed communication system, including RF, high-performance analog, mixed-signal, digital signal processing, security engines, data compression, networking layers, and power management. The company offers broadband radio transceiver front ends, data converters, embedded systems and software architecture, and architecture and system design for highly integrated end-to-end communication platform solutions. Its products are used in various electronic devices, such as cable data over cable service interface specifications (DOCSIS), fiber and DSL broadband modems and gateways; Wi-Fi and wireline routers for home networking; radio transceivers and modems for 4G/5G base-station and backhaul infrast</t>
  </si>
  <si>
    <t>Cadre Holdings, Inc. manufactures and distributes safety and survivability equipment that provides protection to users in hazardous or life-threatening situations in the United States and internationally. The company operates in two segments, Products and Distribution. It primarily provides body armor product, such as concealable, corrections, and tactical armor under the Safariland and Protech Tactical brands; survival suits, remotely operated vehicles, specialty tools, blast sensors, accessories, and vehicle blast attenuation seats for bomb safety technicians; bomb suits; duty gear, including belts and accessories; and other protective and law enforcement equipment comprising communications gear, forensic and investigation products, firearms cleaning solutions, and crowd control products. The company also offers third-party products, such as uniforms, optics, boots, firearms, and ammunition. It serves first responders, such as state and local law enforcement, fire and rescue, explosi</t>
  </si>
  <si>
    <t>ADTRAN Holdings, Inc., through its subsidiaries, provides end-to-end fiber networking solutions for communications service provider, enterprises, and government customers in the United States, Germany, the United Kingdom, Mexico, and internationally. It operates through two segments, Network Solutions, and Services &amp; Support. The company offers fiber access and fiber to the node platforms; transceivers, cables, and other miscellaneous materials; passive optical network optical line terminals; fiber to the distribution point Gfast distribution point units; cabinet and outside plant enclosures and services; packet optical transports; fixed wireless access platforms; and network management and subscriber services, and control and orchestration software. It also provides broadband customer premises solutions, ethernet switches and routers, residential gateways, cloud-based software-as-a-service management platforms, virtual wireless local area networks, Internet of Things gateways, pre-sal</t>
  </si>
  <si>
    <t>Park Aerospace Corp. develops and manufactures solution and hot-melt advanced composite materials used to produce composite structures for the aerospace market in North America, Asia, and Europe. It offers advanced composite materials, including film adhesives and lightning strike materials that are used to produce primary and secondary structures for jet engines, large and regional transport aircrafts, military aircrafts, unmanned aerial vehicles, business jets, general aviation aircrafts, and rotary wing aircrafts.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t>
  </si>
  <si>
    <t>Microvast Holdings, Inc. designs, develops, and manufactures battery systems for electric vehicles and energy storage systems. The company offers a range of cell chemistries, such as lithium titanate oxide, lithium iron phosphate, and nickel manganese cobalt version 1 and 2.It also designs, develops, and manufactures battery components, such as cathode, anode, electrolyte, and separator. In addition, the company offers battery solutions for commercial vehicles and energy storage systems. Its commercial vehicle markets cover buses, trains, mining trucks, marine and port applications, and automated guided and specialty vehicles, as well as light, medium, heavy-duty trucks in the United States and internationally. The company was incorporated in 2006 and is based in Stafford, Texas.</t>
  </si>
  <si>
    <t>Clearfield, Inc. manufactures, markets, and sells standard and custom passive connectivity products to the fiber-to-the-premises, enterprises, and original equipment manufacturers markets in the United States and internationally. The company offers FieldSmart, a series of panels, cabinets, wall boxes, and other enclosures. It also provides WaveSmart, which are optical components integrated for signal coupling, splitting, termination, multiplexing, demultiplexing, and attenuation for integration within its fiber management platform; and outdoor cabinet and fiber active cabinet products. The company offers StreetSmart, a portfolio of fiber management products; FieldShield, a fiber pathway and protection method for reducing the cost of broadband deployment; and YOURx platform that consists of hardened terminals, test access points, and various drop cable options for portions of the access network across various fiber drop cable media. It also provides CraftSmart, a line of optical protect</t>
  </si>
  <si>
    <t>Innovative Solutions and Support, Inc., a systems integrator, designs, develops, manufactures, sells, and services flight guidance, autothrottle, and cockpit display systems in the United States and internationally. It offers flat panel display systems that replicate the display of analog or digital displays on one screen and replace existing displays in legacy aircraft, as well as used for security monitoring on-board aircraft and as tactical workstations on military aircraft; and flight management systems that complement the flat panel display system upgrade for commercial air transport aircraft. The company also provides integrated standby units, which incorporate the measurement and display of attitude, altitude, airspeed, and navigation data into a single standby/backup navigation instrument for military, commercial air transport, and corporate/general aviation applications. In addition, it offers digital air data computers that calculate various air data parameters, such as altit</t>
  </si>
  <si>
    <t>Breakout</t>
  </si>
  <si>
    <t>CommScope Holding Company, Inc. provides infrastructure solutions for communications and entertainment networks. It operates through four segments: Broadband Networks (Broadband), Outdoor Wireless Networks (OWN), Venue and Campus Networks (VCN), and Home Networks (Home). The Broadband segment provides converged cable access platforms, passive optical networking products, video systems, access technologies, fiber and coaxial cables, fiber and copper connectivity products, and hardened closures to the telco and cable provider broadband market. The OWN segment provides base station antennas, radio frequency filters, tower connectivity, microwave antennas, metro cell products, cabinets, steel towers, accessories, Spectrum Access System, and Comsearch products to the macro and metro cell markets. The VCN segment offers Wi-Fi and switching, distributed antenna systems, licensed and unlicensed small cells, enterprise fiber, and copper infrastructures for campuses, venues, data centers, and bu</t>
  </si>
  <si>
    <t>Allegro MicroSystems, Inc. designs, develops, manufactures, and markets sensor integrated circuits (ICs) and application-specific analog power ICs for motion control and energy-efficient systems. Its products include magnetic sensor ICs, such as position, speed, and current sensor ICs; power ICs comprising motor driver ICs, and regulator and LED driver ICs; and photonic and 3D sensing components, including photodiodes, eye-safe lasers, and readout ICs for LiDAR applications. The company sells its products to original equipment manufacturers and suppliers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 Allegro MicroSystems, Inc. is a subsidiary of Sanken Electric Co., Ltd.</t>
  </si>
  <si>
    <t>nLIGHT, Inc. designs, manufactures, and sells semiconductor and fiber lasers for industrial, microfabrication, and aerospace and defense applications. It operates in two segments, Laser Products and Advanced Development. The company also provides fiber amplifiers, and beam combination and control systems for use in high-energy laser systems in directed energy applications. It sells its products through direct sales force in the United States, China, South Korea, and European countries, as well as through various independent sales representatives and distributors in Asia, Europe, and South America. The company was formerly known as nLight Photonics Corporation and changed its name to nLIGHT, Inc. in January 2016. nLIGHT, Inc. was incorporated in 2000 and is headquartered in Camas, Washington.</t>
  </si>
  <si>
    <t>Karman Holdings Inc., through its subsidiary, Karman Space and Defense, engages in designing, testing, manufacturing, and sale of mission-critical systems for missile and defense, space programs, hypersonic, and launch vehicle markets. It also supplies metallic and composite flight hardware and sub-assemblies. In addition, the company provides solutions for payload protection and deployment systems, aerodynamic interstage systems, and propulsion systems. The company was incorporated in 2020 and is based in Huntington Beach, California. Karman Holdings Inc. is a subsidiary of TCFIII Spaceco SPV LP.</t>
  </si>
  <si>
    <t>Xometry, Inc. operates a marketplace that enables buyers to source manufactured parts and assemblies in the United States and internationally. It provides CNC machining, milling, and turning services; sheet, laser, waterjet, and plasma cutting services; and sheet metal forming services. The company also offers 3D printing services, such as carbon digital light synthesis, fused deposition modeling, HP multi jet fusion, PolyJet, selective laser sintering, stereolithography, metal 3D printing service, direct metal laser sintering, and metal binder jetting; and injection molding services, including plastic injection, over, insert, and prototype molding, as well as bridge and production tooling. In addition, it provides other services comprising urethane and die casting, vapor smoothing, finishing, rapid prototyping, high- volume production, and assembly services. The company offers its products under the Allied Machine &amp; Engineering, Brubaker, HTC, OSG, Kyocera, Mitsubishi Materials, SOWA,</t>
  </si>
  <si>
    <t>Sunrun Inc. engages in the design, development, installation, sale, ownership, and maintenance of residential solar energy systems in the United States. It also sells solar energy systems and products, such as panels and racking; and solar leads generated to customers. In addition, the company offers battery storage along with solar energy systems.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</si>
  <si>
    <t>Moog Inc. designs, manufactures, and integrates precision motion and fluid controls and controls systems for original equipment manufacturers and end users in the aerospace, defense, and industrial markets worldwide. The company's Aircraft Controls segment offers primary and secondary flight controls for military and commercial aircrafts; aftermarket support services; and ground-based navigation aids. Its Space and Defense Controls segment provides controls for spacecrafts, space vehicles, launch vehicles, armored combat vehicles, tactical and strategic missiles, security and surveillance, and other defense applications; and gun aiming, stabilization, and automatic ammunition loading for armored combat vehicles. This segment also offers controls for steering tactical and strategic missiles, and naval surface ships and submarines; and weapons stores management systems for light attack aerial reconnaissance, ground, and sea platforms. The company's Industrial Systems segment provides com</t>
  </si>
  <si>
    <t>IPG Photonics Corporation develops, manufactures, and sells various high-performance fiber lasers, fiber amplifiers, and diode lasers used in various applications primarily in materials processing worldwide. The company's laser products include hybrid fiber-solid state lasers with green and ultraviolet wavelengths; fiber pigtailed packaged diodes and fiber coupled direct diode laser systems; high-energy pulsed lasers, multi-wavelength and tunable lasers, and single-polarization and single-frequency lasers; and high-power optical fiber delivery cables, fiber couplers, beam switches, chillers, scanners, and other accessories. It also provides erbium-doped fiber and Raman amplifiers, and integrated communications systems, which are deployed in broadband networks; and ytterbium and thulium specialty fiber amplifiers and broadband light sources. In addition, the company offers integrated laser systems; 2D compact flat sheet cutter systems and multi-axis systems; welding seam stepper and pic</t>
  </si>
  <si>
    <t>Cross-Tier Standouts</t>
  </si>
  <si>
    <t>Top performers across all metrics  |  2026-03-05 02:51</t>
  </si>
  <si>
    <t>Highest Combined Score</t>
  </si>
  <si>
    <t>Rank</t>
  </si>
  <si>
    <t>Combined Score</t>
  </si>
  <si>
    <t>Best Fingerprint Match (Most Like Pre-Run Winners)</t>
  </si>
  <si>
    <t>Fastest Revenue Growth</t>
  </si>
  <si>
    <t>Highest 3-Month Momentum</t>
  </si>
  <si>
    <t>3M Change %</t>
  </si>
  <si>
    <t>Lowest Dilution (Capital Discipline)</t>
  </si>
  <si>
    <t>Highest Insider Ownership</t>
  </si>
  <si>
    <t>Smallest Market Cap (Earliest Stage)</t>
  </si>
  <si>
    <t>Investment Recommendations</t>
  </si>
  <si>
    <t>Conviction levels based on combined scoring, fundamentals, and risk profile  |  2026-03-05 02:51</t>
  </si>
  <si>
    <t>Thesis Bucket</t>
  </si>
  <si>
    <t>Rationale</t>
  </si>
  <si>
    <t>Strengths</t>
  </si>
  <si>
    <t>Risks</t>
  </si>
  <si>
    <t>Fingerprint Match</t>
  </si>
  <si>
    <t>Strengths: strong revenue growth, high insider alignment, minimal dilution, strong fingerprint match. Risks: none significant.</t>
  </si>
  <si>
    <t>strong revenue growth; high insider alignment; minimal dilution; strong fingerprint match</t>
  </si>
  <si>
    <t>High-Growth Quality</t>
  </si>
  <si>
    <t>Strengths: strong revenue growth, high-margin business, high insider alignment, minimal dilution. Risks: none significant.</t>
  </si>
  <si>
    <t>strong revenue growth; high-margin business; high insider alignment; minimal dilution</t>
  </si>
  <si>
    <t>Strengths: strong revenue growth, high-margin business, high insider alignment, minimal dilution, strong fingerprint match. Risks: none significant.</t>
  </si>
  <si>
    <t>strong revenue growth; high-margin business; high insider alignment; minimal dilution; strong fingerprint match</t>
  </si>
  <si>
    <t>Strengths: strong revenue growth, high-margin business, strong fingerprint match. Risks: none significant.</t>
  </si>
  <si>
    <t>strong revenue growth; high-margin business; strong fingerprint match</t>
  </si>
  <si>
    <t>Strengths: strong revenue growth, healthy margins, high insider alignment, strong fingerprint match. Risks: none significant.</t>
  </si>
  <si>
    <t>strong revenue growth; healthy margins; high insider alignment; strong fingerprint match</t>
  </si>
  <si>
    <t>Strengths: solid revenue growth, healthy margins, minimal dilution, strong fingerprint match. Risks: none significant.</t>
  </si>
  <si>
    <t>solid revenue growth; healthy margins; minimal dilution; strong fingerprint match</t>
  </si>
  <si>
    <t>Strengths: solid revenue growth, minimal dilution, strong fingerprint match, positive momentum. Risks: none significant.</t>
  </si>
  <si>
    <t>solid revenue growth; minimal dilution; strong fingerprint match; positive momentum</t>
  </si>
  <si>
    <t>Strengths: strong revenue growth, high-margin business, high insider alignment, minimal dilution, positive momentum. Risks: none significant.</t>
  </si>
  <si>
    <t>strong revenue growth; high-margin business; high insider alignment; minimal dilution; positive momentum</t>
  </si>
  <si>
    <t>Strengths: solid revenue growth, healthy margins, high insider alignment, strong fingerprint match. Risks: negative momentum.</t>
  </si>
  <si>
    <t>solid revenue growth; healthy margins; high insider alignment; strong fingerprint match</t>
  </si>
  <si>
    <t>negative momentum</t>
  </si>
  <si>
    <t>Emerging Watch</t>
  </si>
  <si>
    <t>Strengths: high insider alignment, minimal dilution, strong fingerprint match. Risks: none significant.</t>
  </si>
  <si>
    <t>high insider alignment; minimal dilution; strong fingerprint match</t>
  </si>
  <si>
    <t>Strengths: solid revenue growth, high-margin business, minimal dilution, strong fingerprint match, positive momentum. Risks: none significant.</t>
  </si>
  <si>
    <t>solid revenue growth; high-margin business; minimal dilution; strong fingerprint match; positive momentum</t>
  </si>
  <si>
    <t>Strengths: solid revenue growth, high insider alignment, strong fingerprint match. Risks: negative momentum.</t>
  </si>
  <si>
    <t>solid revenue growth; high insider alignment; strong fingerprint match</t>
  </si>
  <si>
    <t>Strengths: strong revenue growth, healthy margins, minimal dilution, positive momentum. Risks: low insider ownership.</t>
  </si>
  <si>
    <t>strong revenue growth; healthy margins; minimal dilution; positive momentum</t>
  </si>
  <si>
    <t>low insider ownership</t>
  </si>
  <si>
    <t>Growth Inflection</t>
  </si>
  <si>
    <t>Strengths: strong revenue growth, healthy margins. Risks: low insider ownership.</t>
  </si>
  <si>
    <t>strong revenue growth; healthy margins</t>
  </si>
  <si>
    <t>Insider Conviction</t>
  </si>
  <si>
    <t>Strengths: solid revenue growth, healthy margins, high insider alignment, minimal dilution. Risks: none significant.</t>
  </si>
  <si>
    <t>solid revenue growth; healthy margins; high insider alignment; minimal dilution</t>
  </si>
  <si>
    <t>Momentum Breakout</t>
  </si>
  <si>
    <t>Strengths: strong revenue growth, positive momentum. Risks: none significant.</t>
  </si>
  <si>
    <t>strong revenue growth; positive momentum</t>
  </si>
  <si>
    <t>Strengths: solid revenue growth, healthy margins, high insider alignment, minimal dilution, strong fingerprint match, positive momentum. Risks: none significant.</t>
  </si>
  <si>
    <t>solid revenue growth; healthy margins; high insider alignment; minimal dilution; strong fingerprint match; positive momentum</t>
  </si>
  <si>
    <t>Strengths: strong revenue growth, healthy margins, high insider alignment, minimal dilution, positive momentum. Risks: none significant.</t>
  </si>
  <si>
    <t>strong revenue growth; healthy margins; high insider alignment; minimal dilution; positive momentum</t>
  </si>
  <si>
    <t>Strengths: solid revenue growth, healthy margins. Risks: none significant.</t>
  </si>
  <si>
    <t>solid revenue growth; healthy margins</t>
  </si>
  <si>
    <t>Strengths: high-margin business, high insider alignment, strong fingerprint match. Risks: modest growth.</t>
  </si>
  <si>
    <t>high-margin business; high insider alignment; strong fingerprint match</t>
  </si>
  <si>
    <t>modest growth</t>
  </si>
  <si>
    <t>Strengths: solid revenue growth, high-margin business, high insider alignment, minimal dilution. Risks: none significant.</t>
  </si>
  <si>
    <t>solid revenue growth; high-margin business; high insider alignment; minimal dilution</t>
  </si>
  <si>
    <t>Strengths: strong revenue growth, healthy margins. Risks: low insider ownership, negative momentum.</t>
  </si>
  <si>
    <t>low insider ownership; negative momentum</t>
  </si>
  <si>
    <t>Strengths: solid revenue growth, minimal dilution, strong fingerprint match, positive momentum. Risks: thin margins.</t>
  </si>
  <si>
    <t>thin margins</t>
  </si>
  <si>
    <t>Strengths: healthy margins, high insider alignment, minimal dilution, positive momentum. Risks: none significant.</t>
  </si>
  <si>
    <t>healthy margins; high insider alignment; minimal dilution; positive momentum</t>
  </si>
  <si>
    <t>Model Portfolio Construction &amp; Risk Metrics</t>
  </si>
  <si>
    <t>Position sizing, risk categorization, and portfolio analytics  |  2026-03-05 02:51</t>
  </si>
  <si>
    <t>Suggested Position Sizing</t>
  </si>
  <si>
    <t>Risk Category</t>
  </si>
  <si>
    <t>Position %</t>
  </si>
  <si>
    <t>52W High</t>
  </si>
  <si>
    <t>52W Low</t>
  </si>
  <si>
    <t>% from 52W High</t>
  </si>
  <si>
    <t>Avg Volume</t>
  </si>
  <si>
    <t>Medium</t>
  </si>
  <si>
    <t>Medium-Low</t>
  </si>
  <si>
    <t>Total Allocation</t>
  </si>
  <si>
    <t>Cash reserve: -41.4%</t>
  </si>
  <si>
    <t>Sector &amp; Theme Allocation</t>
  </si>
  <si>
    <t>Count</t>
  </si>
  <si>
    <t>Tickers</t>
  </si>
  <si>
    <t>SODI, MRAM, MXL, ALGM, LASR, IPGP</t>
  </si>
  <si>
    <t>CODA, CDRE, PKE, ISSC, KRMN, MOG-A</t>
  </si>
  <si>
    <t>SPRU, ZEO, RUN</t>
  </si>
  <si>
    <t>TGEN, RFIL, MVST</t>
  </si>
  <si>
    <t>ADTN, CLFD, COMM</t>
  </si>
  <si>
    <t>TAYD, XMTR</t>
  </si>
  <si>
    <t>Tier Allocation</t>
  </si>
  <si>
    <t># Positions</t>
  </si>
  <si>
    <t>Avg Score</t>
  </si>
  <si>
    <t>Total Alloc %</t>
  </si>
  <si>
    <t>Risk Distribution</t>
  </si>
  <si>
    <t>Risk Level</t>
  </si>
  <si>
    <t>% of Portfolio</t>
  </si>
  <si>
    <t>Sensitivity Analysis — Weight Profile Comparison</t>
  </si>
  <si>
    <t>How scores change under different weighting assumptions</t>
  </si>
  <si>
    <t>Weight Profiles Used</t>
  </si>
  <si>
    <t>Weight</t>
  </si>
  <si>
    <t>Baseline</t>
  </si>
  <si>
    <t>Growth Focus</t>
  </si>
  <si>
    <t>Quality Focus</t>
  </si>
  <si>
    <t>Insider Focus</t>
  </si>
  <si>
    <t>Revenue Growth</t>
  </si>
  <si>
    <t>Gross Margin</t>
  </si>
  <si>
    <t>Dilution</t>
  </si>
  <si>
    <t>Insider Ownership</t>
  </si>
  <si>
    <t>Revenue Acceleration</t>
  </si>
  <si>
    <t>Combined Scores Under Each Profile</t>
  </si>
  <si>
    <t>Max Swing</t>
  </si>
  <si>
    <t>Quarterly Revenue Trends</t>
  </si>
  <si>
    <t>Last 8 quarters of revenue by company</t>
  </si>
  <si>
    <t>Revenue</t>
  </si>
  <si>
    <t>2024-02-28</t>
  </si>
  <si>
    <t>2023-12-31</t>
  </si>
  <si>
    <t>2024-01-31</t>
  </si>
  <si>
    <t>2024-02-29</t>
  </si>
  <si>
    <t>2024-03-31</t>
  </si>
  <si>
    <t>2024-03-29</t>
  </si>
  <si>
    <t>2024-03-30</t>
  </si>
  <si>
    <t>Fingerprint Reference Stocks</t>
  </si>
  <si>
    <t>Historical winners at their pre-run inflection point — the benchmark for scoring</t>
  </si>
  <si>
    <t>Name</t>
  </si>
  <si>
    <t>Theme</t>
  </si>
  <si>
    <t>Year</t>
  </si>
  <si>
    <t>LITE</t>
  </si>
  <si>
    <t>Lumentum Holdings</t>
  </si>
  <si>
    <t>Data center optical interconnects</t>
  </si>
  <si>
    <t>COHR</t>
  </si>
  <si>
    <t>Coherent Corp (formerly II-VI)</t>
  </si>
  <si>
    <t>Optical networking + vertical integration</t>
  </si>
  <si>
    <t>AAOI</t>
  </si>
  <si>
    <t>Applied Optoelectronics</t>
  </si>
  <si>
    <t>Hyperscaler data center buildout</t>
  </si>
  <si>
    <t>KTOS</t>
  </si>
  <si>
    <t>Kratos Defense &amp; Security</t>
  </si>
  <si>
    <t>Drone warfare + affordable attritable aircraft</t>
  </si>
  <si>
    <t>RKLB</t>
  </si>
  <si>
    <t>Rocket Lab USA</t>
  </si>
  <si>
    <t>Small sat launch + space systems vertical integration</t>
  </si>
  <si>
    <t>MVIS</t>
  </si>
  <si>
    <t>MicroVision</t>
  </si>
  <si>
    <t>Autonomous vehicle sensor infrastructure</t>
  </si>
  <si>
    <t>Ideal Ranges (Min–Max Across Winners)</t>
  </si>
  <si>
    <t>Ideal Min</t>
  </si>
  <si>
    <t>Ideal Max</t>
  </si>
  <si>
    <t>Screening Methodology</t>
  </si>
  <si>
    <t>Screening Universe</t>
  </si>
  <si>
    <t>US-listed equities across three market cap tiers</t>
  </si>
  <si>
    <t>Nano Cap: $50M–$300M  |  Small Cap: $300M–$2B  |  Breakout: $2B–$15B</t>
  </si>
  <si>
    <t>Focus: Aerospace/Defense, Semiconductors, AI, New Energy, Gene Editing, Quantum, Photonics</t>
  </si>
  <si>
    <t>Hard Filters</t>
  </si>
  <si>
    <t>Must be US-domiciled and actively trading on major exchange</t>
  </si>
  <si>
    <t>Excludes: Biotech/Pharma (unless gene editing), Oil &amp; Gas, Warrants/Units/Preferred</t>
  </si>
  <si>
    <t>Must match industry whitelist OR description keywords in target themes</t>
  </si>
  <si>
    <t>Composite Score (60% weight)</t>
  </si>
  <si>
    <t>Revenue Growth YoY: 30% — Higher is better, &gt;50% = max</t>
  </si>
  <si>
    <t>Gross Margin: 20% — &gt;40% = max, proxy for pricing power</t>
  </si>
  <si>
    <t>Dilution 3yr: 20% — Lower is better, &lt;5% = max</t>
  </si>
  <si>
    <t>Insider Ownership: 15% — &gt;10% = max</t>
  </si>
  <si>
    <t>Revenue Acceleration: 15% — Growth rate increasing</t>
  </si>
  <si>
    <t>Fingerprint Score (40% weight)</t>
  </si>
  <si>
    <t>Measures similarity to reference stocks (LITE, COHR, AAOI, KTOS, RKLB) at their pre-run inflection</t>
  </si>
  <si>
    <t>Compares revenue growth, gross margin, insider %, dilution, and market cap</t>
  </si>
  <si>
    <t>Inside the ideal range = 100; decays with distance from range</t>
  </si>
  <si>
    <t>Quality Floor</t>
  </si>
  <si>
    <t>Revenue growth must be &gt;5% YoY</t>
  </si>
  <si>
    <t>Gross margin must be &gt;20%</t>
  </si>
  <si>
    <t>3-year dilution must be &lt;30%</t>
  </si>
  <si>
    <t>Position Sizing Logic</t>
  </si>
  <si>
    <t>Based on conviction level (High/Medium-High/Medium/Speculative)</t>
  </si>
  <si>
    <t>Nano caps get 0.6x multiplier; Breakouts get 1.2x multiplier</t>
  </si>
  <si>
    <t>Designed to sum to &lt;100% with meaningful cash reserve</t>
  </si>
  <si>
    <t>Data Source</t>
  </si>
  <si>
    <t>Financial Modeling Prep (FMP) API — all data points</t>
  </si>
  <si>
    <t>24-hour cache on all API responses</t>
  </si>
  <si>
    <t>Report generated: 2026-03-05 02:51</t>
  </si>
</sst>
</file>

<file path=xl/styles.xml><?xml version="1.0" encoding="utf-8"?>
<styleSheet xmlns="http://schemas.openxmlformats.org/spreadsheetml/2006/main">
  <numFmts count="5">
    <numFmt numFmtId="164" formatCode="$#,##0"/>
    <numFmt numFmtId="165" formatCode="#,##0"/>
    <numFmt numFmtId="166" formatCode="#,##0.0"/>
    <numFmt numFmtId="167" formatCode="$#,##0.00"/>
    <numFmt numFmtId="168" formatCode="0.0"/>
  </numFmts>
  <fonts count="13">
    <font>
      <sz val="11"/>
      <color theme="1"/>
      <name val="Calibri"/>
      <family val="2"/>
      <scheme val="minor"/>
    </font>
    <font>
      <b/>
      <sz val="16"/>
      <color rgb="FF1A1A2E"/>
      <name val="Calibri"/>
      <family val="2"/>
      <scheme val="minor"/>
    </font>
    <font>
      <b/>
      <i/>
      <sz val="11"/>
      <color rgb="FF555555"/>
      <name val="Calibri"/>
      <family val="2"/>
      <scheme val="minor"/>
    </font>
    <font>
      <b/>
      <sz val="12"/>
      <color rgb="FF1A1A2E"/>
      <name val="Calibri"/>
      <family val="2"/>
      <scheme val="minor"/>
    </font>
    <font>
      <b/>
      <sz val="10"/>
      <color rgb="FFFFFFFF"/>
      <name val="Calibri"/>
      <family val="2"/>
      <scheme val="minor"/>
    </font>
    <font>
      <b/>
      <sz val="10"/>
      <color theme="1"/>
      <name val="Calibri"/>
      <family val="2"/>
      <scheme val="minor"/>
    </font>
    <font>
      <sz val="10"/>
      <color theme="1"/>
      <name val="Calibri"/>
      <family val="2"/>
      <scheme val="minor"/>
    </font>
    <font>
      <b/>
      <sz val="10"/>
      <color rgb="FF006100"/>
      <name val="Calibri"/>
      <family val="2"/>
      <scheme val="minor"/>
    </font>
    <font>
      <b/>
      <sz val="10"/>
      <color rgb="FF38761D"/>
      <name val="Calibri"/>
      <family val="2"/>
      <scheme val="minor"/>
    </font>
    <font>
      <sz val="10"/>
      <color rgb="FF990000"/>
      <name val="Calibri"/>
      <family val="2"/>
      <scheme val="minor"/>
    </font>
    <font>
      <sz val="10"/>
      <color rgb="FF7F6000"/>
      <name val="Calibri"/>
      <family val="2"/>
      <scheme val="minor"/>
    </font>
    <font>
      <sz val="10"/>
      <color rgb="FF783F04"/>
      <name val="Calibri"/>
      <family val="2"/>
      <scheme val="minor"/>
    </font>
    <font>
      <sz val="10"/>
      <color rgb="FF38761D"/>
      <name val="Calibri"/>
      <family val="2"/>
      <scheme val="minor"/>
    </font>
  </fonts>
  <fills count="8">
    <fill>
      <patternFill patternType="none"/>
    </fill>
    <fill>
      <patternFill patternType="gray125"/>
    </fill>
    <fill>
      <patternFill patternType="solid">
        <fgColor rgb="FF1A1A2E"/>
        <bgColor indexed="64"/>
      </patternFill>
    </fill>
    <fill>
      <patternFill patternType="solid">
        <fgColor rgb="FFC6EFCE"/>
        <bgColor indexed="64"/>
      </patternFill>
    </fill>
    <fill>
      <patternFill patternType="solid">
        <fgColor rgb="FFD9EAD3"/>
        <bgColor indexed="64"/>
      </patternFill>
    </fill>
    <fill>
      <patternFill patternType="solid">
        <fgColor rgb="FFF4CCCC"/>
        <bgColor indexed="64"/>
      </patternFill>
    </fill>
    <fill>
      <patternFill patternType="solid">
        <fgColor rgb="FFFFF2CC"/>
        <bgColor indexed="64"/>
      </patternFill>
    </fill>
    <fill>
      <patternFill patternType="solid">
        <fgColor rgb="FFFCE5CD"/>
        <bgColor indexed="64"/>
      </patternFill>
    </fill>
  </fills>
  <borders count="4">
    <border>
      <left/>
      <right/>
      <top/>
      <bottom/>
      <diagonal/>
    </border>
    <border>
      <left/>
      <right/>
      <top/>
      <bottom style="medium">
        <color rgb="FF1A1A2E"/>
      </bottom>
      <diagonal/>
    </border>
    <border>
      <left/>
      <right/>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xf numFmtId="0" fontId="2" fillId="0" borderId="0" xfId="0" applyFont="1"/>
    <xf numFmtId="0" fontId="3" fillId="0" borderId="2" xfId="0" applyFont="1" applyBorder="1"/>
    <xf numFmtId="0" fontId="4" fillId="2" borderId="3" xfId="0" applyFont="1" applyFill="1" applyBorder="1" applyAlignment="1">
      <alignment horizontal="center" vertical="center" wrapText="1"/>
    </xf>
    <xf numFmtId="0" fontId="5" fillId="0" borderId="3" xfId="0" applyFont="1" applyBorder="1" applyAlignment="1">
      <alignment vertical="center"/>
    </xf>
    <xf numFmtId="0" fontId="6" fillId="0" borderId="3" xfId="0" applyFont="1" applyBorder="1" applyAlignment="1">
      <alignment vertical="center" wrapText="1"/>
    </xf>
    <xf numFmtId="164" fontId="6" fillId="0" borderId="3" xfId="0" applyNumberFormat="1" applyFont="1" applyBorder="1" applyAlignment="1">
      <alignment vertical="center"/>
    </xf>
    <xf numFmtId="1" fontId="6" fillId="0" borderId="3" xfId="0" applyNumberFormat="1" applyFont="1" applyBorder="1" applyAlignment="1">
      <alignment horizontal="center" vertical="center"/>
    </xf>
    <xf numFmtId="0" fontId="7" fillId="3" borderId="3" xfId="0" applyFont="1" applyFill="1" applyBorder="1" applyAlignment="1">
      <alignment horizontal="center" vertical="center"/>
    </xf>
    <xf numFmtId="0" fontId="8" fillId="4" borderId="3" xfId="0" applyFont="1" applyFill="1" applyBorder="1" applyAlignment="1">
      <alignment horizontal="center" vertical="center"/>
    </xf>
    <xf numFmtId="165" fontId="6" fillId="0" borderId="3" xfId="0" applyNumberFormat="1" applyFont="1" applyBorder="1" applyAlignment="1">
      <alignment vertical="center"/>
    </xf>
    <xf numFmtId="166" fontId="6" fillId="0" borderId="3" xfId="0" applyNumberFormat="1" applyFont="1" applyBorder="1" applyAlignment="1">
      <alignment vertical="center"/>
    </xf>
    <xf numFmtId="0" fontId="4" fillId="2" borderId="3" xfId="0" applyFont="1" applyFill="1" applyBorder="1" applyAlignment="1">
      <alignment vertical="center" wrapText="1"/>
    </xf>
    <xf numFmtId="167" fontId="6" fillId="0" borderId="3" xfId="0" applyNumberFormat="1" applyFont="1" applyBorder="1" applyAlignment="1">
      <alignment vertical="center"/>
    </xf>
    <xf numFmtId="168" fontId="6" fillId="0" borderId="3" xfId="0" applyNumberFormat="1" applyFont="1" applyBorder="1" applyAlignment="1">
      <alignment vertical="center"/>
    </xf>
    <xf numFmtId="0" fontId="6" fillId="0" borderId="3" xfId="0" applyFont="1" applyBorder="1" applyAlignment="1">
      <alignment horizontal="center" vertical="center"/>
    </xf>
    <xf numFmtId="0" fontId="6" fillId="0" borderId="3" xfId="0" applyFont="1" applyBorder="1" applyAlignment="1">
      <alignment vertical="top" wrapText="1"/>
    </xf>
    <xf numFmtId="0" fontId="9" fillId="5" borderId="3" xfId="0" applyFont="1" applyFill="1" applyBorder="1" applyAlignment="1">
      <alignment horizontal="center" vertical="center"/>
    </xf>
    <xf numFmtId="0" fontId="10" fillId="6" borderId="3" xfId="0" applyFont="1" applyFill="1" applyBorder="1" applyAlignment="1">
      <alignment horizontal="center" vertical="center"/>
    </xf>
    <xf numFmtId="0" fontId="11" fillId="7" borderId="3" xfId="0" applyFont="1" applyFill="1" applyBorder="1" applyAlignment="1">
      <alignment horizontal="center" vertical="center"/>
    </xf>
    <xf numFmtId="0" fontId="12" fillId="4"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B2:G46"/>
  <sheetViews>
    <sheetView showGridLines="0" tabSelected="1" workbookViewId="0"/>
  </sheetViews>
  <sheetFormatPr defaultRowHeight="15"/>
  <cols>
    <col min="1" max="1" width="3.7109375" customWidth="1"/>
    <col min="2" max="2" width="18.7109375" customWidth="1"/>
    <col min="3" max="7" width="14.7109375" customWidth="1"/>
  </cols>
  <sheetData>
    <row r="2" spans="2:7">
      <c r="B2" s="1" t="s">
        <v>0</v>
      </c>
      <c r="C2" s="1"/>
      <c r="D2" s="1"/>
      <c r="E2" s="1"/>
      <c r="F2" s="1"/>
      <c r="G2" s="1"/>
    </row>
    <row r="3" spans="2:7">
      <c r="B3" s="2" t="s">
        <v>1</v>
      </c>
      <c r="C3" s="2"/>
      <c r="D3" s="2"/>
      <c r="E3" s="2"/>
      <c r="F3" s="2"/>
      <c r="G3" s="2"/>
    </row>
    <row r="6" spans="2:7">
      <c r="B6" s="3" t="s">
        <v>2</v>
      </c>
      <c r="C6" s="3"/>
      <c r="D6" s="3"/>
      <c r="E6" s="3"/>
      <c r="F6" s="3"/>
      <c r="G6" s="3"/>
    </row>
    <row r="7" spans="2:7">
      <c r="B7" s="4" t="s">
        <v>3</v>
      </c>
      <c r="C7" s="4" t="s">
        <v>4</v>
      </c>
      <c r="D7" s="4" t="s">
        <v>5</v>
      </c>
      <c r="E7" s="4" t="s">
        <v>6</v>
      </c>
      <c r="F7" s="4" t="s">
        <v>7</v>
      </c>
      <c r="G7" s="4" t="s">
        <v>8</v>
      </c>
    </row>
    <row r="8" spans="2:7">
      <c r="B8" s="5" t="s">
        <v>9</v>
      </c>
      <c r="C8" s="6" t="s">
        <v>10</v>
      </c>
      <c r="D8" s="7">
        <v>55.8</v>
      </c>
      <c r="E8" s="8">
        <v>97.2</v>
      </c>
      <c r="F8" s="8">
        <v>98.2</v>
      </c>
      <c r="G8" s="9" t="s">
        <v>11</v>
      </c>
    </row>
    <row r="9" spans="2:7">
      <c r="B9" s="5" t="s">
        <v>12</v>
      </c>
      <c r="C9" s="6" t="s">
        <v>13</v>
      </c>
      <c r="D9" s="7">
        <v>68</v>
      </c>
      <c r="E9" s="8">
        <v>88.40000000000001</v>
      </c>
      <c r="F9" s="8">
        <v>83.8</v>
      </c>
      <c r="G9" s="9" t="s">
        <v>11</v>
      </c>
    </row>
    <row r="10" spans="2:7">
      <c r="B10" s="5" t="s">
        <v>14</v>
      </c>
      <c r="C10" s="6" t="s">
        <v>15</v>
      </c>
      <c r="D10" s="7">
        <v>159.4</v>
      </c>
      <c r="E10" s="8">
        <v>86.5</v>
      </c>
      <c r="F10" s="8">
        <v>71.7</v>
      </c>
      <c r="G10" s="9" t="s">
        <v>11</v>
      </c>
    </row>
    <row r="11" spans="2:7">
      <c r="B11" s="5" t="s">
        <v>16</v>
      </c>
      <c r="C11" s="6" t="s">
        <v>17</v>
      </c>
      <c r="D11" s="7">
        <v>98.5</v>
      </c>
      <c r="E11" s="8">
        <v>84.90000000000001</v>
      </c>
      <c r="F11" s="8">
        <v>90.90000000000001</v>
      </c>
      <c r="G11" s="10" t="s">
        <v>18</v>
      </c>
    </row>
    <row r="12" spans="2:7">
      <c r="B12" s="5" t="s">
        <v>19</v>
      </c>
      <c r="C12" s="6" t="s">
        <v>20</v>
      </c>
      <c r="D12" s="7">
        <v>281.2</v>
      </c>
      <c r="E12" s="8">
        <v>84.59999999999999</v>
      </c>
      <c r="F12" s="8">
        <v>78.09999999999999</v>
      </c>
      <c r="G12" s="10" t="s">
        <v>18</v>
      </c>
    </row>
    <row r="13" spans="2:7">
      <c r="B13" s="5" t="s">
        <v>21</v>
      </c>
      <c r="C13" s="6" t="s">
        <v>22</v>
      </c>
      <c r="D13" s="7">
        <v>135.5</v>
      </c>
      <c r="E13" s="8">
        <v>81.5</v>
      </c>
      <c r="F13" s="8">
        <v>99.7</v>
      </c>
      <c r="G13" s="10" t="s">
        <v>18</v>
      </c>
    </row>
    <row r="14" spans="2:7">
      <c r="B14" s="5" t="s">
        <v>23</v>
      </c>
      <c r="C14" s="6" t="s">
        <v>24</v>
      </c>
      <c r="D14" s="7">
        <v>246.6</v>
      </c>
      <c r="E14" s="8">
        <v>80.40000000000001</v>
      </c>
      <c r="F14" s="8">
        <v>93.7</v>
      </c>
      <c r="G14" s="10" t="s">
        <v>18</v>
      </c>
    </row>
    <row r="15" spans="2:7">
      <c r="B15" s="5" t="s">
        <v>25</v>
      </c>
      <c r="C15" s="6" t="s">
        <v>26</v>
      </c>
      <c r="D15" s="7">
        <v>59.6</v>
      </c>
      <c r="E15" s="8">
        <v>80.2</v>
      </c>
      <c r="F15" s="8">
        <v>75.90000000000001</v>
      </c>
      <c r="G15" s="10" t="s">
        <v>18</v>
      </c>
    </row>
    <row r="18" spans="2:7">
      <c r="B18" s="3" t="s">
        <v>27</v>
      </c>
      <c r="C18" s="3"/>
      <c r="D18" s="3"/>
      <c r="E18" s="3"/>
      <c r="F18" s="3"/>
      <c r="G18" s="3"/>
    </row>
    <row r="19" spans="2:7">
      <c r="B19" s="4" t="s">
        <v>3</v>
      </c>
      <c r="C19" s="4" t="s">
        <v>4</v>
      </c>
      <c r="D19" s="4" t="s">
        <v>5</v>
      </c>
      <c r="E19" s="4" t="s">
        <v>6</v>
      </c>
      <c r="F19" s="4" t="s">
        <v>7</v>
      </c>
      <c r="G19" s="4" t="s">
        <v>8</v>
      </c>
    </row>
    <row r="20" spans="2:7">
      <c r="B20" s="5" t="s">
        <v>28</v>
      </c>
      <c r="C20" s="6" t="s">
        <v>29</v>
      </c>
      <c r="D20" s="7">
        <v>701.4</v>
      </c>
      <c r="E20" s="8">
        <v>89.40000000000001</v>
      </c>
      <c r="F20" s="8">
        <v>73.40000000000001</v>
      </c>
      <c r="G20" s="9" t="s">
        <v>11</v>
      </c>
    </row>
    <row r="21" spans="2:7">
      <c r="B21" s="5" t="s">
        <v>30</v>
      </c>
      <c r="C21" s="6" t="s">
        <v>31</v>
      </c>
      <c r="D21" s="7">
        <v>1506</v>
      </c>
      <c r="E21" s="8">
        <v>87.8</v>
      </c>
      <c r="F21" s="8">
        <v>84.3</v>
      </c>
      <c r="G21" s="9" t="s">
        <v>11</v>
      </c>
    </row>
    <row r="22" spans="2:7">
      <c r="B22" s="5" t="s">
        <v>32</v>
      </c>
      <c r="C22" s="6" t="s">
        <v>33</v>
      </c>
      <c r="D22" s="7">
        <v>1849</v>
      </c>
      <c r="E22" s="8">
        <v>87.7</v>
      </c>
      <c r="F22" s="8">
        <v>80.59999999999999</v>
      </c>
      <c r="G22" s="9" t="s">
        <v>11</v>
      </c>
    </row>
    <row r="23" spans="2:7">
      <c r="B23" s="5" t="s">
        <v>34</v>
      </c>
      <c r="C23" s="6" t="s">
        <v>35</v>
      </c>
      <c r="D23" s="7">
        <v>821.2</v>
      </c>
      <c r="E23" s="8">
        <v>87.3</v>
      </c>
      <c r="F23" s="8">
        <v>100</v>
      </c>
      <c r="G23" s="9" t="s">
        <v>11</v>
      </c>
    </row>
    <row r="24" spans="2:7">
      <c r="B24" s="5" t="s">
        <v>36</v>
      </c>
      <c r="C24" s="6" t="s">
        <v>37</v>
      </c>
      <c r="D24" s="7">
        <v>581.6</v>
      </c>
      <c r="E24" s="8">
        <v>87.2</v>
      </c>
      <c r="F24" s="8">
        <v>100</v>
      </c>
      <c r="G24" s="9" t="s">
        <v>11</v>
      </c>
    </row>
    <row r="25" spans="2:7">
      <c r="B25" s="5" t="s">
        <v>38</v>
      </c>
      <c r="C25" s="6" t="s">
        <v>39</v>
      </c>
      <c r="D25" s="7">
        <v>725.3</v>
      </c>
      <c r="E25" s="8">
        <v>86</v>
      </c>
      <c r="F25" s="8">
        <v>92.5</v>
      </c>
      <c r="G25" s="9" t="s">
        <v>11</v>
      </c>
    </row>
    <row r="26" spans="2:7">
      <c r="B26" s="5" t="s">
        <v>40</v>
      </c>
      <c r="C26" s="6" t="s">
        <v>41</v>
      </c>
      <c r="D26" s="7">
        <v>440.2</v>
      </c>
      <c r="E26" s="8">
        <v>85.59999999999999</v>
      </c>
      <c r="F26" s="8">
        <v>100</v>
      </c>
      <c r="G26" s="9" t="s">
        <v>11</v>
      </c>
    </row>
    <row r="27" spans="2:7">
      <c r="B27" s="5" t="s">
        <v>42</v>
      </c>
      <c r="C27" s="6" t="s">
        <v>43</v>
      </c>
      <c r="D27" s="7">
        <v>517.7</v>
      </c>
      <c r="E27" s="8">
        <v>85.40000000000001</v>
      </c>
      <c r="F27" s="8">
        <v>96.40000000000001</v>
      </c>
      <c r="G27" s="9" t="s">
        <v>11</v>
      </c>
    </row>
    <row r="30" spans="2:7">
      <c r="B30" s="3" t="s">
        <v>44</v>
      </c>
      <c r="C30" s="3"/>
      <c r="D30" s="3"/>
      <c r="E30" s="3"/>
      <c r="F30" s="3"/>
      <c r="G30" s="3"/>
    </row>
    <row r="31" spans="2:7">
      <c r="B31" s="4" t="s">
        <v>3</v>
      </c>
      <c r="C31" s="4" t="s">
        <v>4</v>
      </c>
      <c r="D31" s="4" t="s">
        <v>5</v>
      </c>
      <c r="E31" s="4" t="s">
        <v>6</v>
      </c>
      <c r="F31" s="4" t="s">
        <v>7</v>
      </c>
      <c r="G31" s="4" t="s">
        <v>8</v>
      </c>
    </row>
    <row r="32" spans="2:7">
      <c r="B32" s="5" t="s">
        <v>45</v>
      </c>
      <c r="C32" s="6" t="s">
        <v>46</v>
      </c>
      <c r="D32" s="7">
        <v>3892.6</v>
      </c>
      <c r="E32" s="8">
        <v>84.09999999999999</v>
      </c>
      <c r="F32" s="8">
        <v>77.8</v>
      </c>
      <c r="G32" s="10" t="s">
        <v>18</v>
      </c>
    </row>
    <row r="33" spans="2:7">
      <c r="B33" s="5" t="s">
        <v>47</v>
      </c>
      <c r="C33" s="6" t="s">
        <v>48</v>
      </c>
      <c r="D33" s="7">
        <v>6312.9</v>
      </c>
      <c r="E33" s="8">
        <v>83.40000000000001</v>
      </c>
      <c r="F33" s="8">
        <v>77.59999999999999</v>
      </c>
      <c r="G33" s="10" t="s">
        <v>18</v>
      </c>
    </row>
    <row r="34" spans="2:7">
      <c r="B34" s="5" t="s">
        <v>49</v>
      </c>
      <c r="C34" s="6" t="s">
        <v>50</v>
      </c>
      <c r="D34" s="7">
        <v>3670.2</v>
      </c>
      <c r="E34" s="8">
        <v>81.7</v>
      </c>
      <c r="F34" s="8">
        <v>74.90000000000001</v>
      </c>
      <c r="G34" s="10" t="s">
        <v>18</v>
      </c>
    </row>
    <row r="35" spans="2:7">
      <c r="B35" s="5" t="s">
        <v>51</v>
      </c>
      <c r="C35" s="6" t="s">
        <v>52</v>
      </c>
      <c r="D35" s="7">
        <v>13084</v>
      </c>
      <c r="E35" s="8">
        <v>81</v>
      </c>
      <c r="F35" s="8">
        <v>60</v>
      </c>
      <c r="G35" s="10" t="s">
        <v>18</v>
      </c>
    </row>
    <row r="36" spans="2:7">
      <c r="B36" s="5" t="s">
        <v>53</v>
      </c>
      <c r="C36" s="6" t="s">
        <v>54</v>
      </c>
      <c r="D36" s="7">
        <v>2225.8</v>
      </c>
      <c r="E36" s="8">
        <v>80.7</v>
      </c>
      <c r="F36" s="8">
        <v>79.3</v>
      </c>
      <c r="G36" s="10" t="s">
        <v>18</v>
      </c>
    </row>
    <row r="37" spans="2:7">
      <c r="B37" s="5" t="s">
        <v>55</v>
      </c>
      <c r="C37" s="6" t="s">
        <v>56</v>
      </c>
      <c r="D37" s="7">
        <v>2823.9</v>
      </c>
      <c r="E37" s="8">
        <v>77.7</v>
      </c>
      <c r="F37" s="8">
        <v>68.5</v>
      </c>
      <c r="G37" s="10" t="s">
        <v>18</v>
      </c>
    </row>
    <row r="38" spans="2:7">
      <c r="B38" s="5" t="s">
        <v>57</v>
      </c>
      <c r="C38" s="6" t="s">
        <v>58</v>
      </c>
      <c r="D38" s="7">
        <v>10823.1</v>
      </c>
      <c r="E38" s="8">
        <v>77.40000000000001</v>
      </c>
      <c r="F38" s="8">
        <v>80</v>
      </c>
      <c r="G38" s="10" t="s">
        <v>18</v>
      </c>
    </row>
    <row r="39" spans="2:7">
      <c r="B39" s="5" t="s">
        <v>59</v>
      </c>
      <c r="C39" s="6" t="s">
        <v>60</v>
      </c>
      <c r="D39" s="7">
        <v>5454.1</v>
      </c>
      <c r="E39" s="8">
        <v>77.2</v>
      </c>
      <c r="F39" s="8">
        <v>75.59999999999999</v>
      </c>
      <c r="G39" s="10" t="s">
        <v>18</v>
      </c>
    </row>
    <row r="42" spans="2:7">
      <c r="B42" s="3" t="s">
        <v>61</v>
      </c>
      <c r="C42" s="3"/>
      <c r="D42" s="3"/>
      <c r="E42" s="3"/>
      <c r="F42" s="3"/>
      <c r="G42" s="3"/>
    </row>
    <row r="43" spans="2:7">
      <c r="B43" s="5" t="s">
        <v>62</v>
      </c>
      <c r="C43" s="11">
        <v>24</v>
      </c>
    </row>
    <row r="44" spans="2:7">
      <c r="B44" s="5" t="s">
        <v>63</v>
      </c>
      <c r="C44" s="12">
        <v>84.3</v>
      </c>
    </row>
    <row r="45" spans="2:7">
      <c r="B45" s="5" t="s">
        <v>64</v>
      </c>
      <c r="C45" s="6" t="s">
        <v>65</v>
      </c>
    </row>
    <row r="46" spans="2:7">
      <c r="B46" s="5" t="s">
        <v>66</v>
      </c>
      <c r="C46" s="6" t="s">
        <v>67</v>
      </c>
    </row>
  </sheetData>
  <mergeCells count="6">
    <mergeCell ref="B2:G2"/>
    <mergeCell ref="B3:G3"/>
    <mergeCell ref="B6:G6"/>
    <mergeCell ref="B18:G18"/>
    <mergeCell ref="B30:G30"/>
    <mergeCell ref="B42:G4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2"/>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customWidth="1"/>
    <col min="2" max="2" width="28.7109375" customWidth="1"/>
    <col min="3" max="3" width="22.7109375" customWidth="1"/>
    <col min="4" max="4" width="10.7109375" customWidth="1"/>
    <col min="5" max="9" width="12.7109375" customWidth="1"/>
    <col min="10" max="13" width="10.7109375" customWidth="1"/>
    <col min="14" max="18" width="8.7109375" customWidth="1"/>
  </cols>
  <sheetData>
    <row r="1" spans="1:18">
      <c r="A1" s="1" t="s">
        <v>68</v>
      </c>
      <c r="B1" s="1"/>
      <c r="C1" s="1"/>
      <c r="D1" s="1"/>
      <c r="E1" s="1"/>
      <c r="F1" s="1"/>
      <c r="G1" s="1"/>
      <c r="H1" s="1"/>
      <c r="I1" s="1"/>
      <c r="J1" s="1"/>
      <c r="K1" s="1"/>
      <c r="L1" s="1"/>
      <c r="M1" s="1"/>
      <c r="N1" s="1"/>
      <c r="O1" s="1"/>
      <c r="P1" s="1"/>
      <c r="Q1" s="1"/>
      <c r="R1" s="1"/>
    </row>
    <row r="2" spans="1:18">
      <c r="A2" s="2" t="s">
        <v>69</v>
      </c>
      <c r="B2" s="2"/>
      <c r="C2" s="2"/>
      <c r="D2" s="2"/>
      <c r="E2" s="2"/>
      <c r="F2" s="2"/>
      <c r="G2" s="2"/>
      <c r="H2" s="2"/>
      <c r="I2" s="2"/>
      <c r="J2" s="2"/>
      <c r="K2" s="2"/>
      <c r="L2" s="2"/>
      <c r="M2" s="2"/>
      <c r="N2" s="2"/>
      <c r="O2" s="2"/>
      <c r="P2" s="2"/>
      <c r="Q2" s="2"/>
      <c r="R2" s="2"/>
    </row>
    <row r="4" spans="1:18">
      <c r="A4" s="13" t="s">
        <v>3</v>
      </c>
      <c r="B4" s="13" t="s">
        <v>4</v>
      </c>
      <c r="C4" s="13" t="s">
        <v>70</v>
      </c>
      <c r="D4" s="4" t="s">
        <v>71</v>
      </c>
      <c r="E4" s="4" t="s">
        <v>5</v>
      </c>
      <c r="F4" s="4" t="s">
        <v>72</v>
      </c>
      <c r="G4" s="4" t="s">
        <v>73</v>
      </c>
      <c r="H4" s="4" t="s">
        <v>74</v>
      </c>
      <c r="I4" s="4" t="s">
        <v>75</v>
      </c>
      <c r="J4" s="4" t="s">
        <v>76</v>
      </c>
      <c r="K4" s="4" t="s">
        <v>77</v>
      </c>
      <c r="L4" s="4" t="s">
        <v>7</v>
      </c>
      <c r="M4" s="4" t="s">
        <v>78</v>
      </c>
      <c r="N4" s="4" t="s">
        <v>79</v>
      </c>
      <c r="O4" s="4" t="s">
        <v>80</v>
      </c>
      <c r="P4" s="4" t="s">
        <v>81</v>
      </c>
      <c r="Q4" s="4" t="s">
        <v>82</v>
      </c>
      <c r="R4" s="4" t="s">
        <v>83</v>
      </c>
    </row>
    <row r="5" spans="1:18">
      <c r="A5" s="5" t="s">
        <v>9</v>
      </c>
      <c r="B5" s="6" t="s">
        <v>10</v>
      </c>
      <c r="C5" s="6" t="s">
        <v>84</v>
      </c>
      <c r="D5" s="14">
        <v>26</v>
      </c>
      <c r="E5" s="7">
        <v>55.8</v>
      </c>
      <c r="F5" s="15">
        <v>49.1</v>
      </c>
      <c r="G5" s="15">
        <v>65</v>
      </c>
      <c r="H5" s="15">
        <v>34.3</v>
      </c>
      <c r="I5" s="15">
        <v>1</v>
      </c>
      <c r="J5" s="15">
        <v>22.6</v>
      </c>
      <c r="K5" s="8">
        <v>96.59999999999999</v>
      </c>
      <c r="L5" s="8">
        <v>98.2</v>
      </c>
      <c r="M5" s="8">
        <v>97.2</v>
      </c>
      <c r="N5" s="15">
        <v>6.12245</v>
      </c>
      <c r="O5" s="15">
        <v>26.82927</v>
      </c>
      <c r="P5" s="15">
        <v>45.2514</v>
      </c>
      <c r="Q5" s="15">
        <v>36.84211</v>
      </c>
      <c r="R5" s="15">
        <v>65.3944</v>
      </c>
    </row>
    <row r="6" spans="1:18">
      <c r="A6" s="5" t="s">
        <v>12</v>
      </c>
      <c r="B6" s="6" t="s">
        <v>13</v>
      </c>
      <c r="C6" s="6" t="s">
        <v>85</v>
      </c>
      <c r="D6" s="14">
        <v>3.74</v>
      </c>
      <c r="E6" s="7">
        <v>68</v>
      </c>
      <c r="F6" s="15">
        <v>43.7</v>
      </c>
      <c r="G6" s="15">
        <v>7.5</v>
      </c>
      <c r="H6" s="15">
        <v>68.3</v>
      </c>
      <c r="I6" s="15">
        <v>-0.1</v>
      </c>
      <c r="J6" s="15">
        <v>20.5</v>
      </c>
      <c r="K6" s="8">
        <v>91.5</v>
      </c>
      <c r="L6" s="8">
        <v>83.8</v>
      </c>
      <c r="M6" s="8">
        <v>88.40000000000001</v>
      </c>
      <c r="N6" s="15">
        <v>-27.65957</v>
      </c>
      <c r="O6" s="15">
        <v>-26.52259</v>
      </c>
      <c r="P6" s="15">
        <v>139.74359</v>
      </c>
      <c r="Q6" s="15">
        <v>-29.43396</v>
      </c>
      <c r="R6" s="15">
        <v>50.2008</v>
      </c>
    </row>
    <row r="7" spans="1:18">
      <c r="A7" s="5" t="s">
        <v>14</v>
      </c>
      <c r="B7" s="6" t="s">
        <v>15</v>
      </c>
      <c r="C7" s="6" t="s">
        <v>86</v>
      </c>
      <c r="D7" s="14">
        <v>14.14</v>
      </c>
      <c r="E7" s="7">
        <v>159.4</v>
      </c>
      <c r="F7" s="15">
        <v>43.8</v>
      </c>
      <c r="G7" s="15">
        <v>30.5</v>
      </c>
      <c r="H7" s="15">
        <v>67.59999999999999</v>
      </c>
      <c r="I7" s="15">
        <v>2.6</v>
      </c>
      <c r="J7" s="15">
        <v>47.8</v>
      </c>
      <c r="K7" s="8">
        <v>96.3</v>
      </c>
      <c r="L7" s="8">
        <v>71.7</v>
      </c>
      <c r="M7" s="8">
        <v>86.5</v>
      </c>
      <c r="N7" s="15">
        <v>24.47183</v>
      </c>
      <c r="O7" s="15">
        <v>60.86462</v>
      </c>
      <c r="P7" s="15">
        <v>76.75</v>
      </c>
      <c r="Q7" s="15">
        <v>48.68559</v>
      </c>
      <c r="R7" s="15">
        <v>103.7464</v>
      </c>
    </row>
    <row r="8" spans="1:18">
      <c r="A8" s="5" t="s">
        <v>16</v>
      </c>
      <c r="B8" s="6" t="s">
        <v>17</v>
      </c>
      <c r="C8" s="6" t="s">
        <v>87</v>
      </c>
      <c r="D8" s="14">
        <v>3.3</v>
      </c>
      <c r="E8" s="7">
        <v>98.5</v>
      </c>
      <c r="F8" s="15">
        <v>27.6</v>
      </c>
      <c r="G8" s="15">
        <v>32.1</v>
      </c>
      <c r="H8" s="15">
        <v>30.4</v>
      </c>
      <c r="I8" s="15">
        <v>6.1</v>
      </c>
      <c r="J8" s="15">
        <v>39.1</v>
      </c>
      <c r="K8" s="8">
        <v>80.90000000000001</v>
      </c>
      <c r="L8" s="8">
        <v>90.90000000000001</v>
      </c>
      <c r="M8" s="8">
        <v>84.90000000000001</v>
      </c>
      <c r="N8" s="15">
        <v>-8.33333</v>
      </c>
      <c r="O8" s="15">
        <v>-54.79452</v>
      </c>
      <c r="P8" s="15">
        <v>-52.92439</v>
      </c>
      <c r="Q8" s="15">
        <v>-38.20225</v>
      </c>
      <c r="R8" s="15">
        <v>40.42553</v>
      </c>
    </row>
    <row r="9" spans="1:18">
      <c r="A9" s="5" t="s">
        <v>19</v>
      </c>
      <c r="B9" s="6" t="s">
        <v>20</v>
      </c>
      <c r="C9" s="6" t="s">
        <v>88</v>
      </c>
      <c r="D9" s="14">
        <v>89.18000000000001</v>
      </c>
      <c r="E9" s="7">
        <v>281.2</v>
      </c>
      <c r="F9" s="15">
        <v>198.6</v>
      </c>
      <c r="G9" s="15">
        <v>266.9</v>
      </c>
      <c r="H9" s="15">
        <v>47</v>
      </c>
      <c r="I9" s="15">
        <v>-10.8</v>
      </c>
      <c r="J9" s="15">
        <v>2.6</v>
      </c>
      <c r="K9" s="8">
        <v>88.90000000000001</v>
      </c>
      <c r="L9" s="8">
        <v>78.09999999999999</v>
      </c>
      <c r="M9" s="8">
        <v>84.59999999999999</v>
      </c>
      <c r="N9" s="15">
        <v>14.07009</v>
      </c>
      <c r="O9" s="15">
        <v>84.98237</v>
      </c>
      <c r="P9" s="15">
        <v>80.89249</v>
      </c>
      <c r="Q9" s="15">
        <v>38.80156</v>
      </c>
      <c r="R9" s="15">
        <v>183.02126</v>
      </c>
    </row>
    <row r="10" spans="1:18">
      <c r="A10" s="5" t="s">
        <v>21</v>
      </c>
      <c r="B10" s="6" t="s">
        <v>22</v>
      </c>
      <c r="C10" s="6" t="s">
        <v>87</v>
      </c>
      <c r="D10" s="14">
        <v>12.65</v>
      </c>
      <c r="E10" s="7">
        <v>135.5</v>
      </c>
      <c r="F10" s="15">
        <v>22.9</v>
      </c>
      <c r="G10" s="15">
        <v>-14.2</v>
      </c>
      <c r="H10" s="15">
        <v>36.8</v>
      </c>
      <c r="I10" s="15">
        <v>4.6</v>
      </c>
      <c r="J10" s="15">
        <v>20.1</v>
      </c>
      <c r="K10" s="8">
        <v>69.3</v>
      </c>
      <c r="L10" s="8">
        <v>99.7</v>
      </c>
      <c r="M10" s="8">
        <v>81.5</v>
      </c>
      <c r="N10" s="15">
        <v>23.41463</v>
      </c>
      <c r="O10" s="15">
        <v>105.69106</v>
      </c>
      <c r="P10" s="15">
        <v>77.66853999999999</v>
      </c>
      <c r="Q10" s="15">
        <v>122.71127</v>
      </c>
      <c r="R10" s="15">
        <v>213.11881</v>
      </c>
    </row>
    <row r="11" spans="1:18">
      <c r="A11" s="5" t="s">
        <v>23</v>
      </c>
      <c r="B11" s="6" t="s">
        <v>24</v>
      </c>
      <c r="C11" s="6" t="s">
        <v>84</v>
      </c>
      <c r="D11" s="14">
        <v>10.79</v>
      </c>
      <c r="E11" s="7">
        <v>246.6</v>
      </c>
      <c r="F11" s="15">
        <v>11.8</v>
      </c>
      <c r="G11" s="15">
        <v>20</v>
      </c>
      <c r="H11" s="15">
        <v>50.8</v>
      </c>
      <c r="I11" s="15">
        <v>12</v>
      </c>
      <c r="J11" s="15">
        <v>19.8</v>
      </c>
      <c r="K11" s="8">
        <v>71.5</v>
      </c>
      <c r="L11" s="8">
        <v>93.7</v>
      </c>
      <c r="M11" s="8">
        <v>80.40000000000001</v>
      </c>
      <c r="N11" s="15">
        <v>2.66413</v>
      </c>
      <c r="O11" s="15">
        <v>25.46512</v>
      </c>
      <c r="P11" s="15">
        <v>68.59375</v>
      </c>
      <c r="Q11" s="15">
        <v>7.25646</v>
      </c>
      <c r="R11" s="15">
        <v>96.18182</v>
      </c>
    </row>
    <row r="12" spans="1:18">
      <c r="A12" s="5" t="s">
        <v>25</v>
      </c>
      <c r="B12" s="6" t="s">
        <v>26</v>
      </c>
      <c r="C12" s="6" t="s">
        <v>85</v>
      </c>
      <c r="D12" s="14">
        <v>1.08</v>
      </c>
      <c r="E12" s="7">
        <v>59.6</v>
      </c>
      <c r="F12" s="15">
        <v>21.6</v>
      </c>
      <c r="G12" s="15">
        <v>36.1</v>
      </c>
      <c r="H12" s="15">
        <v>57.9</v>
      </c>
      <c r="I12" s="15">
        <v>-20.8</v>
      </c>
      <c r="J12" s="15">
        <v>50.1</v>
      </c>
      <c r="K12" s="8">
        <v>83</v>
      </c>
      <c r="L12" s="8">
        <v>75.90000000000001</v>
      </c>
      <c r="M12" s="8">
        <v>80.2</v>
      </c>
      <c r="N12" s="15">
        <v>12.5</v>
      </c>
      <c r="O12" s="15">
        <v>-15.625</v>
      </c>
      <c r="P12" s="15">
        <v>-31.21019</v>
      </c>
      <c r="Q12" s="15">
        <v>-7.69231</v>
      </c>
      <c r="R12" s="15">
        <v>-41.62162</v>
      </c>
    </row>
  </sheetData>
  <mergeCells count="2">
    <mergeCell ref="A1:R1"/>
    <mergeCell ref="A2:R2"/>
  </mergeCells>
  <conditionalFormatting sqref="K5:K12">
    <cfRule type="colorScale" priority="1">
      <colorScale>
        <cfvo type="min" val="0"/>
        <cfvo type="percentile" val="50"/>
        <cfvo type="max" val="0"/>
        <color rgb="FFF4CCCC"/>
        <color rgb="FFFFF2CC"/>
        <color rgb="FFC6EFCE"/>
      </colorScale>
    </cfRule>
  </conditionalFormatting>
  <conditionalFormatting sqref="L5:L12">
    <cfRule type="colorScale" priority="2">
      <colorScale>
        <cfvo type="min" val="0"/>
        <cfvo type="percentile" val="50"/>
        <cfvo type="max" val="0"/>
        <color rgb="FFF4CCCC"/>
        <color rgb="FFFFF2CC"/>
        <color rgb="FFC6EFCE"/>
      </colorScale>
    </cfRule>
  </conditionalFormatting>
  <conditionalFormatting sqref="M5:M12">
    <cfRule type="colorScale" priority="3">
      <colorScale>
        <cfvo type="min" val="0"/>
        <cfvo type="percentile" val="50"/>
        <cfvo type="max" val="0"/>
        <color rgb="FFF4CCCC"/>
        <color rgb="FFFFF2CC"/>
        <color rgb="FFC6EFCE"/>
      </colorScale>
    </cfRule>
  </conditionalFormatting>
  <conditionalFormatting sqref="N5:N12">
    <cfRule type="colorScale" priority="4">
      <colorScale>
        <cfvo type="min" val="0"/>
        <cfvo type="percentile" val="50"/>
        <cfvo type="max" val="0"/>
        <color rgb="FFF4CCCC"/>
        <color rgb="FFFFFFFF"/>
        <color rgb="FFC6EFCE"/>
      </colorScale>
    </cfRule>
  </conditionalFormatting>
  <conditionalFormatting sqref="O5:O12">
    <cfRule type="colorScale" priority="5">
      <colorScale>
        <cfvo type="min" val="0"/>
        <cfvo type="percentile" val="50"/>
        <cfvo type="max" val="0"/>
        <color rgb="FFF4CCCC"/>
        <color rgb="FFFFFFFF"/>
        <color rgb="FFC6EFCE"/>
      </colorScale>
    </cfRule>
  </conditionalFormatting>
  <conditionalFormatting sqref="P5:P12">
    <cfRule type="colorScale" priority="6">
      <colorScale>
        <cfvo type="min" val="0"/>
        <cfvo type="percentile" val="50"/>
        <cfvo type="max" val="0"/>
        <color rgb="FFF4CCCC"/>
        <color rgb="FFFFFFFF"/>
        <color rgb="FFC6EFCE"/>
      </colorScale>
    </cfRule>
  </conditionalFormatting>
  <conditionalFormatting sqref="Q5:Q12">
    <cfRule type="colorScale" priority="7">
      <colorScale>
        <cfvo type="min" val="0"/>
        <cfvo type="percentile" val="50"/>
        <cfvo type="max" val="0"/>
        <color rgb="FFF4CCCC"/>
        <color rgb="FFFFFFFF"/>
        <color rgb="FFC6EFCE"/>
      </colorScale>
    </cfRule>
  </conditionalFormatting>
  <conditionalFormatting sqref="R5:R12">
    <cfRule type="colorScale" priority="8">
      <colorScale>
        <cfvo type="min" val="0"/>
        <cfvo type="percentile" val="50"/>
        <cfvo type="max" val="0"/>
        <color rgb="FFF4CCCC"/>
        <color rgb="FFFFFFFF"/>
        <color rgb="FFC6EFCE"/>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2"/>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customWidth="1"/>
    <col min="2" max="2" width="28.7109375" customWidth="1"/>
    <col min="3" max="3" width="22.7109375" customWidth="1"/>
    <col min="4" max="4" width="10.7109375" customWidth="1"/>
    <col min="5" max="9" width="12.7109375" customWidth="1"/>
    <col min="10" max="13" width="10.7109375" customWidth="1"/>
    <col min="14" max="18" width="8.7109375" customWidth="1"/>
  </cols>
  <sheetData>
    <row r="1" spans="1:18">
      <c r="A1" s="1" t="s">
        <v>89</v>
      </c>
      <c r="B1" s="1"/>
      <c r="C1" s="1"/>
      <c r="D1" s="1"/>
      <c r="E1" s="1"/>
      <c r="F1" s="1"/>
      <c r="G1" s="1"/>
      <c r="H1" s="1"/>
      <c r="I1" s="1"/>
      <c r="J1" s="1"/>
      <c r="K1" s="1"/>
      <c r="L1" s="1"/>
      <c r="M1" s="1"/>
      <c r="N1" s="1"/>
      <c r="O1" s="1"/>
      <c r="P1" s="1"/>
      <c r="Q1" s="1"/>
      <c r="R1" s="1"/>
    </row>
    <row r="2" spans="1:18">
      <c r="A2" s="2" t="s">
        <v>69</v>
      </c>
      <c r="B2" s="2"/>
      <c r="C2" s="2"/>
      <c r="D2" s="2"/>
      <c r="E2" s="2"/>
      <c r="F2" s="2"/>
      <c r="G2" s="2"/>
      <c r="H2" s="2"/>
      <c r="I2" s="2"/>
      <c r="J2" s="2"/>
      <c r="K2" s="2"/>
      <c r="L2" s="2"/>
      <c r="M2" s="2"/>
      <c r="N2" s="2"/>
      <c r="O2" s="2"/>
      <c r="P2" s="2"/>
      <c r="Q2" s="2"/>
      <c r="R2" s="2"/>
    </row>
    <row r="4" spans="1:18">
      <c r="A4" s="13" t="s">
        <v>3</v>
      </c>
      <c r="B4" s="13" t="s">
        <v>4</v>
      </c>
      <c r="C4" s="13" t="s">
        <v>70</v>
      </c>
      <c r="D4" s="4" t="s">
        <v>71</v>
      </c>
      <c r="E4" s="4" t="s">
        <v>5</v>
      </c>
      <c r="F4" s="4" t="s">
        <v>72</v>
      </c>
      <c r="G4" s="4" t="s">
        <v>73</v>
      </c>
      <c r="H4" s="4" t="s">
        <v>74</v>
      </c>
      <c r="I4" s="4" t="s">
        <v>75</v>
      </c>
      <c r="J4" s="4" t="s">
        <v>76</v>
      </c>
      <c r="K4" s="4" t="s">
        <v>77</v>
      </c>
      <c r="L4" s="4" t="s">
        <v>7</v>
      </c>
      <c r="M4" s="4" t="s">
        <v>78</v>
      </c>
      <c r="N4" s="4" t="s">
        <v>79</v>
      </c>
      <c r="O4" s="4" t="s">
        <v>80</v>
      </c>
      <c r="P4" s="4" t="s">
        <v>81</v>
      </c>
      <c r="Q4" s="4" t="s">
        <v>82</v>
      </c>
      <c r="R4" s="4" t="s">
        <v>83</v>
      </c>
    </row>
    <row r="5" spans="1:18">
      <c r="A5" s="5" t="s">
        <v>28</v>
      </c>
      <c r="B5" s="6" t="s">
        <v>29</v>
      </c>
      <c r="C5" s="6" t="s">
        <v>90</v>
      </c>
      <c r="D5" s="14">
        <v>5.24</v>
      </c>
      <c r="E5" s="7">
        <v>701.4</v>
      </c>
      <c r="F5" s="15">
        <v>67.3</v>
      </c>
      <c r="G5" s="15">
        <v>35.2</v>
      </c>
      <c r="H5" s="15">
        <v>70.5</v>
      </c>
      <c r="I5" s="15">
        <v>4.4</v>
      </c>
      <c r="J5" s="15">
        <v>42.8</v>
      </c>
      <c r="K5" s="8">
        <v>100</v>
      </c>
      <c r="L5" s="8">
        <v>73.40000000000001</v>
      </c>
      <c r="M5" s="8">
        <v>89.40000000000001</v>
      </c>
      <c r="N5" s="15">
        <v>26.57005</v>
      </c>
      <c r="O5" s="15">
        <v>-25.4623</v>
      </c>
      <c r="P5" s="15">
        <v>-51.16496</v>
      </c>
      <c r="Q5" s="15">
        <v>10.08403</v>
      </c>
      <c r="R5" s="15">
        <v>-24.60432</v>
      </c>
    </row>
    <row r="6" spans="1:18">
      <c r="A6" s="5" t="s">
        <v>30</v>
      </c>
      <c r="B6" s="6" t="s">
        <v>31</v>
      </c>
      <c r="C6" s="6" t="s">
        <v>84</v>
      </c>
      <c r="D6" s="14">
        <v>17.42</v>
      </c>
      <c r="E6" s="7">
        <v>1506</v>
      </c>
      <c r="F6" s="15">
        <v>48</v>
      </c>
      <c r="G6" s="15">
        <v>51.3</v>
      </c>
      <c r="H6" s="15">
        <v>57.6</v>
      </c>
      <c r="I6" s="15">
        <v>9.800000000000001</v>
      </c>
      <c r="J6" s="15">
        <v>6.8</v>
      </c>
      <c r="K6" s="8">
        <v>90.2</v>
      </c>
      <c r="L6" s="8">
        <v>84.3</v>
      </c>
      <c r="M6" s="8">
        <v>87.8</v>
      </c>
      <c r="N6" s="15">
        <v>1.10273</v>
      </c>
      <c r="O6" s="15">
        <v>-4.86073</v>
      </c>
      <c r="P6" s="15">
        <v>12.02572</v>
      </c>
      <c r="Q6" s="15">
        <v>-5.88871</v>
      </c>
      <c r="R6" s="15">
        <v>31.37255</v>
      </c>
    </row>
    <row r="7" spans="1:18">
      <c r="A7" s="5" t="s">
        <v>32</v>
      </c>
      <c r="B7" s="6" t="s">
        <v>33</v>
      </c>
      <c r="C7" s="6" t="s">
        <v>86</v>
      </c>
      <c r="D7" s="14">
        <v>45.45</v>
      </c>
      <c r="E7" s="7">
        <v>1849</v>
      </c>
      <c r="F7" s="15">
        <v>42.5</v>
      </c>
      <c r="G7" s="15">
        <v>54.7</v>
      </c>
      <c r="H7" s="15">
        <v>41.9</v>
      </c>
      <c r="I7" s="15">
        <v>8.9</v>
      </c>
      <c r="J7" s="15">
        <v>34.9</v>
      </c>
      <c r="K7" s="8">
        <v>92.40000000000001</v>
      </c>
      <c r="L7" s="8">
        <v>80.59999999999999</v>
      </c>
      <c r="M7" s="8">
        <v>87.7</v>
      </c>
      <c r="N7" s="15">
        <v>9.96855</v>
      </c>
      <c r="O7" s="15">
        <v>3.76712</v>
      </c>
      <c r="P7" s="15">
        <v>42.47649</v>
      </c>
      <c r="Q7" s="15">
        <v>10.53016</v>
      </c>
      <c r="R7" s="15">
        <v>40.625</v>
      </c>
    </row>
    <row r="8" spans="1:18">
      <c r="A8" s="5" t="s">
        <v>34</v>
      </c>
      <c r="B8" s="6" t="s">
        <v>35</v>
      </c>
      <c r="C8" s="6" t="s">
        <v>91</v>
      </c>
      <c r="D8" s="14">
        <v>10.25</v>
      </c>
      <c r="E8" s="7">
        <v>821.2</v>
      </c>
      <c r="F8" s="15">
        <v>20.1</v>
      </c>
      <c r="G8" s="15">
        <v>12.7</v>
      </c>
      <c r="H8" s="15">
        <v>39</v>
      </c>
      <c r="I8" s="15">
        <v>1.9</v>
      </c>
      <c r="J8" s="15">
        <v>11</v>
      </c>
      <c r="K8" s="8">
        <v>78.8</v>
      </c>
      <c r="L8" s="8">
        <v>100</v>
      </c>
      <c r="M8" s="8">
        <v>87.3</v>
      </c>
      <c r="N8" s="15">
        <v>8.23654</v>
      </c>
      <c r="O8" s="15">
        <v>20.02342</v>
      </c>
      <c r="P8" s="15">
        <v>5.99793</v>
      </c>
      <c r="Q8" s="15">
        <v>18.08756</v>
      </c>
      <c r="R8" s="15">
        <v>-3.57479</v>
      </c>
    </row>
    <row r="9" spans="1:18">
      <c r="A9" s="5" t="s">
        <v>36</v>
      </c>
      <c r="B9" s="6" t="s">
        <v>37</v>
      </c>
      <c r="C9" s="6" t="s">
        <v>86</v>
      </c>
      <c r="D9" s="14">
        <v>29.19</v>
      </c>
      <c r="E9" s="7">
        <v>581.6</v>
      </c>
      <c r="F9" s="15">
        <v>20.3</v>
      </c>
      <c r="G9" s="15">
        <v>32.1</v>
      </c>
      <c r="H9" s="15">
        <v>34.1</v>
      </c>
      <c r="I9" s="15">
        <v>-2.7</v>
      </c>
      <c r="J9" s="15">
        <v>9.6</v>
      </c>
      <c r="K9" s="8">
        <v>78.59999999999999</v>
      </c>
      <c r="L9" s="8">
        <v>100</v>
      </c>
      <c r="M9" s="8">
        <v>87.2</v>
      </c>
      <c r="N9" s="15">
        <v>21.98078</v>
      </c>
      <c r="O9" s="15">
        <v>48.54962</v>
      </c>
      <c r="P9" s="15">
        <v>50.07712</v>
      </c>
      <c r="Q9" s="15">
        <v>37.30009</v>
      </c>
      <c r="R9" s="15">
        <v>119.63883</v>
      </c>
    </row>
    <row r="10" spans="1:18">
      <c r="A10" s="5" t="s">
        <v>38</v>
      </c>
      <c r="B10" s="6" t="s">
        <v>39</v>
      </c>
      <c r="C10" s="6" t="s">
        <v>87</v>
      </c>
      <c r="D10" s="14">
        <v>2.21</v>
      </c>
      <c r="E10" s="7">
        <v>725.3</v>
      </c>
      <c r="F10" s="15">
        <v>21.6</v>
      </c>
      <c r="G10" s="15">
        <v>24.6</v>
      </c>
      <c r="H10" s="15">
        <v>37.6</v>
      </c>
      <c r="I10" s="15">
        <v>5.2</v>
      </c>
      <c r="J10" s="15">
        <v>39.2</v>
      </c>
      <c r="K10" s="8">
        <v>81.59999999999999</v>
      </c>
      <c r="L10" s="8">
        <v>92.5</v>
      </c>
      <c r="M10" s="8">
        <v>86</v>
      </c>
      <c r="N10" s="15">
        <v>-11.24498</v>
      </c>
      <c r="O10" s="15">
        <v>-40.5914</v>
      </c>
      <c r="P10" s="15">
        <v>-12.64822</v>
      </c>
      <c r="Q10" s="15">
        <v>-21.63121</v>
      </c>
      <c r="R10" s="15">
        <v>46.35762</v>
      </c>
    </row>
    <row r="11" spans="1:18">
      <c r="A11" s="5" t="s">
        <v>40</v>
      </c>
      <c r="B11" s="6" t="s">
        <v>41</v>
      </c>
      <c r="C11" s="6" t="s">
        <v>91</v>
      </c>
      <c r="D11" s="14">
        <v>31.79</v>
      </c>
      <c r="E11" s="7">
        <v>440.2</v>
      </c>
      <c r="F11" s="15">
        <v>15.6</v>
      </c>
      <c r="G11" s="15">
        <v>35.1</v>
      </c>
      <c r="H11" s="15">
        <v>33.2</v>
      </c>
      <c r="I11" s="15">
        <v>-9</v>
      </c>
      <c r="J11" s="15">
        <v>18.6</v>
      </c>
      <c r="K11" s="8">
        <v>76</v>
      </c>
      <c r="L11" s="8">
        <v>100</v>
      </c>
      <c r="M11" s="8">
        <v>85.59999999999999</v>
      </c>
      <c r="N11" s="15">
        <v>4.33213</v>
      </c>
      <c r="O11" s="15">
        <v>10.11431</v>
      </c>
      <c r="P11" s="15">
        <v>-3.81241</v>
      </c>
      <c r="Q11" s="15">
        <v>7.79925</v>
      </c>
      <c r="R11" s="15">
        <v>1.89103</v>
      </c>
    </row>
    <row r="12" spans="1:18">
      <c r="A12" s="5" t="s">
        <v>42</v>
      </c>
      <c r="B12" s="6" t="s">
        <v>43</v>
      </c>
      <c r="C12" s="6" t="s">
        <v>86</v>
      </c>
      <c r="D12" s="14">
        <v>29.12</v>
      </c>
      <c r="E12" s="7">
        <v>517.7</v>
      </c>
      <c r="F12" s="15">
        <v>36.6</v>
      </c>
      <c r="G12" s="15">
        <v>-12.1</v>
      </c>
      <c r="H12" s="15">
        <v>54.5</v>
      </c>
      <c r="I12" s="15">
        <v>2</v>
      </c>
      <c r="J12" s="15">
        <v>8.800000000000001</v>
      </c>
      <c r="K12" s="8">
        <v>78.09999999999999</v>
      </c>
      <c r="L12" s="8">
        <v>96.40000000000001</v>
      </c>
      <c r="M12" s="8">
        <v>85.40000000000001</v>
      </c>
      <c r="N12" s="15">
        <v>56.13941</v>
      </c>
      <c r="O12" s="15">
        <v>191.78357</v>
      </c>
      <c r="P12" s="15">
        <v>140.46243</v>
      </c>
      <c r="Q12" s="15">
        <v>55.30667</v>
      </c>
      <c r="R12" s="15">
        <v>336.58171</v>
      </c>
    </row>
  </sheetData>
  <mergeCells count="2">
    <mergeCell ref="A1:R1"/>
    <mergeCell ref="A2:R2"/>
  </mergeCells>
  <conditionalFormatting sqref="K5:K12">
    <cfRule type="colorScale" priority="1">
      <colorScale>
        <cfvo type="min" val="0"/>
        <cfvo type="percentile" val="50"/>
        <cfvo type="max" val="0"/>
        <color rgb="FFF4CCCC"/>
        <color rgb="FFFFF2CC"/>
        <color rgb="FFC6EFCE"/>
      </colorScale>
    </cfRule>
  </conditionalFormatting>
  <conditionalFormatting sqref="L5:L12">
    <cfRule type="colorScale" priority="2">
      <colorScale>
        <cfvo type="min" val="0"/>
        <cfvo type="percentile" val="50"/>
        <cfvo type="max" val="0"/>
        <color rgb="FFF4CCCC"/>
        <color rgb="FFFFF2CC"/>
        <color rgb="FFC6EFCE"/>
      </colorScale>
    </cfRule>
  </conditionalFormatting>
  <conditionalFormatting sqref="M5:M12">
    <cfRule type="colorScale" priority="3">
      <colorScale>
        <cfvo type="min" val="0"/>
        <cfvo type="percentile" val="50"/>
        <cfvo type="max" val="0"/>
        <color rgb="FFF4CCCC"/>
        <color rgb="FFFFF2CC"/>
        <color rgb="FFC6EFCE"/>
      </colorScale>
    </cfRule>
  </conditionalFormatting>
  <conditionalFormatting sqref="N5:N12">
    <cfRule type="colorScale" priority="4">
      <colorScale>
        <cfvo type="min" val="0"/>
        <cfvo type="percentile" val="50"/>
        <cfvo type="max" val="0"/>
        <color rgb="FFF4CCCC"/>
        <color rgb="FFFFFFFF"/>
        <color rgb="FFC6EFCE"/>
      </colorScale>
    </cfRule>
  </conditionalFormatting>
  <conditionalFormatting sqref="O5:O12">
    <cfRule type="colorScale" priority="5">
      <colorScale>
        <cfvo type="min" val="0"/>
        <cfvo type="percentile" val="50"/>
        <cfvo type="max" val="0"/>
        <color rgb="FFF4CCCC"/>
        <color rgb="FFFFFFFF"/>
        <color rgb="FFC6EFCE"/>
      </colorScale>
    </cfRule>
  </conditionalFormatting>
  <conditionalFormatting sqref="P5:P12">
    <cfRule type="colorScale" priority="6">
      <colorScale>
        <cfvo type="min" val="0"/>
        <cfvo type="percentile" val="50"/>
        <cfvo type="max" val="0"/>
        <color rgb="FFF4CCCC"/>
        <color rgb="FFFFFFFF"/>
        <color rgb="FFC6EFCE"/>
      </colorScale>
    </cfRule>
  </conditionalFormatting>
  <conditionalFormatting sqref="Q5:Q12">
    <cfRule type="colorScale" priority="7">
      <colorScale>
        <cfvo type="min" val="0"/>
        <cfvo type="percentile" val="50"/>
        <cfvo type="max" val="0"/>
        <color rgb="FFF4CCCC"/>
        <color rgb="FFFFFFFF"/>
        <color rgb="FFC6EFCE"/>
      </colorScale>
    </cfRule>
  </conditionalFormatting>
  <conditionalFormatting sqref="R5:R12">
    <cfRule type="colorScale" priority="8">
      <colorScale>
        <cfvo type="min" val="0"/>
        <cfvo type="percentile" val="50"/>
        <cfvo type="max" val="0"/>
        <color rgb="FFF4CCCC"/>
        <color rgb="FFFFFFFF"/>
        <color rgb="FFC6EFCE"/>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2"/>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customWidth="1"/>
    <col min="2" max="2" width="28.7109375" customWidth="1"/>
    <col min="3" max="3" width="22.7109375" customWidth="1"/>
    <col min="4" max="4" width="10.7109375" customWidth="1"/>
    <col min="5" max="9" width="12.7109375" customWidth="1"/>
    <col min="10" max="13" width="10.7109375" customWidth="1"/>
    <col min="14" max="18" width="8.7109375" customWidth="1"/>
  </cols>
  <sheetData>
    <row r="1" spans="1:18">
      <c r="A1" s="1" t="s">
        <v>92</v>
      </c>
      <c r="B1" s="1"/>
      <c r="C1" s="1"/>
      <c r="D1" s="1"/>
      <c r="E1" s="1"/>
      <c r="F1" s="1"/>
      <c r="G1" s="1"/>
      <c r="H1" s="1"/>
      <c r="I1" s="1"/>
      <c r="J1" s="1"/>
      <c r="K1" s="1"/>
      <c r="L1" s="1"/>
      <c r="M1" s="1"/>
      <c r="N1" s="1"/>
      <c r="O1" s="1"/>
      <c r="P1" s="1"/>
      <c r="Q1" s="1"/>
      <c r="R1" s="1"/>
    </row>
    <row r="2" spans="1:18">
      <c r="A2" s="2" t="s">
        <v>69</v>
      </c>
      <c r="B2" s="2"/>
      <c r="C2" s="2"/>
      <c r="D2" s="2"/>
      <c r="E2" s="2"/>
      <c r="F2" s="2"/>
      <c r="G2" s="2"/>
      <c r="H2" s="2"/>
      <c r="I2" s="2"/>
      <c r="J2" s="2"/>
      <c r="K2" s="2"/>
      <c r="L2" s="2"/>
      <c r="M2" s="2"/>
      <c r="N2" s="2"/>
      <c r="O2" s="2"/>
      <c r="P2" s="2"/>
      <c r="Q2" s="2"/>
      <c r="R2" s="2"/>
    </row>
    <row r="4" spans="1:18">
      <c r="A4" s="13" t="s">
        <v>3</v>
      </c>
      <c r="B4" s="13" t="s">
        <v>4</v>
      </c>
      <c r="C4" s="13" t="s">
        <v>70</v>
      </c>
      <c r="D4" s="4" t="s">
        <v>71</v>
      </c>
      <c r="E4" s="4" t="s">
        <v>5</v>
      </c>
      <c r="F4" s="4" t="s">
        <v>72</v>
      </c>
      <c r="G4" s="4" t="s">
        <v>73</v>
      </c>
      <c r="H4" s="4" t="s">
        <v>74</v>
      </c>
      <c r="I4" s="4" t="s">
        <v>75</v>
      </c>
      <c r="J4" s="4" t="s">
        <v>76</v>
      </c>
      <c r="K4" s="4" t="s">
        <v>77</v>
      </c>
      <c r="L4" s="4" t="s">
        <v>7</v>
      </c>
      <c r="M4" s="4" t="s">
        <v>78</v>
      </c>
      <c r="N4" s="4" t="s">
        <v>79</v>
      </c>
      <c r="O4" s="4" t="s">
        <v>80</v>
      </c>
      <c r="P4" s="4" t="s">
        <v>81</v>
      </c>
      <c r="Q4" s="4" t="s">
        <v>82</v>
      </c>
      <c r="R4" s="4" t="s">
        <v>83</v>
      </c>
    </row>
    <row r="5" spans="1:18">
      <c r="A5" s="5" t="s">
        <v>45</v>
      </c>
      <c r="B5" s="6" t="s">
        <v>46</v>
      </c>
      <c r="C5" s="6" t="s">
        <v>91</v>
      </c>
      <c r="D5" s="14">
        <v>17.57</v>
      </c>
      <c r="E5" s="7">
        <v>3892.6</v>
      </c>
      <c r="F5" s="15">
        <v>50.6</v>
      </c>
      <c r="G5" s="15">
        <v>33.4</v>
      </c>
      <c r="H5" s="15">
        <v>37.8</v>
      </c>
      <c r="I5" s="15">
        <v>6.3</v>
      </c>
      <c r="J5" s="15">
        <v>3.6</v>
      </c>
      <c r="K5" s="8">
        <v>88.3</v>
      </c>
      <c r="L5" s="8">
        <v>77.8</v>
      </c>
      <c r="M5" s="8">
        <v>84.09999999999999</v>
      </c>
      <c r="N5" s="15">
        <v>-3.2489</v>
      </c>
      <c r="O5" s="15">
        <v>-6.69145</v>
      </c>
      <c r="P5" s="15">
        <v>8.05658</v>
      </c>
      <c r="Q5" s="15">
        <v>-3.77875</v>
      </c>
      <c r="R5" s="15">
        <v>185.69106</v>
      </c>
    </row>
    <row r="6" spans="1:18">
      <c r="A6" s="5" t="s">
        <v>47</v>
      </c>
      <c r="B6" s="6" t="s">
        <v>48</v>
      </c>
      <c r="C6" s="6" t="s">
        <v>84</v>
      </c>
      <c r="D6" s="14">
        <v>34.07</v>
      </c>
      <c r="E6" s="7">
        <v>6312.9</v>
      </c>
      <c r="F6" s="15">
        <v>28.9</v>
      </c>
      <c r="G6" s="15">
        <v>55</v>
      </c>
      <c r="H6" s="15">
        <v>46.7</v>
      </c>
      <c r="I6" s="15">
        <v>-3.3</v>
      </c>
      <c r="J6" s="15">
        <v>33</v>
      </c>
      <c r="K6" s="8">
        <v>87.3</v>
      </c>
      <c r="L6" s="8">
        <v>77.59999999999999</v>
      </c>
      <c r="M6" s="8">
        <v>83.40000000000001</v>
      </c>
      <c r="N6" s="15">
        <v>-10.81152</v>
      </c>
      <c r="O6" s="15">
        <v>18.21652</v>
      </c>
      <c r="P6" s="15">
        <v>13.18937</v>
      </c>
      <c r="Q6" s="15">
        <v>26.60721</v>
      </c>
      <c r="R6" s="15">
        <v>36.0623</v>
      </c>
    </row>
    <row r="7" spans="1:18">
      <c r="A7" s="5" t="s">
        <v>49</v>
      </c>
      <c r="B7" s="6" t="s">
        <v>50</v>
      </c>
      <c r="C7" s="6" t="s">
        <v>84</v>
      </c>
      <c r="D7" s="14">
        <v>67.02</v>
      </c>
      <c r="E7" s="7">
        <v>3670.2</v>
      </c>
      <c r="F7" s="15">
        <v>71.3</v>
      </c>
      <c r="G7" s="15">
        <v>64.90000000000001</v>
      </c>
      <c r="H7" s="15">
        <v>30.7</v>
      </c>
      <c r="I7" s="15">
        <v>11.4</v>
      </c>
      <c r="J7" s="15">
        <v>7.4</v>
      </c>
      <c r="K7" s="8">
        <v>86.3</v>
      </c>
      <c r="L7" s="8">
        <v>74.90000000000001</v>
      </c>
      <c r="M7" s="8">
        <v>81.7</v>
      </c>
      <c r="N7" s="15">
        <v>52.80438</v>
      </c>
      <c r="O7" s="15">
        <v>84.42488</v>
      </c>
      <c r="P7" s="15">
        <v>126.95564</v>
      </c>
      <c r="Q7" s="15">
        <v>74.66771</v>
      </c>
      <c r="R7" s="15">
        <v>705.52885</v>
      </c>
    </row>
    <row r="8" spans="1:18">
      <c r="A8" s="5" t="s">
        <v>51</v>
      </c>
      <c r="B8" s="6" t="s">
        <v>52</v>
      </c>
      <c r="C8" s="6" t="s">
        <v>86</v>
      </c>
      <c r="D8" s="14">
        <v>98.88</v>
      </c>
      <c r="E8" s="7">
        <v>13084</v>
      </c>
      <c r="F8" s="15">
        <v>41.7</v>
      </c>
      <c r="G8" s="15">
        <v>30</v>
      </c>
      <c r="H8" s="15">
        <v>41</v>
      </c>
      <c r="I8" s="15">
        <v>0.1</v>
      </c>
      <c r="J8" s="15">
        <v>77.7</v>
      </c>
      <c r="K8" s="8">
        <v>95</v>
      </c>
      <c r="L8" s="8">
        <v>60</v>
      </c>
      <c r="M8" s="8">
        <v>81</v>
      </c>
      <c r="N8" s="15">
        <v>0.9597712900000001</v>
      </c>
      <c r="O8" s="15">
        <v>48.73646</v>
      </c>
      <c r="P8" s="15">
        <v>85.23792</v>
      </c>
      <c r="Q8" s="15">
        <v>28.66623</v>
      </c>
      <c r="R8" s="15">
        <v>209</v>
      </c>
    </row>
    <row r="9" spans="1:18">
      <c r="A9" s="5" t="s">
        <v>53</v>
      </c>
      <c r="B9" s="6" t="s">
        <v>54</v>
      </c>
      <c r="C9" s="6" t="s">
        <v>88</v>
      </c>
      <c r="D9" s="14">
        <v>44.72</v>
      </c>
      <c r="E9" s="7">
        <v>2225.8</v>
      </c>
      <c r="F9" s="15">
        <v>29.5</v>
      </c>
      <c r="G9" s="15">
        <v>8.4</v>
      </c>
      <c r="H9" s="15">
        <v>39.1</v>
      </c>
      <c r="I9" s="15">
        <v>6.5</v>
      </c>
      <c r="J9" s="15">
        <v>10.2</v>
      </c>
      <c r="K9" s="8">
        <v>81.7</v>
      </c>
      <c r="L9" s="8">
        <v>79.3</v>
      </c>
      <c r="M9" s="8">
        <v>80.7</v>
      </c>
      <c r="N9" s="15">
        <v>-26.32619</v>
      </c>
      <c r="O9" s="15">
        <v>-23.41154</v>
      </c>
      <c r="P9" s="15">
        <v>-9.03173</v>
      </c>
      <c r="Q9" s="15">
        <v>-28.74442</v>
      </c>
      <c r="R9" s="15">
        <v>78.6656</v>
      </c>
    </row>
    <row r="10" spans="1:18">
      <c r="A10" s="5" t="s">
        <v>55</v>
      </c>
      <c r="B10" s="6" t="s">
        <v>56</v>
      </c>
      <c r="C10" s="6" t="s">
        <v>85</v>
      </c>
      <c r="D10" s="14">
        <v>12.17</v>
      </c>
      <c r="E10" s="7">
        <v>2823.9</v>
      </c>
      <c r="F10" s="15">
        <v>123.5</v>
      </c>
      <c r="G10" s="15">
        <v>110.3</v>
      </c>
      <c r="H10" s="15">
        <v>35.3</v>
      </c>
      <c r="I10" s="15">
        <v>8.4</v>
      </c>
      <c r="J10" s="15">
        <v>2.6</v>
      </c>
      <c r="K10" s="8">
        <v>83.8</v>
      </c>
      <c r="L10" s="8">
        <v>68.5</v>
      </c>
      <c r="M10" s="8">
        <v>77.7</v>
      </c>
      <c r="N10" s="15">
        <v>-41.29281</v>
      </c>
      <c r="O10" s="15">
        <v>-33.67847</v>
      </c>
      <c r="P10" s="15">
        <v>-25.92818</v>
      </c>
      <c r="Q10" s="15">
        <v>-37.39712</v>
      </c>
      <c r="R10" s="15">
        <v>81.37109</v>
      </c>
    </row>
    <row r="11" spans="1:18">
      <c r="A11" s="5" t="s">
        <v>57</v>
      </c>
      <c r="B11" s="6" t="s">
        <v>58</v>
      </c>
      <c r="C11" s="6" t="s">
        <v>86</v>
      </c>
      <c r="D11" s="14">
        <v>341</v>
      </c>
      <c r="E11" s="7">
        <v>10823.1</v>
      </c>
      <c r="F11" s="15">
        <v>20.9</v>
      </c>
      <c r="G11" s="15">
        <v>23</v>
      </c>
      <c r="H11" s="15">
        <v>26.7</v>
      </c>
      <c r="I11" s="15">
        <v>-0.5</v>
      </c>
      <c r="J11" s="15">
        <v>9.800000000000001</v>
      </c>
      <c r="K11" s="8">
        <v>75.59999999999999</v>
      </c>
      <c r="L11" s="8">
        <v>80</v>
      </c>
      <c r="M11" s="8">
        <v>77.40000000000001</v>
      </c>
      <c r="N11" s="15">
        <v>5.89076</v>
      </c>
      <c r="O11" s="15">
        <v>44.44256</v>
      </c>
      <c r="P11" s="15">
        <v>73.57223</v>
      </c>
      <c r="Q11" s="15">
        <v>36.47096</v>
      </c>
      <c r="R11" s="15">
        <v>110.06592</v>
      </c>
    </row>
    <row r="12" spans="1:18">
      <c r="A12" s="5" t="s">
        <v>59</v>
      </c>
      <c r="B12" s="6" t="s">
        <v>60</v>
      </c>
      <c r="C12" s="6" t="s">
        <v>84</v>
      </c>
      <c r="D12" s="14">
        <v>129.27</v>
      </c>
      <c r="E12" s="7">
        <v>5454.1</v>
      </c>
      <c r="F12" s="15">
        <v>17.1</v>
      </c>
      <c r="G12" s="15">
        <v>24.1</v>
      </c>
      <c r="H12" s="15">
        <v>36.1</v>
      </c>
      <c r="I12" s="15">
        <v>-11.4</v>
      </c>
      <c r="J12" s="15">
        <v>35.5</v>
      </c>
      <c r="K12" s="8">
        <v>78.3</v>
      </c>
      <c r="L12" s="8">
        <v>75.59999999999999</v>
      </c>
      <c r="M12" s="8">
        <v>77.2</v>
      </c>
      <c r="N12" s="15">
        <v>29.41235</v>
      </c>
      <c r="O12" s="15">
        <v>56.01014</v>
      </c>
      <c r="P12" s="15">
        <v>56.99538</v>
      </c>
      <c r="Q12" s="15">
        <v>72.72848999999999</v>
      </c>
      <c r="R12" s="15">
        <v>114.12953</v>
      </c>
    </row>
  </sheetData>
  <mergeCells count="2">
    <mergeCell ref="A1:R1"/>
    <mergeCell ref="A2:R2"/>
  </mergeCells>
  <conditionalFormatting sqref="K5:K12">
    <cfRule type="colorScale" priority="1">
      <colorScale>
        <cfvo type="min" val="0"/>
        <cfvo type="percentile" val="50"/>
        <cfvo type="max" val="0"/>
        <color rgb="FFF4CCCC"/>
        <color rgb="FFFFF2CC"/>
        <color rgb="FFC6EFCE"/>
      </colorScale>
    </cfRule>
  </conditionalFormatting>
  <conditionalFormatting sqref="L5:L12">
    <cfRule type="colorScale" priority="2">
      <colorScale>
        <cfvo type="min" val="0"/>
        <cfvo type="percentile" val="50"/>
        <cfvo type="max" val="0"/>
        <color rgb="FFF4CCCC"/>
        <color rgb="FFFFF2CC"/>
        <color rgb="FFC6EFCE"/>
      </colorScale>
    </cfRule>
  </conditionalFormatting>
  <conditionalFormatting sqref="M5:M12">
    <cfRule type="colorScale" priority="3">
      <colorScale>
        <cfvo type="min" val="0"/>
        <cfvo type="percentile" val="50"/>
        <cfvo type="max" val="0"/>
        <color rgb="FFF4CCCC"/>
        <color rgb="FFFFF2CC"/>
        <color rgb="FFC6EFCE"/>
      </colorScale>
    </cfRule>
  </conditionalFormatting>
  <conditionalFormatting sqref="N5:N12">
    <cfRule type="colorScale" priority="4">
      <colorScale>
        <cfvo type="min" val="0"/>
        <cfvo type="percentile" val="50"/>
        <cfvo type="max" val="0"/>
        <color rgb="FFF4CCCC"/>
        <color rgb="FFFFFFFF"/>
        <color rgb="FFC6EFCE"/>
      </colorScale>
    </cfRule>
  </conditionalFormatting>
  <conditionalFormatting sqref="O5:O12">
    <cfRule type="colorScale" priority="5">
      <colorScale>
        <cfvo type="min" val="0"/>
        <cfvo type="percentile" val="50"/>
        <cfvo type="max" val="0"/>
        <color rgb="FFF4CCCC"/>
        <color rgb="FFFFFFFF"/>
        <color rgb="FFC6EFCE"/>
      </colorScale>
    </cfRule>
  </conditionalFormatting>
  <conditionalFormatting sqref="P5:P12">
    <cfRule type="colorScale" priority="6">
      <colorScale>
        <cfvo type="min" val="0"/>
        <cfvo type="percentile" val="50"/>
        <cfvo type="max" val="0"/>
        <color rgb="FFF4CCCC"/>
        <color rgb="FFFFFFFF"/>
        <color rgb="FFC6EFCE"/>
      </colorScale>
    </cfRule>
  </conditionalFormatting>
  <conditionalFormatting sqref="Q5:Q12">
    <cfRule type="colorScale" priority="7">
      <colorScale>
        <cfvo type="min" val="0"/>
        <cfvo type="percentile" val="50"/>
        <cfvo type="max" val="0"/>
        <color rgb="FFF4CCCC"/>
        <color rgb="FFFFFFFF"/>
        <color rgb="FFC6EFCE"/>
      </colorScale>
    </cfRule>
  </conditionalFormatting>
  <conditionalFormatting sqref="R5:R12">
    <cfRule type="colorScale" priority="8">
      <colorScale>
        <cfvo type="min" val="0"/>
        <cfvo type="percentile" val="50"/>
        <cfvo type="max" val="0"/>
        <color rgb="FFF4CCCC"/>
        <color rgb="FFFFFFFF"/>
        <color rgb="FFC6EFCE"/>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8"/>
  <sheetViews>
    <sheetView showGridLines="0" workbookViewId="0"/>
  </sheetViews>
  <sheetFormatPr defaultRowHeight="15"/>
  <cols>
    <col min="1" max="1" width="8.7109375" customWidth="1"/>
    <col min="2" max="2" width="22.7109375" customWidth="1"/>
    <col min="3" max="4" width="18.7109375" customWidth="1"/>
    <col min="5" max="5" width="14.7109375" customWidth="1"/>
    <col min="6" max="6" width="80.7109375" customWidth="1"/>
  </cols>
  <sheetData>
    <row r="1" spans="1:6">
      <c r="A1" s="1" t="s">
        <v>93</v>
      </c>
      <c r="B1" s="1"/>
      <c r="C1" s="1"/>
      <c r="D1" s="1"/>
      <c r="E1" s="1"/>
      <c r="F1" s="1"/>
    </row>
    <row r="2" spans="1:6">
      <c r="A2" s="2" t="s">
        <v>94</v>
      </c>
      <c r="B2" s="2"/>
      <c r="C2" s="2"/>
      <c r="D2" s="2"/>
      <c r="E2" s="2"/>
      <c r="F2" s="2"/>
    </row>
    <row r="4" spans="1:6">
      <c r="A4" s="13" t="s">
        <v>3</v>
      </c>
      <c r="B4" s="13" t="s">
        <v>4</v>
      </c>
      <c r="C4" s="13" t="s">
        <v>95</v>
      </c>
      <c r="D4" s="13" t="s">
        <v>70</v>
      </c>
      <c r="E4" s="13" t="s">
        <v>96</v>
      </c>
      <c r="F4" s="4" t="s">
        <v>97</v>
      </c>
    </row>
    <row r="5" spans="1:6" ht="60" customHeight="1">
      <c r="A5" s="5" t="s">
        <v>9</v>
      </c>
      <c r="B5" s="6" t="s">
        <v>10</v>
      </c>
      <c r="C5" s="6" t="s">
        <v>98</v>
      </c>
      <c r="D5" s="6" t="s">
        <v>84</v>
      </c>
      <c r="E5" s="16" t="s">
        <v>99</v>
      </c>
      <c r="F5" s="17" t="s">
        <v>100</v>
      </c>
    </row>
    <row r="6" spans="1:6" ht="60" customHeight="1">
      <c r="A6" s="5" t="s">
        <v>12</v>
      </c>
      <c r="B6" s="6" t="s">
        <v>13</v>
      </c>
      <c r="C6" s="6" t="s">
        <v>101</v>
      </c>
      <c r="D6" s="6" t="s">
        <v>85</v>
      </c>
      <c r="E6" s="16" t="s">
        <v>99</v>
      </c>
      <c r="F6" s="17" t="s">
        <v>102</v>
      </c>
    </row>
    <row r="7" spans="1:6" ht="60" customHeight="1">
      <c r="A7" s="5" t="s">
        <v>14</v>
      </c>
      <c r="B7" s="6" t="s">
        <v>15</v>
      </c>
      <c r="C7" s="6" t="s">
        <v>103</v>
      </c>
      <c r="D7" s="6" t="s">
        <v>86</v>
      </c>
      <c r="E7" s="16" t="s">
        <v>99</v>
      </c>
      <c r="F7" s="17" t="s">
        <v>104</v>
      </c>
    </row>
    <row r="8" spans="1:6" ht="60" customHeight="1">
      <c r="A8" s="5" t="s">
        <v>16</v>
      </c>
      <c r="B8" s="6" t="s">
        <v>17</v>
      </c>
      <c r="C8" s="6" t="s">
        <v>103</v>
      </c>
      <c r="D8" s="6" t="s">
        <v>87</v>
      </c>
      <c r="E8" s="16" t="s">
        <v>99</v>
      </c>
      <c r="F8" s="17" t="s">
        <v>105</v>
      </c>
    </row>
    <row r="9" spans="1:6" ht="60" customHeight="1">
      <c r="A9" s="5" t="s">
        <v>19</v>
      </c>
      <c r="B9" s="6" t="s">
        <v>20</v>
      </c>
      <c r="C9" s="6" t="s">
        <v>103</v>
      </c>
      <c r="D9" s="6" t="s">
        <v>88</v>
      </c>
      <c r="E9" s="16" t="s">
        <v>99</v>
      </c>
      <c r="F9" s="17" t="s">
        <v>106</v>
      </c>
    </row>
    <row r="10" spans="1:6" ht="60" customHeight="1">
      <c r="A10" s="5" t="s">
        <v>21</v>
      </c>
      <c r="B10" s="6" t="s">
        <v>22</v>
      </c>
      <c r="C10" s="6" t="s">
        <v>103</v>
      </c>
      <c r="D10" s="6" t="s">
        <v>87</v>
      </c>
      <c r="E10" s="16" t="s">
        <v>99</v>
      </c>
      <c r="F10" s="17" t="s">
        <v>107</v>
      </c>
    </row>
    <row r="11" spans="1:6" ht="60" customHeight="1">
      <c r="A11" s="5" t="s">
        <v>23</v>
      </c>
      <c r="B11" s="6" t="s">
        <v>24</v>
      </c>
      <c r="C11" s="6" t="s">
        <v>98</v>
      </c>
      <c r="D11" s="6" t="s">
        <v>84</v>
      </c>
      <c r="E11" s="16" t="s">
        <v>99</v>
      </c>
      <c r="F11" s="17" t="s">
        <v>108</v>
      </c>
    </row>
    <row r="12" spans="1:6" ht="60" customHeight="1">
      <c r="A12" s="5" t="s">
        <v>25</v>
      </c>
      <c r="B12" s="6" t="s">
        <v>26</v>
      </c>
      <c r="C12" s="6" t="s">
        <v>101</v>
      </c>
      <c r="D12" s="6" t="s">
        <v>85</v>
      </c>
      <c r="E12" s="16" t="s">
        <v>99</v>
      </c>
      <c r="F12" s="17" t="s">
        <v>109</v>
      </c>
    </row>
    <row r="13" spans="1:6" ht="60" customHeight="1">
      <c r="A13" s="5" t="s">
        <v>28</v>
      </c>
      <c r="B13" s="6" t="s">
        <v>29</v>
      </c>
      <c r="C13" s="6" t="s">
        <v>110</v>
      </c>
      <c r="D13" s="6" t="s">
        <v>90</v>
      </c>
      <c r="E13" s="16" t="s">
        <v>111</v>
      </c>
      <c r="F13" s="17" t="s">
        <v>112</v>
      </c>
    </row>
    <row r="14" spans="1:6" ht="60" customHeight="1">
      <c r="A14" s="5" t="s">
        <v>30</v>
      </c>
      <c r="B14" s="6" t="s">
        <v>31</v>
      </c>
      <c r="C14" s="6" t="s">
        <v>98</v>
      </c>
      <c r="D14" s="6" t="s">
        <v>84</v>
      </c>
      <c r="E14" s="16" t="s">
        <v>111</v>
      </c>
      <c r="F14" s="17" t="s">
        <v>113</v>
      </c>
    </row>
    <row r="15" spans="1:6" ht="60" customHeight="1">
      <c r="A15" s="5" t="s">
        <v>32</v>
      </c>
      <c r="B15" s="6" t="s">
        <v>33</v>
      </c>
      <c r="C15" s="6" t="s">
        <v>103</v>
      </c>
      <c r="D15" s="6" t="s">
        <v>86</v>
      </c>
      <c r="E15" s="16" t="s">
        <v>111</v>
      </c>
      <c r="F15" s="17" t="s">
        <v>114</v>
      </c>
    </row>
    <row r="16" spans="1:6" ht="60" customHeight="1">
      <c r="A16" s="5" t="s">
        <v>34</v>
      </c>
      <c r="B16" s="6" t="s">
        <v>35</v>
      </c>
      <c r="C16" s="6" t="s">
        <v>98</v>
      </c>
      <c r="D16" s="6" t="s">
        <v>91</v>
      </c>
      <c r="E16" s="16" t="s">
        <v>111</v>
      </c>
      <c r="F16" s="17" t="s">
        <v>115</v>
      </c>
    </row>
    <row r="17" spans="1:6" ht="60" customHeight="1">
      <c r="A17" s="5" t="s">
        <v>36</v>
      </c>
      <c r="B17" s="6" t="s">
        <v>37</v>
      </c>
      <c r="C17" s="6" t="s">
        <v>103</v>
      </c>
      <c r="D17" s="6" t="s">
        <v>86</v>
      </c>
      <c r="E17" s="16" t="s">
        <v>111</v>
      </c>
      <c r="F17" s="17" t="s">
        <v>116</v>
      </c>
    </row>
    <row r="18" spans="1:6" ht="60" customHeight="1">
      <c r="A18" s="5" t="s">
        <v>38</v>
      </c>
      <c r="B18" s="6" t="s">
        <v>39</v>
      </c>
      <c r="C18" s="6" t="s">
        <v>103</v>
      </c>
      <c r="D18" s="6" t="s">
        <v>87</v>
      </c>
      <c r="E18" s="16" t="s">
        <v>111</v>
      </c>
      <c r="F18" s="17" t="s">
        <v>117</v>
      </c>
    </row>
    <row r="19" spans="1:6" ht="60" customHeight="1">
      <c r="A19" s="5" t="s">
        <v>40</v>
      </c>
      <c r="B19" s="6" t="s">
        <v>41</v>
      </c>
      <c r="C19" s="6" t="s">
        <v>98</v>
      </c>
      <c r="D19" s="6" t="s">
        <v>91</v>
      </c>
      <c r="E19" s="16" t="s">
        <v>111</v>
      </c>
      <c r="F19" s="17" t="s">
        <v>118</v>
      </c>
    </row>
    <row r="20" spans="1:6" ht="60" customHeight="1">
      <c r="A20" s="5" t="s">
        <v>42</v>
      </c>
      <c r="B20" s="6" t="s">
        <v>43</v>
      </c>
      <c r="C20" s="6" t="s">
        <v>103</v>
      </c>
      <c r="D20" s="6" t="s">
        <v>86</v>
      </c>
      <c r="E20" s="16" t="s">
        <v>111</v>
      </c>
      <c r="F20" s="17" t="s">
        <v>119</v>
      </c>
    </row>
    <row r="21" spans="1:6" ht="60" customHeight="1">
      <c r="A21" s="5" t="s">
        <v>45</v>
      </c>
      <c r="B21" s="6" t="s">
        <v>46</v>
      </c>
      <c r="C21" s="6" t="s">
        <v>98</v>
      </c>
      <c r="D21" s="6" t="s">
        <v>91</v>
      </c>
      <c r="E21" s="16" t="s">
        <v>120</v>
      </c>
      <c r="F21" s="17" t="s">
        <v>121</v>
      </c>
    </row>
    <row r="22" spans="1:6" ht="60" customHeight="1">
      <c r="A22" s="5" t="s">
        <v>47</v>
      </c>
      <c r="B22" s="6" t="s">
        <v>48</v>
      </c>
      <c r="C22" s="6" t="s">
        <v>98</v>
      </c>
      <c r="D22" s="6" t="s">
        <v>84</v>
      </c>
      <c r="E22" s="16" t="s">
        <v>120</v>
      </c>
      <c r="F22" s="17" t="s">
        <v>122</v>
      </c>
    </row>
    <row r="23" spans="1:6" ht="60" customHeight="1">
      <c r="A23" s="5" t="s">
        <v>49</v>
      </c>
      <c r="B23" s="6" t="s">
        <v>50</v>
      </c>
      <c r="C23" s="6" t="s">
        <v>98</v>
      </c>
      <c r="D23" s="6" t="s">
        <v>84</v>
      </c>
      <c r="E23" s="16" t="s">
        <v>120</v>
      </c>
      <c r="F23" s="17" t="s">
        <v>123</v>
      </c>
    </row>
    <row r="24" spans="1:6" ht="60" customHeight="1">
      <c r="A24" s="5" t="s">
        <v>51</v>
      </c>
      <c r="B24" s="6" t="s">
        <v>52</v>
      </c>
      <c r="C24" s="6" t="s">
        <v>103</v>
      </c>
      <c r="D24" s="6" t="s">
        <v>86</v>
      </c>
      <c r="E24" s="16" t="s">
        <v>120</v>
      </c>
      <c r="F24" s="17" t="s">
        <v>124</v>
      </c>
    </row>
    <row r="25" spans="1:6" ht="60" customHeight="1">
      <c r="A25" s="5" t="s">
        <v>53</v>
      </c>
      <c r="B25" s="6" t="s">
        <v>54</v>
      </c>
      <c r="C25" s="6" t="s">
        <v>103</v>
      </c>
      <c r="D25" s="6" t="s">
        <v>88</v>
      </c>
      <c r="E25" s="16" t="s">
        <v>120</v>
      </c>
      <c r="F25" s="17" t="s">
        <v>125</v>
      </c>
    </row>
    <row r="26" spans="1:6" ht="60" customHeight="1">
      <c r="A26" s="5" t="s">
        <v>55</v>
      </c>
      <c r="B26" s="6" t="s">
        <v>56</v>
      </c>
      <c r="C26" s="6" t="s">
        <v>101</v>
      </c>
      <c r="D26" s="6" t="s">
        <v>85</v>
      </c>
      <c r="E26" s="16" t="s">
        <v>120</v>
      </c>
      <c r="F26" s="17" t="s">
        <v>126</v>
      </c>
    </row>
    <row r="27" spans="1:6" ht="60" customHeight="1">
      <c r="A27" s="5" t="s">
        <v>57</v>
      </c>
      <c r="B27" s="6" t="s">
        <v>58</v>
      </c>
      <c r="C27" s="6" t="s">
        <v>103</v>
      </c>
      <c r="D27" s="6" t="s">
        <v>86</v>
      </c>
      <c r="E27" s="16" t="s">
        <v>120</v>
      </c>
      <c r="F27" s="17" t="s">
        <v>127</v>
      </c>
    </row>
    <row r="28" spans="1:6" ht="60" customHeight="1">
      <c r="A28" s="5" t="s">
        <v>59</v>
      </c>
      <c r="B28" s="6" t="s">
        <v>60</v>
      </c>
      <c r="C28" s="6" t="s">
        <v>98</v>
      </c>
      <c r="D28" s="6" t="s">
        <v>84</v>
      </c>
      <c r="E28" s="16" t="s">
        <v>120</v>
      </c>
      <c r="F28" s="17" t="s">
        <v>128</v>
      </c>
    </row>
  </sheetData>
  <mergeCells count="2">
    <mergeCell ref="A1:F1"/>
    <mergeCell ref="A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1:H58"/>
  <sheetViews>
    <sheetView showGridLines="0" workbookViewId="0"/>
  </sheetViews>
  <sheetFormatPr defaultRowHeight="15"/>
  <cols>
    <col min="1" max="1" width="3.7109375" customWidth="1"/>
    <col min="2" max="2" width="24.7109375" customWidth="1"/>
    <col min="3" max="8" width="14.7109375" customWidth="1"/>
  </cols>
  <sheetData>
    <row r="1" spans="2:8">
      <c r="B1" s="1" t="s">
        <v>129</v>
      </c>
      <c r="C1" s="1"/>
      <c r="D1" s="1"/>
      <c r="E1" s="1"/>
      <c r="F1" s="1"/>
      <c r="G1" s="1"/>
      <c r="H1" s="1"/>
    </row>
    <row r="2" spans="2:8">
      <c r="B2" s="2" t="s">
        <v>130</v>
      </c>
      <c r="C2" s="2"/>
      <c r="D2" s="2"/>
      <c r="E2" s="2"/>
      <c r="F2" s="2"/>
      <c r="G2" s="2"/>
      <c r="H2" s="2"/>
    </row>
    <row r="4" spans="2:8">
      <c r="B4" s="3" t="s">
        <v>131</v>
      </c>
      <c r="C4" s="3"/>
      <c r="D4" s="3"/>
      <c r="E4" s="3"/>
      <c r="F4" s="3"/>
      <c r="G4" s="3"/>
      <c r="H4" s="3"/>
    </row>
    <row r="5" spans="2:8">
      <c r="B5" s="4" t="s">
        <v>132</v>
      </c>
      <c r="C5" s="4" t="s">
        <v>3</v>
      </c>
      <c r="D5" s="4" t="s">
        <v>4</v>
      </c>
      <c r="E5" s="4" t="s">
        <v>96</v>
      </c>
      <c r="F5" s="4" t="s">
        <v>6</v>
      </c>
      <c r="G5" s="4" t="s">
        <v>133</v>
      </c>
    </row>
    <row r="6" spans="2:8">
      <c r="B6" s="8">
        <v>1</v>
      </c>
      <c r="C6" s="5" t="s">
        <v>9</v>
      </c>
      <c r="D6" s="6" t="s">
        <v>10</v>
      </c>
      <c r="E6" s="16" t="s">
        <v>99</v>
      </c>
      <c r="F6" s="8">
        <v>97.2</v>
      </c>
      <c r="G6" s="8">
        <v>97.2</v>
      </c>
    </row>
    <row r="7" spans="2:8">
      <c r="B7" s="8">
        <v>2</v>
      </c>
      <c r="C7" s="5" t="s">
        <v>28</v>
      </c>
      <c r="D7" s="6" t="s">
        <v>29</v>
      </c>
      <c r="E7" s="16" t="s">
        <v>111</v>
      </c>
      <c r="F7" s="8">
        <v>89.40000000000001</v>
      </c>
      <c r="G7" s="8">
        <v>89.40000000000001</v>
      </c>
    </row>
    <row r="8" spans="2:8">
      <c r="B8" s="8">
        <v>3</v>
      </c>
      <c r="C8" s="5" t="s">
        <v>12</v>
      </c>
      <c r="D8" s="6" t="s">
        <v>13</v>
      </c>
      <c r="E8" s="16" t="s">
        <v>99</v>
      </c>
      <c r="F8" s="8">
        <v>88.40000000000001</v>
      </c>
      <c r="G8" s="8">
        <v>88.40000000000001</v>
      </c>
    </row>
    <row r="9" spans="2:8">
      <c r="B9" s="8">
        <v>4</v>
      </c>
      <c r="C9" s="5" t="s">
        <v>30</v>
      </c>
      <c r="D9" s="6" t="s">
        <v>31</v>
      </c>
      <c r="E9" s="16" t="s">
        <v>111</v>
      </c>
      <c r="F9" s="8">
        <v>87.8</v>
      </c>
      <c r="G9" s="8">
        <v>87.8</v>
      </c>
    </row>
    <row r="10" spans="2:8">
      <c r="B10" s="8">
        <v>5</v>
      </c>
      <c r="C10" s="5" t="s">
        <v>32</v>
      </c>
      <c r="D10" s="6" t="s">
        <v>33</v>
      </c>
      <c r="E10" s="16" t="s">
        <v>111</v>
      </c>
      <c r="F10" s="8">
        <v>87.7</v>
      </c>
      <c r="G10" s="8">
        <v>87.7</v>
      </c>
    </row>
    <row r="12" spans="2:8">
      <c r="B12" s="3" t="s">
        <v>134</v>
      </c>
      <c r="C12" s="3"/>
      <c r="D12" s="3"/>
      <c r="E12" s="3"/>
      <c r="F12" s="3"/>
      <c r="G12" s="3"/>
      <c r="H12" s="3"/>
    </row>
    <row r="13" spans="2:8">
      <c r="B13" s="4" t="s">
        <v>132</v>
      </c>
      <c r="C13" s="4" t="s">
        <v>3</v>
      </c>
      <c r="D13" s="4" t="s">
        <v>4</v>
      </c>
      <c r="E13" s="4" t="s">
        <v>96</v>
      </c>
      <c r="F13" s="4" t="s">
        <v>7</v>
      </c>
      <c r="G13" s="4" t="s">
        <v>133</v>
      </c>
    </row>
    <row r="14" spans="2:8">
      <c r="B14" s="8">
        <v>1</v>
      </c>
      <c r="C14" s="5" t="s">
        <v>34</v>
      </c>
      <c r="D14" s="6" t="s">
        <v>35</v>
      </c>
      <c r="E14" s="16" t="s">
        <v>111</v>
      </c>
      <c r="F14" s="8">
        <v>100</v>
      </c>
      <c r="G14" s="8">
        <v>87.3</v>
      </c>
    </row>
    <row r="15" spans="2:8">
      <c r="B15" s="8">
        <v>2</v>
      </c>
      <c r="C15" s="5" t="s">
        <v>36</v>
      </c>
      <c r="D15" s="6" t="s">
        <v>37</v>
      </c>
      <c r="E15" s="16" t="s">
        <v>111</v>
      </c>
      <c r="F15" s="8">
        <v>100</v>
      </c>
      <c r="G15" s="8">
        <v>87.2</v>
      </c>
    </row>
    <row r="16" spans="2:8">
      <c r="B16" s="8">
        <v>3</v>
      </c>
      <c r="C16" s="5" t="s">
        <v>40</v>
      </c>
      <c r="D16" s="6" t="s">
        <v>41</v>
      </c>
      <c r="E16" s="16" t="s">
        <v>111</v>
      </c>
      <c r="F16" s="8">
        <v>100</v>
      </c>
      <c r="G16" s="8">
        <v>85.59999999999999</v>
      </c>
    </row>
    <row r="17" spans="2:8">
      <c r="B17" s="8">
        <v>4</v>
      </c>
      <c r="C17" s="5" t="s">
        <v>21</v>
      </c>
      <c r="D17" s="6" t="s">
        <v>22</v>
      </c>
      <c r="E17" s="16" t="s">
        <v>99</v>
      </c>
      <c r="F17" s="8">
        <v>99.7</v>
      </c>
      <c r="G17" s="8">
        <v>81.5</v>
      </c>
    </row>
    <row r="18" spans="2:8">
      <c r="B18" s="8">
        <v>5</v>
      </c>
      <c r="C18" s="5" t="s">
        <v>9</v>
      </c>
      <c r="D18" s="6" t="s">
        <v>10</v>
      </c>
      <c r="E18" s="16" t="s">
        <v>99</v>
      </c>
      <c r="F18" s="8">
        <v>98.2</v>
      </c>
      <c r="G18" s="8">
        <v>97.2</v>
      </c>
    </row>
    <row r="20" spans="2:8">
      <c r="B20" s="3" t="s">
        <v>135</v>
      </c>
      <c r="C20" s="3"/>
      <c r="D20" s="3"/>
      <c r="E20" s="3"/>
      <c r="F20" s="3"/>
      <c r="G20" s="3"/>
      <c r="H20" s="3"/>
    </row>
    <row r="21" spans="2:8">
      <c r="B21" s="4" t="s">
        <v>132</v>
      </c>
      <c r="C21" s="4" t="s">
        <v>3</v>
      </c>
      <c r="D21" s="4" t="s">
        <v>4</v>
      </c>
      <c r="E21" s="4" t="s">
        <v>96</v>
      </c>
      <c r="F21" s="4" t="s">
        <v>72</v>
      </c>
      <c r="G21" s="4" t="s">
        <v>133</v>
      </c>
    </row>
    <row r="22" spans="2:8">
      <c r="B22" s="8">
        <v>1</v>
      </c>
      <c r="C22" s="5" t="s">
        <v>19</v>
      </c>
      <c r="D22" s="6" t="s">
        <v>20</v>
      </c>
      <c r="E22" s="16" t="s">
        <v>99</v>
      </c>
      <c r="F22" s="15">
        <v>198.6</v>
      </c>
      <c r="G22" s="8">
        <v>84.59999999999999</v>
      </c>
    </row>
    <row r="23" spans="2:8">
      <c r="B23" s="8">
        <v>2</v>
      </c>
      <c r="C23" s="5" t="s">
        <v>55</v>
      </c>
      <c r="D23" s="6" t="s">
        <v>56</v>
      </c>
      <c r="E23" s="16" t="s">
        <v>120</v>
      </c>
      <c r="F23" s="15">
        <v>123.5</v>
      </c>
      <c r="G23" s="8">
        <v>77.7</v>
      </c>
    </row>
    <row r="24" spans="2:8">
      <c r="B24" s="8">
        <v>3</v>
      </c>
      <c r="C24" s="5" t="s">
        <v>49</v>
      </c>
      <c r="D24" s="6" t="s">
        <v>50</v>
      </c>
      <c r="E24" s="16" t="s">
        <v>120</v>
      </c>
      <c r="F24" s="15">
        <v>71.3</v>
      </c>
      <c r="G24" s="8">
        <v>81.7</v>
      </c>
    </row>
    <row r="25" spans="2:8">
      <c r="B25" s="8">
        <v>4</v>
      </c>
      <c r="C25" s="5" t="s">
        <v>28</v>
      </c>
      <c r="D25" s="6" t="s">
        <v>29</v>
      </c>
      <c r="E25" s="16" t="s">
        <v>111</v>
      </c>
      <c r="F25" s="15">
        <v>67.3</v>
      </c>
      <c r="G25" s="8">
        <v>89.40000000000001</v>
      </c>
    </row>
    <row r="26" spans="2:8">
      <c r="B26" s="8">
        <v>5</v>
      </c>
      <c r="C26" s="5" t="s">
        <v>45</v>
      </c>
      <c r="D26" s="6" t="s">
        <v>46</v>
      </c>
      <c r="E26" s="16" t="s">
        <v>120</v>
      </c>
      <c r="F26" s="15">
        <v>50.6</v>
      </c>
      <c r="G26" s="8">
        <v>84.09999999999999</v>
      </c>
    </row>
    <row r="28" spans="2:8">
      <c r="B28" s="3" t="s">
        <v>136</v>
      </c>
      <c r="C28" s="3"/>
      <c r="D28" s="3"/>
      <c r="E28" s="3"/>
      <c r="F28" s="3"/>
      <c r="G28" s="3"/>
      <c r="H28" s="3"/>
    </row>
    <row r="29" spans="2:8">
      <c r="B29" s="4" t="s">
        <v>132</v>
      </c>
      <c r="C29" s="4" t="s">
        <v>3</v>
      </c>
      <c r="D29" s="4" t="s">
        <v>4</v>
      </c>
      <c r="E29" s="4" t="s">
        <v>96</v>
      </c>
      <c r="F29" s="4" t="s">
        <v>137</v>
      </c>
      <c r="G29" s="4" t="s">
        <v>133</v>
      </c>
    </row>
    <row r="30" spans="2:8">
      <c r="B30" s="8">
        <v>1</v>
      </c>
      <c r="C30" s="5" t="s">
        <v>42</v>
      </c>
      <c r="D30" s="6" t="s">
        <v>43</v>
      </c>
      <c r="E30" s="16" t="s">
        <v>111</v>
      </c>
      <c r="F30" s="15">
        <v>191.78357</v>
      </c>
      <c r="G30" s="8">
        <v>85.40000000000001</v>
      </c>
    </row>
    <row r="31" spans="2:8">
      <c r="B31" s="8">
        <v>2</v>
      </c>
      <c r="C31" s="5" t="s">
        <v>21</v>
      </c>
      <c r="D31" s="6" t="s">
        <v>22</v>
      </c>
      <c r="E31" s="16" t="s">
        <v>99</v>
      </c>
      <c r="F31" s="15">
        <v>105.69106</v>
      </c>
      <c r="G31" s="8">
        <v>81.5</v>
      </c>
    </row>
    <row r="32" spans="2:8">
      <c r="B32" s="8">
        <v>3</v>
      </c>
      <c r="C32" s="5" t="s">
        <v>19</v>
      </c>
      <c r="D32" s="6" t="s">
        <v>20</v>
      </c>
      <c r="E32" s="16" t="s">
        <v>99</v>
      </c>
      <c r="F32" s="15">
        <v>84.98237</v>
      </c>
      <c r="G32" s="8">
        <v>84.59999999999999</v>
      </c>
    </row>
    <row r="33" spans="2:8">
      <c r="B33" s="8">
        <v>4</v>
      </c>
      <c r="C33" s="5" t="s">
        <v>49</v>
      </c>
      <c r="D33" s="6" t="s">
        <v>50</v>
      </c>
      <c r="E33" s="16" t="s">
        <v>120</v>
      </c>
      <c r="F33" s="15">
        <v>84.42488</v>
      </c>
      <c r="G33" s="8">
        <v>81.7</v>
      </c>
    </row>
    <row r="34" spans="2:8">
      <c r="B34" s="8">
        <v>5</v>
      </c>
      <c r="C34" s="5" t="s">
        <v>14</v>
      </c>
      <c r="D34" s="6" t="s">
        <v>15</v>
      </c>
      <c r="E34" s="16" t="s">
        <v>99</v>
      </c>
      <c r="F34" s="15">
        <v>60.86462</v>
      </c>
      <c r="G34" s="8">
        <v>86.5</v>
      </c>
    </row>
    <row r="36" spans="2:8">
      <c r="B36" s="3" t="s">
        <v>138</v>
      </c>
      <c r="C36" s="3"/>
      <c r="D36" s="3"/>
      <c r="E36" s="3"/>
      <c r="F36" s="3"/>
      <c r="G36" s="3"/>
      <c r="H36" s="3"/>
    </row>
    <row r="37" spans="2:8">
      <c r="B37" s="4" t="s">
        <v>132</v>
      </c>
      <c r="C37" s="4" t="s">
        <v>3</v>
      </c>
      <c r="D37" s="4" t="s">
        <v>4</v>
      </c>
      <c r="E37" s="4" t="s">
        <v>96</v>
      </c>
      <c r="F37" s="4" t="s">
        <v>75</v>
      </c>
      <c r="G37" s="4" t="s">
        <v>133</v>
      </c>
    </row>
    <row r="38" spans="2:8">
      <c r="B38" s="8">
        <v>1</v>
      </c>
      <c r="C38" s="5" t="s">
        <v>25</v>
      </c>
      <c r="D38" s="6" t="s">
        <v>26</v>
      </c>
      <c r="E38" s="16" t="s">
        <v>99</v>
      </c>
      <c r="F38" s="15">
        <v>-20.8</v>
      </c>
      <c r="G38" s="8">
        <v>80.2</v>
      </c>
    </row>
    <row r="39" spans="2:8">
      <c r="B39" s="8">
        <v>2</v>
      </c>
      <c r="C39" s="5" t="s">
        <v>59</v>
      </c>
      <c r="D39" s="6" t="s">
        <v>60</v>
      </c>
      <c r="E39" s="16" t="s">
        <v>120</v>
      </c>
      <c r="F39" s="15">
        <v>-11.4</v>
      </c>
      <c r="G39" s="8">
        <v>77.2</v>
      </c>
    </row>
    <row r="40" spans="2:8">
      <c r="B40" s="8">
        <v>3</v>
      </c>
      <c r="C40" s="5" t="s">
        <v>19</v>
      </c>
      <c r="D40" s="6" t="s">
        <v>20</v>
      </c>
      <c r="E40" s="16" t="s">
        <v>99</v>
      </c>
      <c r="F40" s="15">
        <v>-10.8</v>
      </c>
      <c r="G40" s="8">
        <v>84.59999999999999</v>
      </c>
    </row>
    <row r="41" spans="2:8">
      <c r="B41" s="8">
        <v>4</v>
      </c>
      <c r="C41" s="5" t="s">
        <v>40</v>
      </c>
      <c r="D41" s="6" t="s">
        <v>41</v>
      </c>
      <c r="E41" s="16" t="s">
        <v>111</v>
      </c>
      <c r="F41" s="15">
        <v>-9</v>
      </c>
      <c r="G41" s="8">
        <v>85.59999999999999</v>
      </c>
    </row>
    <row r="42" spans="2:8">
      <c r="B42" s="8">
        <v>5</v>
      </c>
      <c r="C42" s="5" t="s">
        <v>47</v>
      </c>
      <c r="D42" s="6" t="s">
        <v>48</v>
      </c>
      <c r="E42" s="16" t="s">
        <v>120</v>
      </c>
      <c r="F42" s="15">
        <v>-3.3</v>
      </c>
      <c r="G42" s="8">
        <v>83.40000000000001</v>
      </c>
    </row>
    <row r="44" spans="2:8">
      <c r="B44" s="3" t="s">
        <v>139</v>
      </c>
      <c r="C44" s="3"/>
      <c r="D44" s="3"/>
      <c r="E44" s="3"/>
      <c r="F44" s="3"/>
      <c r="G44" s="3"/>
      <c r="H44" s="3"/>
    </row>
    <row r="45" spans="2:8">
      <c r="B45" s="4" t="s">
        <v>132</v>
      </c>
      <c r="C45" s="4" t="s">
        <v>3</v>
      </c>
      <c r="D45" s="4" t="s">
        <v>4</v>
      </c>
      <c r="E45" s="4" t="s">
        <v>96</v>
      </c>
      <c r="F45" s="4" t="s">
        <v>76</v>
      </c>
      <c r="G45" s="4" t="s">
        <v>133</v>
      </c>
    </row>
    <row r="46" spans="2:8">
      <c r="B46" s="8">
        <v>1</v>
      </c>
      <c r="C46" s="5" t="s">
        <v>51</v>
      </c>
      <c r="D46" s="6" t="s">
        <v>52</v>
      </c>
      <c r="E46" s="16" t="s">
        <v>120</v>
      </c>
      <c r="F46" s="15">
        <v>77.7</v>
      </c>
      <c r="G46" s="8">
        <v>81</v>
      </c>
    </row>
    <row r="47" spans="2:8">
      <c r="B47" s="8">
        <v>2</v>
      </c>
      <c r="C47" s="5" t="s">
        <v>25</v>
      </c>
      <c r="D47" s="6" t="s">
        <v>26</v>
      </c>
      <c r="E47" s="16" t="s">
        <v>99</v>
      </c>
      <c r="F47" s="15">
        <v>50.1</v>
      </c>
      <c r="G47" s="8">
        <v>80.2</v>
      </c>
    </row>
    <row r="48" spans="2:8">
      <c r="B48" s="8">
        <v>3</v>
      </c>
      <c r="C48" s="5" t="s">
        <v>14</v>
      </c>
      <c r="D48" s="6" t="s">
        <v>15</v>
      </c>
      <c r="E48" s="16" t="s">
        <v>99</v>
      </c>
      <c r="F48" s="15">
        <v>47.8</v>
      </c>
      <c r="G48" s="8">
        <v>86.5</v>
      </c>
    </row>
    <row r="49" spans="2:8">
      <c r="B49" s="8">
        <v>4</v>
      </c>
      <c r="C49" s="5" t="s">
        <v>28</v>
      </c>
      <c r="D49" s="6" t="s">
        <v>29</v>
      </c>
      <c r="E49" s="16" t="s">
        <v>111</v>
      </c>
      <c r="F49" s="15">
        <v>42.8</v>
      </c>
      <c r="G49" s="8">
        <v>89.40000000000001</v>
      </c>
    </row>
    <row r="50" spans="2:8">
      <c r="B50" s="8">
        <v>5</v>
      </c>
      <c r="C50" s="5" t="s">
        <v>38</v>
      </c>
      <c r="D50" s="6" t="s">
        <v>39</v>
      </c>
      <c r="E50" s="16" t="s">
        <v>111</v>
      </c>
      <c r="F50" s="15">
        <v>39.2</v>
      </c>
      <c r="G50" s="8">
        <v>86</v>
      </c>
    </row>
    <row r="52" spans="2:8">
      <c r="B52" s="3" t="s">
        <v>140</v>
      </c>
      <c r="C52" s="3"/>
      <c r="D52" s="3"/>
      <c r="E52" s="3"/>
      <c r="F52" s="3"/>
      <c r="G52" s="3"/>
      <c r="H52" s="3"/>
    </row>
    <row r="53" spans="2:8">
      <c r="B53" s="4" t="s">
        <v>132</v>
      </c>
      <c r="C53" s="4" t="s">
        <v>3</v>
      </c>
      <c r="D53" s="4" t="s">
        <v>4</v>
      </c>
      <c r="E53" s="4" t="s">
        <v>96</v>
      </c>
      <c r="F53" s="4" t="s">
        <v>5</v>
      </c>
      <c r="G53" s="4" t="s">
        <v>133</v>
      </c>
    </row>
    <row r="54" spans="2:8">
      <c r="B54" s="8">
        <v>1</v>
      </c>
      <c r="C54" s="5" t="s">
        <v>9</v>
      </c>
      <c r="D54" s="6" t="s">
        <v>10</v>
      </c>
      <c r="E54" s="16" t="s">
        <v>99</v>
      </c>
      <c r="F54" s="7">
        <v>55.8</v>
      </c>
      <c r="G54" s="8">
        <v>97.2</v>
      </c>
    </row>
    <row r="55" spans="2:8">
      <c r="B55" s="8">
        <v>2</v>
      </c>
      <c r="C55" s="5" t="s">
        <v>25</v>
      </c>
      <c r="D55" s="6" t="s">
        <v>26</v>
      </c>
      <c r="E55" s="16" t="s">
        <v>99</v>
      </c>
      <c r="F55" s="7">
        <v>59.6</v>
      </c>
      <c r="G55" s="8">
        <v>80.2</v>
      </c>
    </row>
    <row r="56" spans="2:8">
      <c r="B56" s="8">
        <v>3</v>
      </c>
      <c r="C56" s="5" t="s">
        <v>12</v>
      </c>
      <c r="D56" s="6" t="s">
        <v>13</v>
      </c>
      <c r="E56" s="16" t="s">
        <v>99</v>
      </c>
      <c r="F56" s="7">
        <v>68</v>
      </c>
      <c r="G56" s="8">
        <v>88.40000000000001</v>
      </c>
    </row>
    <row r="57" spans="2:8">
      <c r="B57" s="8">
        <v>4</v>
      </c>
      <c r="C57" s="5" t="s">
        <v>16</v>
      </c>
      <c r="D57" s="6" t="s">
        <v>17</v>
      </c>
      <c r="E57" s="16" t="s">
        <v>99</v>
      </c>
      <c r="F57" s="7">
        <v>98.5</v>
      </c>
      <c r="G57" s="8">
        <v>84.90000000000001</v>
      </c>
    </row>
    <row r="58" spans="2:8">
      <c r="B58" s="8">
        <v>5</v>
      </c>
      <c r="C58" s="5" t="s">
        <v>21</v>
      </c>
      <c r="D58" s="6" t="s">
        <v>22</v>
      </c>
      <c r="E58" s="16" t="s">
        <v>99</v>
      </c>
      <c r="F58" s="7">
        <v>135.5</v>
      </c>
      <c r="G58" s="8">
        <v>81.5</v>
      </c>
    </row>
  </sheetData>
  <mergeCells count="9">
    <mergeCell ref="B1:H1"/>
    <mergeCell ref="B2:H2"/>
    <mergeCell ref="B4:H4"/>
    <mergeCell ref="B12:H12"/>
    <mergeCell ref="B20:H20"/>
    <mergeCell ref="B28:H28"/>
    <mergeCell ref="B36:H36"/>
    <mergeCell ref="B44:H44"/>
    <mergeCell ref="B52:H5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28"/>
  <sheetViews>
    <sheetView showGridLines="0" workbookViewId="0"/>
  </sheetViews>
  <sheetFormatPr defaultRowHeight="15"/>
  <cols>
    <col min="1" max="1" width="8.7109375" customWidth="1"/>
    <col min="2" max="2" width="24.7109375" customWidth="1"/>
    <col min="3" max="4" width="12.7109375" customWidth="1"/>
    <col min="5" max="5" width="18.7109375" customWidth="1"/>
    <col min="6" max="6" width="10.7109375" customWidth="1"/>
    <col min="7" max="7" width="50.7109375" customWidth="1"/>
    <col min="8" max="9" width="35.7109375" customWidth="1"/>
  </cols>
  <sheetData>
    <row r="1" spans="1:9">
      <c r="A1" s="1" t="s">
        <v>141</v>
      </c>
      <c r="B1" s="1"/>
      <c r="C1" s="1"/>
      <c r="D1" s="1"/>
      <c r="E1" s="1"/>
      <c r="F1" s="1"/>
      <c r="G1" s="1"/>
      <c r="H1" s="1"/>
      <c r="I1" s="1"/>
    </row>
    <row r="2" spans="1:9">
      <c r="A2" s="2" t="s">
        <v>142</v>
      </c>
      <c r="B2" s="2"/>
      <c r="C2" s="2"/>
      <c r="D2" s="2"/>
      <c r="E2" s="2"/>
      <c r="F2" s="2"/>
      <c r="G2" s="2"/>
      <c r="H2" s="2"/>
      <c r="I2" s="2"/>
    </row>
    <row r="4" spans="1:9">
      <c r="A4" s="13" t="s">
        <v>3</v>
      </c>
      <c r="B4" s="13" t="s">
        <v>4</v>
      </c>
      <c r="C4" s="4" t="s">
        <v>96</v>
      </c>
      <c r="D4" s="4" t="s">
        <v>6</v>
      </c>
      <c r="E4" s="4" t="s">
        <v>143</v>
      </c>
      <c r="F4" s="4" t="s">
        <v>8</v>
      </c>
      <c r="G4" s="13" t="s">
        <v>144</v>
      </c>
      <c r="H4" s="13" t="s">
        <v>145</v>
      </c>
      <c r="I4" s="13" t="s">
        <v>146</v>
      </c>
    </row>
    <row r="5" spans="1:9" ht="35" customHeight="1">
      <c r="A5" s="5" t="s">
        <v>9</v>
      </c>
      <c r="B5" s="6" t="s">
        <v>10</v>
      </c>
      <c r="C5" s="16" t="s">
        <v>99</v>
      </c>
      <c r="D5" s="8">
        <v>97.2</v>
      </c>
      <c r="E5" s="16" t="s">
        <v>147</v>
      </c>
      <c r="F5" s="9" t="s">
        <v>11</v>
      </c>
      <c r="G5" s="17" t="s">
        <v>148</v>
      </c>
      <c r="H5" s="6" t="s">
        <v>149</v>
      </c>
      <c r="I5" s="6"/>
    </row>
    <row r="6" spans="1:9" ht="35" customHeight="1">
      <c r="A6" s="5" t="s">
        <v>28</v>
      </c>
      <c r="B6" s="6" t="s">
        <v>29</v>
      </c>
      <c r="C6" s="16" t="s">
        <v>111</v>
      </c>
      <c r="D6" s="8">
        <v>89.40000000000001</v>
      </c>
      <c r="E6" s="16" t="s">
        <v>150</v>
      </c>
      <c r="F6" s="9" t="s">
        <v>11</v>
      </c>
      <c r="G6" s="17" t="s">
        <v>151</v>
      </c>
      <c r="H6" s="6" t="s">
        <v>152</v>
      </c>
      <c r="I6" s="6"/>
    </row>
    <row r="7" spans="1:9" ht="35" customHeight="1">
      <c r="A7" s="5" t="s">
        <v>12</v>
      </c>
      <c r="B7" s="6" t="s">
        <v>13</v>
      </c>
      <c r="C7" s="16" t="s">
        <v>99</v>
      </c>
      <c r="D7" s="8">
        <v>88.40000000000001</v>
      </c>
      <c r="E7" s="16" t="s">
        <v>150</v>
      </c>
      <c r="F7" s="9" t="s">
        <v>11</v>
      </c>
      <c r="G7" s="17" t="s">
        <v>153</v>
      </c>
      <c r="H7" s="6" t="s">
        <v>154</v>
      </c>
      <c r="I7" s="6"/>
    </row>
    <row r="8" spans="1:9" ht="35" customHeight="1">
      <c r="A8" s="5" t="s">
        <v>30</v>
      </c>
      <c r="B8" s="6" t="s">
        <v>31</v>
      </c>
      <c r="C8" s="16" t="s">
        <v>111</v>
      </c>
      <c r="D8" s="8">
        <v>87.8</v>
      </c>
      <c r="E8" s="16" t="s">
        <v>150</v>
      </c>
      <c r="F8" s="9" t="s">
        <v>11</v>
      </c>
      <c r="G8" s="17" t="s">
        <v>155</v>
      </c>
      <c r="H8" s="6" t="s">
        <v>156</v>
      </c>
      <c r="I8" s="6"/>
    </row>
    <row r="9" spans="1:9" ht="35" customHeight="1">
      <c r="A9" s="5" t="s">
        <v>32</v>
      </c>
      <c r="B9" s="6" t="s">
        <v>33</v>
      </c>
      <c r="C9" s="16" t="s">
        <v>111</v>
      </c>
      <c r="D9" s="8">
        <v>87.7</v>
      </c>
      <c r="E9" s="16" t="s">
        <v>150</v>
      </c>
      <c r="F9" s="9" t="s">
        <v>11</v>
      </c>
      <c r="G9" s="17" t="s">
        <v>157</v>
      </c>
      <c r="H9" s="6" t="s">
        <v>158</v>
      </c>
      <c r="I9" s="6"/>
    </row>
    <row r="10" spans="1:9" ht="35" customHeight="1">
      <c r="A10" s="5" t="s">
        <v>34</v>
      </c>
      <c r="B10" s="6" t="s">
        <v>35</v>
      </c>
      <c r="C10" s="16" t="s">
        <v>111</v>
      </c>
      <c r="D10" s="8">
        <v>87.3</v>
      </c>
      <c r="E10" s="16" t="s">
        <v>147</v>
      </c>
      <c r="F10" s="9" t="s">
        <v>11</v>
      </c>
      <c r="G10" s="17" t="s">
        <v>159</v>
      </c>
      <c r="H10" s="6" t="s">
        <v>160</v>
      </c>
      <c r="I10" s="6"/>
    </row>
    <row r="11" spans="1:9" ht="35" customHeight="1">
      <c r="A11" s="5" t="s">
        <v>36</v>
      </c>
      <c r="B11" s="6" t="s">
        <v>37</v>
      </c>
      <c r="C11" s="16" t="s">
        <v>111</v>
      </c>
      <c r="D11" s="8">
        <v>87.2</v>
      </c>
      <c r="E11" s="16" t="s">
        <v>147</v>
      </c>
      <c r="F11" s="9" t="s">
        <v>11</v>
      </c>
      <c r="G11" s="17" t="s">
        <v>161</v>
      </c>
      <c r="H11" s="6" t="s">
        <v>162</v>
      </c>
      <c r="I11" s="6"/>
    </row>
    <row r="12" spans="1:9" ht="35" customHeight="1">
      <c r="A12" s="5" t="s">
        <v>14</v>
      </c>
      <c r="B12" s="6" t="s">
        <v>15</v>
      </c>
      <c r="C12" s="16" t="s">
        <v>99</v>
      </c>
      <c r="D12" s="8">
        <v>86.5</v>
      </c>
      <c r="E12" s="16" t="s">
        <v>150</v>
      </c>
      <c r="F12" s="9" t="s">
        <v>11</v>
      </c>
      <c r="G12" s="17" t="s">
        <v>163</v>
      </c>
      <c r="H12" s="6" t="s">
        <v>164</v>
      </c>
      <c r="I12" s="6"/>
    </row>
    <row r="13" spans="1:9" ht="35" customHeight="1">
      <c r="A13" s="5" t="s">
        <v>38</v>
      </c>
      <c r="B13" s="6" t="s">
        <v>39</v>
      </c>
      <c r="C13" s="16" t="s">
        <v>111</v>
      </c>
      <c r="D13" s="8">
        <v>86</v>
      </c>
      <c r="E13" s="16" t="s">
        <v>147</v>
      </c>
      <c r="F13" s="9" t="s">
        <v>11</v>
      </c>
      <c r="G13" s="17" t="s">
        <v>165</v>
      </c>
      <c r="H13" s="6" t="s">
        <v>166</v>
      </c>
      <c r="I13" s="6" t="s">
        <v>167</v>
      </c>
    </row>
    <row r="14" spans="1:9" ht="35" customHeight="1">
      <c r="A14" s="5" t="s">
        <v>40</v>
      </c>
      <c r="B14" s="6" t="s">
        <v>41</v>
      </c>
      <c r="C14" s="16" t="s">
        <v>111</v>
      </c>
      <c r="D14" s="8">
        <v>85.59999999999999</v>
      </c>
      <c r="E14" s="16" t="s">
        <v>168</v>
      </c>
      <c r="F14" s="9" t="s">
        <v>11</v>
      </c>
      <c r="G14" s="17" t="s">
        <v>169</v>
      </c>
      <c r="H14" s="6" t="s">
        <v>170</v>
      </c>
      <c r="I14" s="6"/>
    </row>
    <row r="15" spans="1:9" ht="35" customHeight="1">
      <c r="A15" s="5" t="s">
        <v>42</v>
      </c>
      <c r="B15" s="6" t="s">
        <v>43</v>
      </c>
      <c r="C15" s="16" t="s">
        <v>111</v>
      </c>
      <c r="D15" s="8">
        <v>85.40000000000001</v>
      </c>
      <c r="E15" s="16" t="s">
        <v>147</v>
      </c>
      <c r="F15" s="9" t="s">
        <v>11</v>
      </c>
      <c r="G15" s="17" t="s">
        <v>171</v>
      </c>
      <c r="H15" s="6" t="s">
        <v>172</v>
      </c>
      <c r="I15" s="6"/>
    </row>
    <row r="16" spans="1:9" ht="35" customHeight="1">
      <c r="A16" s="5" t="s">
        <v>16</v>
      </c>
      <c r="B16" s="6" t="s">
        <v>17</v>
      </c>
      <c r="C16" s="16" t="s">
        <v>99</v>
      </c>
      <c r="D16" s="8">
        <v>84.90000000000001</v>
      </c>
      <c r="E16" s="16" t="s">
        <v>147</v>
      </c>
      <c r="F16" s="10" t="s">
        <v>18</v>
      </c>
      <c r="G16" s="17" t="s">
        <v>173</v>
      </c>
      <c r="H16" s="6" t="s">
        <v>174</v>
      </c>
      <c r="I16" s="6" t="s">
        <v>167</v>
      </c>
    </row>
    <row r="17" spans="1:9" ht="35" customHeight="1">
      <c r="A17" s="5" t="s">
        <v>19</v>
      </c>
      <c r="B17" s="6" t="s">
        <v>20</v>
      </c>
      <c r="C17" s="16" t="s">
        <v>99</v>
      </c>
      <c r="D17" s="8">
        <v>84.59999999999999</v>
      </c>
      <c r="E17" s="16" t="s">
        <v>150</v>
      </c>
      <c r="F17" s="10" t="s">
        <v>18</v>
      </c>
      <c r="G17" s="17" t="s">
        <v>175</v>
      </c>
      <c r="H17" s="6" t="s">
        <v>176</v>
      </c>
      <c r="I17" s="6" t="s">
        <v>177</v>
      </c>
    </row>
    <row r="18" spans="1:9" ht="35" customHeight="1">
      <c r="A18" s="5" t="s">
        <v>45</v>
      </c>
      <c r="B18" s="6" t="s">
        <v>46</v>
      </c>
      <c r="C18" s="16" t="s">
        <v>120</v>
      </c>
      <c r="D18" s="8">
        <v>84.09999999999999</v>
      </c>
      <c r="E18" s="16" t="s">
        <v>178</v>
      </c>
      <c r="F18" s="10" t="s">
        <v>18</v>
      </c>
      <c r="G18" s="17" t="s">
        <v>179</v>
      </c>
      <c r="H18" s="6" t="s">
        <v>180</v>
      </c>
      <c r="I18" s="6" t="s">
        <v>177</v>
      </c>
    </row>
    <row r="19" spans="1:9" ht="35" customHeight="1">
      <c r="A19" s="5" t="s">
        <v>47</v>
      </c>
      <c r="B19" s="6" t="s">
        <v>48</v>
      </c>
      <c r="C19" s="16" t="s">
        <v>120</v>
      </c>
      <c r="D19" s="8">
        <v>83.40000000000001</v>
      </c>
      <c r="E19" s="16" t="s">
        <v>181</v>
      </c>
      <c r="F19" s="10" t="s">
        <v>18</v>
      </c>
      <c r="G19" s="17" t="s">
        <v>182</v>
      </c>
      <c r="H19" s="6" t="s">
        <v>183</v>
      </c>
      <c r="I19" s="6"/>
    </row>
    <row r="20" spans="1:9" ht="35" customHeight="1">
      <c r="A20" s="5" t="s">
        <v>49</v>
      </c>
      <c r="B20" s="6" t="s">
        <v>50</v>
      </c>
      <c r="C20" s="16" t="s">
        <v>120</v>
      </c>
      <c r="D20" s="8">
        <v>81.7</v>
      </c>
      <c r="E20" s="16" t="s">
        <v>184</v>
      </c>
      <c r="F20" s="10" t="s">
        <v>18</v>
      </c>
      <c r="G20" s="17" t="s">
        <v>185</v>
      </c>
      <c r="H20" s="6" t="s">
        <v>186</v>
      </c>
      <c r="I20" s="6"/>
    </row>
    <row r="21" spans="1:9" ht="35" customHeight="1">
      <c r="A21" s="5" t="s">
        <v>21</v>
      </c>
      <c r="B21" s="6" t="s">
        <v>22</v>
      </c>
      <c r="C21" s="16" t="s">
        <v>99</v>
      </c>
      <c r="D21" s="8">
        <v>81.5</v>
      </c>
      <c r="E21" s="16" t="s">
        <v>147</v>
      </c>
      <c r="F21" s="10" t="s">
        <v>18</v>
      </c>
      <c r="G21" s="17" t="s">
        <v>187</v>
      </c>
      <c r="H21" s="6" t="s">
        <v>188</v>
      </c>
      <c r="I21" s="6"/>
    </row>
    <row r="22" spans="1:9" ht="35" customHeight="1">
      <c r="A22" s="5" t="s">
        <v>51</v>
      </c>
      <c r="B22" s="6" t="s">
        <v>52</v>
      </c>
      <c r="C22" s="16" t="s">
        <v>120</v>
      </c>
      <c r="D22" s="8">
        <v>81</v>
      </c>
      <c r="E22" s="16" t="s">
        <v>150</v>
      </c>
      <c r="F22" s="10" t="s">
        <v>18</v>
      </c>
      <c r="G22" s="17" t="s">
        <v>189</v>
      </c>
      <c r="H22" s="6" t="s">
        <v>190</v>
      </c>
      <c r="I22" s="6"/>
    </row>
    <row r="23" spans="1:9" ht="35" customHeight="1">
      <c r="A23" s="5" t="s">
        <v>53</v>
      </c>
      <c r="B23" s="6" t="s">
        <v>54</v>
      </c>
      <c r="C23" s="16" t="s">
        <v>120</v>
      </c>
      <c r="D23" s="8">
        <v>80.7</v>
      </c>
      <c r="E23" s="16" t="s">
        <v>168</v>
      </c>
      <c r="F23" s="10" t="s">
        <v>18</v>
      </c>
      <c r="G23" s="17" t="s">
        <v>191</v>
      </c>
      <c r="H23" s="6" t="s">
        <v>192</v>
      </c>
      <c r="I23" s="6"/>
    </row>
    <row r="24" spans="1:9" ht="35" customHeight="1">
      <c r="A24" s="5" t="s">
        <v>23</v>
      </c>
      <c r="B24" s="6" t="s">
        <v>24</v>
      </c>
      <c r="C24" s="16" t="s">
        <v>99</v>
      </c>
      <c r="D24" s="8">
        <v>80.40000000000001</v>
      </c>
      <c r="E24" s="16" t="s">
        <v>168</v>
      </c>
      <c r="F24" s="10" t="s">
        <v>18</v>
      </c>
      <c r="G24" s="17" t="s">
        <v>193</v>
      </c>
      <c r="H24" s="6" t="s">
        <v>194</v>
      </c>
      <c r="I24" s="6" t="s">
        <v>195</v>
      </c>
    </row>
    <row r="25" spans="1:9" ht="35" customHeight="1">
      <c r="A25" s="5" t="s">
        <v>25</v>
      </c>
      <c r="B25" s="6" t="s">
        <v>26</v>
      </c>
      <c r="C25" s="16" t="s">
        <v>99</v>
      </c>
      <c r="D25" s="8">
        <v>80.2</v>
      </c>
      <c r="E25" s="16" t="s">
        <v>181</v>
      </c>
      <c r="F25" s="10" t="s">
        <v>18</v>
      </c>
      <c r="G25" s="17" t="s">
        <v>196</v>
      </c>
      <c r="H25" s="6" t="s">
        <v>197</v>
      </c>
      <c r="I25" s="6"/>
    </row>
    <row r="26" spans="1:9" ht="35" customHeight="1">
      <c r="A26" s="5" t="s">
        <v>55</v>
      </c>
      <c r="B26" s="6" t="s">
        <v>56</v>
      </c>
      <c r="C26" s="16" t="s">
        <v>120</v>
      </c>
      <c r="D26" s="8">
        <v>77.7</v>
      </c>
      <c r="E26" s="16" t="s">
        <v>178</v>
      </c>
      <c r="F26" s="10" t="s">
        <v>18</v>
      </c>
      <c r="G26" s="17" t="s">
        <v>198</v>
      </c>
      <c r="H26" s="6" t="s">
        <v>180</v>
      </c>
      <c r="I26" s="6" t="s">
        <v>199</v>
      </c>
    </row>
    <row r="27" spans="1:9" ht="35" customHeight="1">
      <c r="A27" s="5" t="s">
        <v>57</v>
      </c>
      <c r="B27" s="6" t="s">
        <v>58</v>
      </c>
      <c r="C27" s="16" t="s">
        <v>120</v>
      </c>
      <c r="D27" s="8">
        <v>77.40000000000001</v>
      </c>
      <c r="E27" s="16" t="s">
        <v>147</v>
      </c>
      <c r="F27" s="10" t="s">
        <v>18</v>
      </c>
      <c r="G27" s="17" t="s">
        <v>200</v>
      </c>
      <c r="H27" s="6" t="s">
        <v>162</v>
      </c>
      <c r="I27" s="6" t="s">
        <v>201</v>
      </c>
    </row>
    <row r="28" spans="1:9" ht="35" customHeight="1">
      <c r="A28" s="5" t="s">
        <v>59</v>
      </c>
      <c r="B28" s="6" t="s">
        <v>60</v>
      </c>
      <c r="C28" s="16" t="s">
        <v>120</v>
      </c>
      <c r="D28" s="8">
        <v>77.2</v>
      </c>
      <c r="E28" s="16" t="s">
        <v>181</v>
      </c>
      <c r="F28" s="10" t="s">
        <v>18</v>
      </c>
      <c r="G28" s="17" t="s">
        <v>202</v>
      </c>
      <c r="H28" s="6" t="s">
        <v>203</v>
      </c>
      <c r="I28" s="6"/>
    </row>
  </sheetData>
  <mergeCells count="2">
    <mergeCell ref="A1:I1"/>
    <mergeCell ref="A2:I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1:N54"/>
  <sheetViews>
    <sheetView showGridLines="0" workbookViewId="0"/>
  </sheetViews>
  <sheetFormatPr defaultRowHeight="15"/>
  <cols>
    <col min="1" max="1" width="3.7109375" customWidth="1"/>
    <col min="2" max="2" width="10.7109375" customWidth="1"/>
    <col min="3" max="3" width="24.7109375" customWidth="1"/>
    <col min="4" max="14" width="14.7109375" customWidth="1"/>
  </cols>
  <sheetData>
    <row r="1" spans="2:14">
      <c r="B1" s="1" t="s">
        <v>204</v>
      </c>
      <c r="C1" s="1"/>
      <c r="D1" s="1"/>
      <c r="E1" s="1"/>
      <c r="F1" s="1"/>
      <c r="G1" s="1"/>
      <c r="H1" s="1"/>
      <c r="I1" s="1"/>
      <c r="J1" s="1"/>
      <c r="K1" s="1"/>
      <c r="L1" s="1"/>
      <c r="M1" s="1"/>
      <c r="N1" s="1"/>
    </row>
    <row r="2" spans="2:14">
      <c r="B2" s="2" t="s">
        <v>205</v>
      </c>
      <c r="C2" s="2"/>
      <c r="D2" s="2"/>
      <c r="E2" s="2"/>
      <c r="F2" s="2"/>
      <c r="G2" s="2"/>
      <c r="H2" s="2"/>
      <c r="I2" s="2"/>
      <c r="J2" s="2"/>
      <c r="K2" s="2"/>
      <c r="L2" s="2"/>
      <c r="M2" s="2"/>
      <c r="N2" s="2"/>
    </row>
    <row r="4" spans="2:14">
      <c r="B4" s="3" t="s">
        <v>206</v>
      </c>
      <c r="C4" s="3"/>
      <c r="D4" s="3"/>
      <c r="E4" s="3"/>
      <c r="F4" s="3"/>
      <c r="G4" s="3"/>
      <c r="H4" s="3"/>
      <c r="I4" s="3"/>
      <c r="J4" s="3"/>
      <c r="K4" s="3"/>
      <c r="L4" s="3"/>
      <c r="M4" s="3"/>
      <c r="N4" s="3"/>
    </row>
    <row r="5" spans="2:14">
      <c r="B5" s="4" t="s">
        <v>3</v>
      </c>
      <c r="C5" s="4" t="s">
        <v>4</v>
      </c>
      <c r="D5" s="4" t="s">
        <v>96</v>
      </c>
      <c r="E5" s="4" t="s">
        <v>6</v>
      </c>
      <c r="F5" s="4" t="s">
        <v>8</v>
      </c>
      <c r="G5" s="4" t="s">
        <v>207</v>
      </c>
      <c r="H5" s="4" t="s">
        <v>208</v>
      </c>
      <c r="I5" s="4" t="s">
        <v>5</v>
      </c>
      <c r="J5" s="4" t="s">
        <v>71</v>
      </c>
      <c r="K5" s="4" t="s">
        <v>209</v>
      </c>
      <c r="L5" s="4" t="s">
        <v>210</v>
      </c>
      <c r="M5" s="4" t="s">
        <v>211</v>
      </c>
      <c r="N5" s="4" t="s">
        <v>212</v>
      </c>
    </row>
    <row r="6" spans="2:14">
      <c r="B6" s="5" t="s">
        <v>9</v>
      </c>
      <c r="C6" s="6" t="s">
        <v>10</v>
      </c>
      <c r="D6" s="16" t="s">
        <v>99</v>
      </c>
      <c r="E6" s="8">
        <v>97.2</v>
      </c>
      <c r="F6" s="9" t="s">
        <v>11</v>
      </c>
      <c r="G6" s="18" t="s">
        <v>11</v>
      </c>
      <c r="H6" s="15">
        <v>4.8</v>
      </c>
      <c r="I6" s="7">
        <v>55.8</v>
      </c>
      <c r="J6" s="14">
        <v>26</v>
      </c>
      <c r="K6" s="14">
        <v>26.95</v>
      </c>
      <c r="L6" s="14">
        <v>14.23</v>
      </c>
      <c r="M6" s="15">
        <v>-3.5</v>
      </c>
      <c r="N6" s="11"/>
    </row>
    <row r="7" spans="2:14">
      <c r="B7" s="5" t="s">
        <v>28</v>
      </c>
      <c r="C7" s="6" t="s">
        <v>29</v>
      </c>
      <c r="D7" s="16" t="s">
        <v>111</v>
      </c>
      <c r="E7" s="8">
        <v>89.40000000000001</v>
      </c>
      <c r="F7" s="9" t="s">
        <v>11</v>
      </c>
      <c r="G7" s="19" t="s">
        <v>213</v>
      </c>
      <c r="H7" s="15">
        <v>8</v>
      </c>
      <c r="I7" s="7">
        <v>701.4</v>
      </c>
      <c r="J7" s="14">
        <v>5.24</v>
      </c>
      <c r="K7" s="14">
        <v>16.82</v>
      </c>
      <c r="L7" s="14">
        <v>3.845</v>
      </c>
      <c r="M7" s="15">
        <v>-68.8</v>
      </c>
      <c r="N7" s="11"/>
    </row>
    <row r="8" spans="2:14">
      <c r="B8" s="5" t="s">
        <v>12</v>
      </c>
      <c r="C8" s="6" t="s">
        <v>13</v>
      </c>
      <c r="D8" s="16" t="s">
        <v>99</v>
      </c>
      <c r="E8" s="8">
        <v>88.40000000000001</v>
      </c>
      <c r="F8" s="9" t="s">
        <v>11</v>
      </c>
      <c r="G8" s="18" t="s">
        <v>11</v>
      </c>
      <c r="H8" s="15">
        <v>4.8</v>
      </c>
      <c r="I8" s="7">
        <v>68</v>
      </c>
      <c r="J8" s="14">
        <v>3.74</v>
      </c>
      <c r="K8" s="14">
        <v>6.75</v>
      </c>
      <c r="L8" s="14">
        <v>1.13</v>
      </c>
      <c r="M8" s="15">
        <v>-44.6</v>
      </c>
      <c r="N8" s="11"/>
    </row>
    <row r="9" spans="2:14">
      <c r="B9" s="5" t="s">
        <v>30</v>
      </c>
      <c r="C9" s="6" t="s">
        <v>31</v>
      </c>
      <c r="D9" s="16" t="s">
        <v>111</v>
      </c>
      <c r="E9" s="8">
        <v>87.8</v>
      </c>
      <c r="F9" s="9" t="s">
        <v>11</v>
      </c>
      <c r="G9" s="19" t="s">
        <v>213</v>
      </c>
      <c r="H9" s="15">
        <v>8</v>
      </c>
      <c r="I9" s="7">
        <v>1506</v>
      </c>
      <c r="J9" s="14">
        <v>17.42</v>
      </c>
      <c r="K9" s="14">
        <v>20.82</v>
      </c>
      <c r="L9" s="14">
        <v>8.35</v>
      </c>
      <c r="M9" s="15">
        <v>-16.3</v>
      </c>
      <c r="N9" s="11"/>
    </row>
    <row r="10" spans="2:14">
      <c r="B10" s="5" t="s">
        <v>32</v>
      </c>
      <c r="C10" s="6" t="s">
        <v>33</v>
      </c>
      <c r="D10" s="16" t="s">
        <v>111</v>
      </c>
      <c r="E10" s="8">
        <v>87.7</v>
      </c>
      <c r="F10" s="9" t="s">
        <v>11</v>
      </c>
      <c r="G10" s="19" t="s">
        <v>213</v>
      </c>
      <c r="H10" s="15">
        <v>8</v>
      </c>
      <c r="I10" s="7">
        <v>1849</v>
      </c>
      <c r="J10" s="14">
        <v>45.45</v>
      </c>
      <c r="K10" s="14">
        <v>47.38</v>
      </c>
      <c r="L10" s="14">
        <v>27.074</v>
      </c>
      <c r="M10" s="15">
        <v>-4.1</v>
      </c>
      <c r="N10" s="11"/>
    </row>
    <row r="11" spans="2:14">
      <c r="B11" s="5" t="s">
        <v>34</v>
      </c>
      <c r="C11" s="6" t="s">
        <v>35</v>
      </c>
      <c r="D11" s="16" t="s">
        <v>111</v>
      </c>
      <c r="E11" s="8">
        <v>87.3</v>
      </c>
      <c r="F11" s="9" t="s">
        <v>11</v>
      </c>
      <c r="G11" s="19" t="s">
        <v>213</v>
      </c>
      <c r="H11" s="15">
        <v>8</v>
      </c>
      <c r="I11" s="7">
        <v>821.2</v>
      </c>
      <c r="J11" s="14">
        <v>10.25</v>
      </c>
      <c r="K11" s="14">
        <v>11.1</v>
      </c>
      <c r="L11" s="14">
        <v>6.93</v>
      </c>
      <c r="M11" s="15">
        <v>-7.7</v>
      </c>
      <c r="N11" s="11"/>
    </row>
    <row r="12" spans="2:14">
      <c r="B12" s="5" t="s">
        <v>36</v>
      </c>
      <c r="C12" s="6" t="s">
        <v>37</v>
      </c>
      <c r="D12" s="16" t="s">
        <v>111</v>
      </c>
      <c r="E12" s="8">
        <v>87.2</v>
      </c>
      <c r="F12" s="9" t="s">
        <v>11</v>
      </c>
      <c r="G12" s="20" t="s">
        <v>18</v>
      </c>
      <c r="H12" s="15">
        <v>8</v>
      </c>
      <c r="I12" s="7">
        <v>581.6</v>
      </c>
      <c r="J12" s="14">
        <v>29.19</v>
      </c>
      <c r="K12" s="14">
        <v>29.6</v>
      </c>
      <c r="L12" s="14">
        <v>11.97</v>
      </c>
      <c r="M12" s="15">
        <v>-1.4</v>
      </c>
      <c r="N12" s="11"/>
    </row>
    <row r="13" spans="2:14">
      <c r="B13" s="5" t="s">
        <v>14</v>
      </c>
      <c r="C13" s="6" t="s">
        <v>15</v>
      </c>
      <c r="D13" s="16" t="s">
        <v>99</v>
      </c>
      <c r="E13" s="8">
        <v>86.5</v>
      </c>
      <c r="F13" s="9" t="s">
        <v>11</v>
      </c>
      <c r="G13" s="20" t="s">
        <v>18</v>
      </c>
      <c r="H13" s="15">
        <v>4.8</v>
      </c>
      <c r="I13" s="7">
        <v>159.4</v>
      </c>
      <c r="J13" s="14">
        <v>14.14</v>
      </c>
      <c r="K13" s="14">
        <v>14.89</v>
      </c>
      <c r="L13" s="14">
        <v>5.76</v>
      </c>
      <c r="M13" s="15">
        <v>-5</v>
      </c>
      <c r="N13" s="11"/>
    </row>
    <row r="14" spans="2:14">
      <c r="B14" s="5" t="s">
        <v>38</v>
      </c>
      <c r="C14" s="6" t="s">
        <v>39</v>
      </c>
      <c r="D14" s="16" t="s">
        <v>111</v>
      </c>
      <c r="E14" s="8">
        <v>86</v>
      </c>
      <c r="F14" s="9" t="s">
        <v>11</v>
      </c>
      <c r="G14" s="19" t="s">
        <v>213</v>
      </c>
      <c r="H14" s="15">
        <v>8</v>
      </c>
      <c r="I14" s="7">
        <v>725.3</v>
      </c>
      <c r="J14" s="14">
        <v>2.21</v>
      </c>
      <c r="K14" s="14">
        <v>7.12</v>
      </c>
      <c r="L14" s="14">
        <v>1.09</v>
      </c>
      <c r="M14" s="15">
        <v>-69</v>
      </c>
      <c r="N14" s="11"/>
    </row>
    <row r="15" spans="2:14">
      <c r="B15" s="5" t="s">
        <v>40</v>
      </c>
      <c r="C15" s="6" t="s">
        <v>41</v>
      </c>
      <c r="D15" s="16" t="s">
        <v>111</v>
      </c>
      <c r="E15" s="8">
        <v>85.59999999999999</v>
      </c>
      <c r="F15" s="9" t="s">
        <v>11</v>
      </c>
      <c r="G15" s="20" t="s">
        <v>18</v>
      </c>
      <c r="H15" s="15">
        <v>8</v>
      </c>
      <c r="I15" s="7">
        <v>440.2</v>
      </c>
      <c r="J15" s="14">
        <v>31.79</v>
      </c>
      <c r="K15" s="14">
        <v>46.76</v>
      </c>
      <c r="L15" s="14">
        <v>23.78</v>
      </c>
      <c r="M15" s="15">
        <v>-32</v>
      </c>
      <c r="N15" s="11"/>
    </row>
    <row r="16" spans="2:14">
      <c r="B16" s="5" t="s">
        <v>42</v>
      </c>
      <c r="C16" s="6" t="s">
        <v>43</v>
      </c>
      <c r="D16" s="16" t="s">
        <v>111</v>
      </c>
      <c r="E16" s="8">
        <v>85.40000000000001</v>
      </c>
      <c r="F16" s="9" t="s">
        <v>11</v>
      </c>
      <c r="G16" s="19" t="s">
        <v>213</v>
      </c>
      <c r="H16" s="15">
        <v>8</v>
      </c>
      <c r="I16" s="7">
        <v>517.7</v>
      </c>
      <c r="J16" s="14">
        <v>29.12</v>
      </c>
      <c r="K16" s="14">
        <v>29.15</v>
      </c>
      <c r="L16" s="14">
        <v>5.3</v>
      </c>
      <c r="M16" s="15">
        <v>-0.1</v>
      </c>
      <c r="N16" s="11"/>
    </row>
    <row r="17" spans="2:14">
      <c r="B17" s="5" t="s">
        <v>16</v>
      </c>
      <c r="C17" s="6" t="s">
        <v>17</v>
      </c>
      <c r="D17" s="16" t="s">
        <v>99</v>
      </c>
      <c r="E17" s="8">
        <v>84.90000000000001</v>
      </c>
      <c r="F17" s="10" t="s">
        <v>18</v>
      </c>
      <c r="G17" s="18" t="s">
        <v>11</v>
      </c>
      <c r="H17" s="15">
        <v>3</v>
      </c>
      <c r="I17" s="7">
        <v>98.5</v>
      </c>
      <c r="J17" s="14">
        <v>3.3</v>
      </c>
      <c r="K17" s="14">
        <v>12.07</v>
      </c>
      <c r="L17" s="14">
        <v>1.81</v>
      </c>
      <c r="M17" s="15">
        <v>-72.7</v>
      </c>
      <c r="N17" s="11"/>
    </row>
    <row r="18" spans="2:14">
      <c r="B18" s="5" t="s">
        <v>19</v>
      </c>
      <c r="C18" s="6" t="s">
        <v>20</v>
      </c>
      <c r="D18" s="16" t="s">
        <v>99</v>
      </c>
      <c r="E18" s="8">
        <v>84.59999999999999</v>
      </c>
      <c r="F18" s="10" t="s">
        <v>18</v>
      </c>
      <c r="G18" s="20" t="s">
        <v>18</v>
      </c>
      <c r="H18" s="15">
        <v>3</v>
      </c>
      <c r="I18" s="7">
        <v>281.2</v>
      </c>
      <c r="J18" s="14">
        <v>89.18000000000001</v>
      </c>
      <c r="K18" s="14">
        <v>90.37</v>
      </c>
      <c r="L18" s="14">
        <v>29.5</v>
      </c>
      <c r="M18" s="15">
        <v>-1.3</v>
      </c>
      <c r="N18" s="11"/>
    </row>
    <row r="19" spans="2:14">
      <c r="B19" s="5" t="s">
        <v>45</v>
      </c>
      <c r="C19" s="6" t="s">
        <v>46</v>
      </c>
      <c r="D19" s="16" t="s">
        <v>120</v>
      </c>
      <c r="E19" s="8">
        <v>84.09999999999999</v>
      </c>
      <c r="F19" s="10" t="s">
        <v>18</v>
      </c>
      <c r="G19" s="21" t="s">
        <v>214</v>
      </c>
      <c r="H19" s="15">
        <v>6</v>
      </c>
      <c r="I19" s="7">
        <v>3892.6</v>
      </c>
      <c r="J19" s="14">
        <v>17.57</v>
      </c>
      <c r="K19" s="14">
        <v>20.55</v>
      </c>
      <c r="L19" s="14">
        <v>2.94</v>
      </c>
      <c r="M19" s="15">
        <v>-14.5</v>
      </c>
      <c r="N19" s="11"/>
    </row>
    <row r="20" spans="2:14">
      <c r="B20" s="5" t="s">
        <v>47</v>
      </c>
      <c r="C20" s="6" t="s">
        <v>48</v>
      </c>
      <c r="D20" s="16" t="s">
        <v>120</v>
      </c>
      <c r="E20" s="8">
        <v>83.40000000000001</v>
      </c>
      <c r="F20" s="10" t="s">
        <v>18</v>
      </c>
      <c r="G20" s="21" t="s">
        <v>214</v>
      </c>
      <c r="H20" s="15">
        <v>6</v>
      </c>
      <c r="I20" s="7">
        <v>6312.9</v>
      </c>
      <c r="J20" s="14">
        <v>34.07</v>
      </c>
      <c r="K20" s="14">
        <v>43.86</v>
      </c>
      <c r="L20" s="14">
        <v>16.38</v>
      </c>
      <c r="M20" s="15">
        <v>-22.3</v>
      </c>
      <c r="N20" s="11"/>
    </row>
    <row r="21" spans="2:14">
      <c r="B21" s="5" t="s">
        <v>49</v>
      </c>
      <c r="C21" s="6" t="s">
        <v>50</v>
      </c>
      <c r="D21" s="16" t="s">
        <v>120</v>
      </c>
      <c r="E21" s="8">
        <v>81.7</v>
      </c>
      <c r="F21" s="10" t="s">
        <v>18</v>
      </c>
      <c r="G21" s="20" t="s">
        <v>18</v>
      </c>
      <c r="H21" s="15">
        <v>6</v>
      </c>
      <c r="I21" s="7">
        <v>3670.2</v>
      </c>
      <c r="J21" s="14">
        <v>67.02</v>
      </c>
      <c r="K21" s="14">
        <v>69.5166</v>
      </c>
      <c r="L21" s="14">
        <v>6.2</v>
      </c>
      <c r="M21" s="15">
        <v>-3.6</v>
      </c>
      <c r="N21" s="11"/>
    </row>
    <row r="22" spans="2:14">
      <c r="B22" s="5" t="s">
        <v>21</v>
      </c>
      <c r="C22" s="6" t="s">
        <v>22</v>
      </c>
      <c r="D22" s="16" t="s">
        <v>99</v>
      </c>
      <c r="E22" s="8">
        <v>81.5</v>
      </c>
      <c r="F22" s="10" t="s">
        <v>18</v>
      </c>
      <c r="G22" s="20" t="s">
        <v>18</v>
      </c>
      <c r="H22" s="15">
        <v>3</v>
      </c>
      <c r="I22" s="7">
        <v>135.5</v>
      </c>
      <c r="J22" s="14">
        <v>12.65</v>
      </c>
      <c r="K22" s="14">
        <v>13.09</v>
      </c>
      <c r="L22" s="14">
        <v>3.39</v>
      </c>
      <c r="M22" s="15">
        <v>-3.4</v>
      </c>
      <c r="N22" s="11"/>
    </row>
    <row r="23" spans="2:14">
      <c r="B23" s="5" t="s">
        <v>51</v>
      </c>
      <c r="C23" s="6" t="s">
        <v>52</v>
      </c>
      <c r="D23" s="16" t="s">
        <v>120</v>
      </c>
      <c r="E23" s="8">
        <v>81</v>
      </c>
      <c r="F23" s="10" t="s">
        <v>18</v>
      </c>
      <c r="G23" s="21" t="s">
        <v>214</v>
      </c>
      <c r="H23" s="15">
        <v>6</v>
      </c>
      <c r="I23" s="7">
        <v>13084</v>
      </c>
      <c r="J23" s="14">
        <v>98.88</v>
      </c>
      <c r="K23" s="14">
        <v>118.38</v>
      </c>
      <c r="L23" s="14">
        <v>25.025</v>
      </c>
      <c r="M23" s="15">
        <v>-16.5</v>
      </c>
      <c r="N23" s="11"/>
    </row>
    <row r="24" spans="2:14">
      <c r="B24" s="5" t="s">
        <v>53</v>
      </c>
      <c r="C24" s="6" t="s">
        <v>54</v>
      </c>
      <c r="D24" s="16" t="s">
        <v>120</v>
      </c>
      <c r="E24" s="8">
        <v>80.7</v>
      </c>
      <c r="F24" s="10" t="s">
        <v>18</v>
      </c>
      <c r="G24" s="21" t="s">
        <v>214</v>
      </c>
      <c r="H24" s="15">
        <v>6</v>
      </c>
      <c r="I24" s="7">
        <v>2225.8</v>
      </c>
      <c r="J24" s="14">
        <v>44.72</v>
      </c>
      <c r="K24" s="14">
        <v>73.867</v>
      </c>
      <c r="L24" s="14">
        <v>18.59</v>
      </c>
      <c r="M24" s="15">
        <v>-39.5</v>
      </c>
      <c r="N24" s="11"/>
    </row>
    <row r="25" spans="2:14">
      <c r="B25" s="5" t="s">
        <v>23</v>
      </c>
      <c r="C25" s="6" t="s">
        <v>24</v>
      </c>
      <c r="D25" s="16" t="s">
        <v>99</v>
      </c>
      <c r="E25" s="8">
        <v>80.40000000000001</v>
      </c>
      <c r="F25" s="10" t="s">
        <v>18</v>
      </c>
      <c r="G25" s="20" t="s">
        <v>18</v>
      </c>
      <c r="H25" s="15">
        <v>3</v>
      </c>
      <c r="I25" s="7">
        <v>246.6</v>
      </c>
      <c r="J25" s="14">
        <v>10.79</v>
      </c>
      <c r="K25" s="14">
        <v>17.24</v>
      </c>
      <c r="L25" s="14">
        <v>4.335</v>
      </c>
      <c r="M25" s="15">
        <v>-37.4</v>
      </c>
      <c r="N25" s="11"/>
    </row>
    <row r="26" spans="2:14">
      <c r="B26" s="5" t="s">
        <v>25</v>
      </c>
      <c r="C26" s="6" t="s">
        <v>26</v>
      </c>
      <c r="D26" s="16" t="s">
        <v>99</v>
      </c>
      <c r="E26" s="8">
        <v>80.2</v>
      </c>
      <c r="F26" s="10" t="s">
        <v>18</v>
      </c>
      <c r="G26" s="18" t="s">
        <v>11</v>
      </c>
      <c r="H26" s="15">
        <v>3</v>
      </c>
      <c r="I26" s="7">
        <v>59.6</v>
      </c>
      <c r="J26" s="14">
        <v>1.08</v>
      </c>
      <c r="K26" s="14">
        <v>3.68</v>
      </c>
      <c r="L26" s="14">
        <v>0.86</v>
      </c>
      <c r="M26" s="15">
        <v>-70.7</v>
      </c>
      <c r="N26" s="11"/>
    </row>
    <row r="27" spans="2:14">
      <c r="B27" s="5" t="s">
        <v>55</v>
      </c>
      <c r="C27" s="6" t="s">
        <v>56</v>
      </c>
      <c r="D27" s="16" t="s">
        <v>120</v>
      </c>
      <c r="E27" s="8">
        <v>77.7</v>
      </c>
      <c r="F27" s="10" t="s">
        <v>18</v>
      </c>
      <c r="G27" s="21" t="s">
        <v>214</v>
      </c>
      <c r="H27" s="15">
        <v>6</v>
      </c>
      <c r="I27" s="7">
        <v>2823.9</v>
      </c>
      <c r="J27" s="14">
        <v>12.17</v>
      </c>
      <c r="K27" s="14">
        <v>22.44</v>
      </c>
      <c r="L27" s="14">
        <v>5.38</v>
      </c>
      <c r="M27" s="15">
        <v>-45.8</v>
      </c>
      <c r="N27" s="11"/>
    </row>
    <row r="28" spans="2:14">
      <c r="B28" s="5" t="s">
        <v>57</v>
      </c>
      <c r="C28" s="6" t="s">
        <v>58</v>
      </c>
      <c r="D28" s="16" t="s">
        <v>120</v>
      </c>
      <c r="E28" s="8">
        <v>77.40000000000001</v>
      </c>
      <c r="F28" s="10" t="s">
        <v>18</v>
      </c>
      <c r="G28" s="20" t="s">
        <v>18</v>
      </c>
      <c r="H28" s="15">
        <v>6</v>
      </c>
      <c r="I28" s="7">
        <v>10823.1</v>
      </c>
      <c r="J28" s="14">
        <v>341</v>
      </c>
      <c r="K28" s="14">
        <v>354.2</v>
      </c>
      <c r="L28" s="14">
        <v>143.67</v>
      </c>
      <c r="M28" s="15">
        <v>-3.7</v>
      </c>
      <c r="N28" s="11"/>
    </row>
    <row r="29" spans="2:14">
      <c r="B29" s="5" t="s">
        <v>59</v>
      </c>
      <c r="C29" s="6" t="s">
        <v>60</v>
      </c>
      <c r="D29" s="16" t="s">
        <v>120</v>
      </c>
      <c r="E29" s="8">
        <v>77.2</v>
      </c>
      <c r="F29" s="10" t="s">
        <v>18</v>
      </c>
      <c r="G29" s="21" t="s">
        <v>214</v>
      </c>
      <c r="H29" s="15">
        <v>6</v>
      </c>
      <c r="I29" s="7">
        <v>5454.1</v>
      </c>
      <c r="J29" s="14">
        <v>129.27</v>
      </c>
      <c r="K29" s="14">
        <v>155.82</v>
      </c>
      <c r="L29" s="14">
        <v>48.59</v>
      </c>
      <c r="M29" s="15">
        <v>-17</v>
      </c>
      <c r="N29" s="11"/>
    </row>
    <row r="31" spans="2:14">
      <c r="B31" s="5" t="s">
        <v>215</v>
      </c>
      <c r="H31" s="15">
        <v>141.4</v>
      </c>
      <c r="I31" s="6" t="s">
        <v>216</v>
      </c>
    </row>
    <row r="33" spans="2:9">
      <c r="B33" s="3" t="s">
        <v>217</v>
      </c>
      <c r="C33" s="3"/>
      <c r="D33" s="3"/>
      <c r="E33" s="3"/>
      <c r="F33" s="3"/>
      <c r="G33" s="3"/>
      <c r="H33" s="3"/>
      <c r="I33" s="3"/>
    </row>
    <row r="34" spans="2:9">
      <c r="B34" s="13" t="s">
        <v>70</v>
      </c>
      <c r="C34" s="4" t="s">
        <v>218</v>
      </c>
      <c r="D34" s="13" t="s">
        <v>219</v>
      </c>
    </row>
    <row r="35" spans="2:9">
      <c r="B35" s="6" t="s">
        <v>84</v>
      </c>
      <c r="C35" s="11">
        <v>6</v>
      </c>
      <c r="D35" s="6" t="s">
        <v>220</v>
      </c>
    </row>
    <row r="36" spans="2:9">
      <c r="B36" s="6" t="s">
        <v>86</v>
      </c>
      <c r="C36" s="11">
        <v>6</v>
      </c>
      <c r="D36" s="6" t="s">
        <v>221</v>
      </c>
    </row>
    <row r="37" spans="2:9">
      <c r="B37" s="6" t="s">
        <v>85</v>
      </c>
      <c r="C37" s="11">
        <v>3</v>
      </c>
      <c r="D37" s="6" t="s">
        <v>222</v>
      </c>
    </row>
    <row r="38" spans="2:9">
      <c r="B38" s="6" t="s">
        <v>87</v>
      </c>
      <c r="C38" s="11">
        <v>3</v>
      </c>
      <c r="D38" s="6" t="s">
        <v>223</v>
      </c>
    </row>
    <row r="39" spans="2:9">
      <c r="B39" s="6" t="s">
        <v>91</v>
      </c>
      <c r="C39" s="11">
        <v>3</v>
      </c>
      <c r="D39" s="6" t="s">
        <v>224</v>
      </c>
    </row>
    <row r="40" spans="2:9">
      <c r="B40" s="6" t="s">
        <v>88</v>
      </c>
      <c r="C40" s="11">
        <v>2</v>
      </c>
      <c r="D40" s="6" t="s">
        <v>225</v>
      </c>
    </row>
    <row r="41" spans="2:9">
      <c r="B41" s="6" t="s">
        <v>90</v>
      </c>
      <c r="C41" s="11">
        <v>1</v>
      </c>
      <c r="D41" s="6" t="s">
        <v>28</v>
      </c>
    </row>
    <row r="43" spans="2:9">
      <c r="B43" s="3" t="s">
        <v>226</v>
      </c>
      <c r="C43" s="3"/>
      <c r="D43" s="3"/>
      <c r="E43" s="3"/>
      <c r="F43" s="3"/>
      <c r="G43" s="3"/>
    </row>
    <row r="44" spans="2:9">
      <c r="B44" s="13" t="s">
        <v>96</v>
      </c>
      <c r="C44" s="4" t="s">
        <v>227</v>
      </c>
      <c r="D44" s="4" t="s">
        <v>228</v>
      </c>
      <c r="E44" s="4" t="s">
        <v>64</v>
      </c>
      <c r="F44" s="4" t="s">
        <v>229</v>
      </c>
    </row>
    <row r="45" spans="2:9">
      <c r="B45" s="6" t="s">
        <v>99</v>
      </c>
      <c r="C45" s="11">
        <v>8</v>
      </c>
      <c r="D45" s="12">
        <v>85.5</v>
      </c>
      <c r="E45" s="15">
        <v>52.4</v>
      </c>
      <c r="F45" s="15">
        <v>29.4</v>
      </c>
    </row>
    <row r="46" spans="2:9">
      <c r="B46" s="6" t="s">
        <v>111</v>
      </c>
      <c r="C46" s="11">
        <v>8</v>
      </c>
      <c r="D46" s="12">
        <v>87</v>
      </c>
      <c r="E46" s="15">
        <v>34</v>
      </c>
      <c r="F46" s="15">
        <v>64</v>
      </c>
    </row>
    <row r="47" spans="2:9">
      <c r="B47" s="6" t="s">
        <v>120</v>
      </c>
      <c r="C47" s="11">
        <v>8</v>
      </c>
      <c r="D47" s="12">
        <v>80.40000000000001</v>
      </c>
      <c r="E47" s="15">
        <v>47.9</v>
      </c>
      <c r="F47" s="15">
        <v>48</v>
      </c>
    </row>
    <row r="49" spans="2:6">
      <c r="B49" s="3" t="s">
        <v>230</v>
      </c>
      <c r="C49" s="3"/>
      <c r="D49" s="3"/>
      <c r="E49" s="3"/>
      <c r="F49" s="3"/>
    </row>
    <row r="50" spans="2:6">
      <c r="B50" s="13" t="s">
        <v>231</v>
      </c>
      <c r="C50" s="4" t="s">
        <v>227</v>
      </c>
      <c r="D50" s="4" t="s">
        <v>232</v>
      </c>
    </row>
    <row r="51" spans="2:6">
      <c r="B51" s="21" t="s">
        <v>214</v>
      </c>
      <c r="C51" s="11">
        <v>6</v>
      </c>
      <c r="D51" s="15">
        <v>25</v>
      </c>
    </row>
    <row r="52" spans="2:6">
      <c r="B52" s="19" t="s">
        <v>213</v>
      </c>
      <c r="C52" s="11">
        <v>6</v>
      </c>
      <c r="D52" s="15">
        <v>25</v>
      </c>
    </row>
    <row r="53" spans="2:6">
      <c r="B53" s="20" t="s">
        <v>18</v>
      </c>
      <c r="C53" s="11">
        <v>8</v>
      </c>
      <c r="D53" s="15">
        <v>33.3</v>
      </c>
    </row>
    <row r="54" spans="2:6">
      <c r="B54" s="18" t="s">
        <v>11</v>
      </c>
      <c r="C54" s="11">
        <v>4</v>
      </c>
      <c r="D54" s="15">
        <v>16.7</v>
      </c>
    </row>
  </sheetData>
  <mergeCells count="6">
    <mergeCell ref="B1:N1"/>
    <mergeCell ref="B2:N2"/>
    <mergeCell ref="B4:N4"/>
    <mergeCell ref="B33:I33"/>
    <mergeCell ref="B43:G43"/>
    <mergeCell ref="B49:F49"/>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B1:H37"/>
  <sheetViews>
    <sheetView showGridLines="0" workbookViewId="0"/>
  </sheetViews>
  <sheetFormatPr defaultRowHeight="15"/>
  <cols>
    <col min="1" max="1" width="3.7109375" customWidth="1"/>
    <col min="2" max="2" width="10.7109375" customWidth="1"/>
    <col min="3" max="3" width="24.7109375" customWidth="1"/>
    <col min="4" max="8" width="14.7109375" customWidth="1"/>
  </cols>
  <sheetData>
    <row r="1" spans="2:8">
      <c r="B1" s="1" t="s">
        <v>233</v>
      </c>
      <c r="C1" s="1"/>
      <c r="D1" s="1"/>
      <c r="E1" s="1"/>
      <c r="F1" s="1"/>
      <c r="G1" s="1"/>
      <c r="H1" s="1"/>
    </row>
    <row r="2" spans="2:8">
      <c r="B2" s="2" t="s">
        <v>234</v>
      </c>
      <c r="C2" s="2"/>
      <c r="D2" s="2"/>
      <c r="E2" s="2"/>
      <c r="F2" s="2"/>
      <c r="G2" s="2"/>
      <c r="H2" s="2"/>
    </row>
    <row r="4" spans="2:8">
      <c r="B4" s="3" t="s">
        <v>235</v>
      </c>
      <c r="C4" s="3"/>
      <c r="D4" s="3"/>
      <c r="E4" s="3"/>
      <c r="F4" s="3"/>
      <c r="G4" s="3"/>
      <c r="H4" s="3"/>
    </row>
    <row r="5" spans="2:8">
      <c r="B5" s="13" t="s">
        <v>236</v>
      </c>
      <c r="C5" s="4" t="s">
        <v>237</v>
      </c>
      <c r="D5" s="4" t="s">
        <v>238</v>
      </c>
      <c r="E5" s="4" t="s">
        <v>239</v>
      </c>
      <c r="F5" s="4" t="s">
        <v>240</v>
      </c>
    </row>
    <row r="6" spans="2:8">
      <c r="B6" s="6" t="s">
        <v>241</v>
      </c>
      <c r="C6" s="12">
        <v>0.3</v>
      </c>
      <c r="D6" s="12">
        <v>0.4</v>
      </c>
      <c r="E6" s="12">
        <v>0.2</v>
      </c>
      <c r="F6" s="12">
        <v>0.2</v>
      </c>
    </row>
    <row r="7" spans="2:8">
      <c r="B7" s="6" t="s">
        <v>242</v>
      </c>
      <c r="C7" s="12">
        <v>0.2</v>
      </c>
      <c r="D7" s="12">
        <v>0.15</v>
      </c>
      <c r="E7" s="12">
        <v>0.3</v>
      </c>
      <c r="F7" s="12">
        <v>0.15</v>
      </c>
    </row>
    <row r="8" spans="2:8">
      <c r="B8" s="6" t="s">
        <v>243</v>
      </c>
      <c r="C8" s="12">
        <v>0.2</v>
      </c>
      <c r="D8" s="12">
        <v>0.15</v>
      </c>
      <c r="E8" s="12">
        <v>0.25</v>
      </c>
      <c r="F8" s="12">
        <v>0.2</v>
      </c>
    </row>
    <row r="9" spans="2:8">
      <c r="B9" s="6" t="s">
        <v>244</v>
      </c>
      <c r="C9" s="12">
        <v>0.15</v>
      </c>
      <c r="D9" s="12">
        <v>0.1</v>
      </c>
      <c r="E9" s="12">
        <v>0.15</v>
      </c>
      <c r="F9" s="12">
        <v>0.35</v>
      </c>
    </row>
    <row r="10" spans="2:8">
      <c r="B10" s="6" t="s">
        <v>245</v>
      </c>
      <c r="C10" s="12">
        <v>0.15</v>
      </c>
      <c r="D10" s="12">
        <v>0.2</v>
      </c>
      <c r="E10" s="12">
        <v>0.1</v>
      </c>
      <c r="F10" s="12">
        <v>0.1</v>
      </c>
    </row>
    <row r="12" spans="2:8">
      <c r="B12" s="3" t="s">
        <v>246</v>
      </c>
      <c r="C12" s="3"/>
      <c r="D12" s="3"/>
      <c r="E12" s="3"/>
      <c r="F12" s="3"/>
      <c r="G12" s="3"/>
      <c r="H12" s="3"/>
    </row>
    <row r="13" spans="2:8">
      <c r="B13" s="13" t="s">
        <v>3</v>
      </c>
      <c r="C13" s="13" t="s">
        <v>4</v>
      </c>
      <c r="D13" s="4" t="s">
        <v>237</v>
      </c>
      <c r="E13" s="4" t="s">
        <v>238</v>
      </c>
      <c r="F13" s="4" t="s">
        <v>239</v>
      </c>
      <c r="G13" s="4" t="s">
        <v>240</v>
      </c>
      <c r="H13" s="4" t="s">
        <v>247</v>
      </c>
    </row>
    <row r="14" spans="2:8">
      <c r="B14" s="5" t="s">
        <v>9</v>
      </c>
      <c r="C14" s="6" t="s">
        <v>10</v>
      </c>
      <c r="D14" s="8">
        <v>97.2</v>
      </c>
      <c r="E14" s="8">
        <v>97.59999999999999</v>
      </c>
      <c r="F14" s="8">
        <v>96.5</v>
      </c>
      <c r="G14" s="8">
        <v>97.8</v>
      </c>
      <c r="H14" s="12">
        <v>1.3</v>
      </c>
    </row>
    <row r="15" spans="2:8">
      <c r="B15" s="5" t="s">
        <v>28</v>
      </c>
      <c r="C15" s="6" t="s">
        <v>29</v>
      </c>
      <c r="D15" s="8">
        <v>89.40000000000001</v>
      </c>
      <c r="E15" s="8">
        <v>89.40000000000001</v>
      </c>
      <c r="F15" s="8">
        <v>89.40000000000001</v>
      </c>
      <c r="G15" s="8">
        <v>89.40000000000001</v>
      </c>
      <c r="H15" s="12">
        <v>0</v>
      </c>
    </row>
    <row r="16" spans="2:8">
      <c r="B16" s="5" t="s">
        <v>12</v>
      </c>
      <c r="C16" s="6" t="s">
        <v>13</v>
      </c>
      <c r="D16" s="8">
        <v>88.40000000000001</v>
      </c>
      <c r="E16" s="8">
        <v>86.7</v>
      </c>
      <c r="F16" s="8">
        <v>90.2</v>
      </c>
      <c r="G16" s="8">
        <v>90.2</v>
      </c>
      <c r="H16" s="12">
        <v>3.5</v>
      </c>
    </row>
    <row r="17" spans="2:8">
      <c r="B17" s="5" t="s">
        <v>30</v>
      </c>
      <c r="C17" s="6" t="s">
        <v>31</v>
      </c>
      <c r="D17" s="8">
        <v>87.8</v>
      </c>
      <c r="E17" s="8">
        <v>89.09999999999999</v>
      </c>
      <c r="F17" s="8">
        <v>87.5</v>
      </c>
      <c r="G17" s="8">
        <v>84.2</v>
      </c>
      <c r="H17" s="12">
        <v>4.9</v>
      </c>
    </row>
    <row r="18" spans="2:8">
      <c r="B18" s="5" t="s">
        <v>32</v>
      </c>
      <c r="C18" s="6" t="s">
        <v>33</v>
      </c>
      <c r="D18" s="8">
        <v>87.7</v>
      </c>
      <c r="E18" s="8">
        <v>87.3</v>
      </c>
      <c r="F18" s="8">
        <v>88.09999999999999</v>
      </c>
      <c r="G18" s="8">
        <v>88.59999999999999</v>
      </c>
      <c r="H18" s="12">
        <v>1.3</v>
      </c>
    </row>
    <row r="19" spans="2:8">
      <c r="B19" s="5" t="s">
        <v>34</v>
      </c>
      <c r="C19" s="6" t="s">
        <v>35</v>
      </c>
      <c r="D19" s="8">
        <v>87.3</v>
      </c>
      <c r="E19" s="8">
        <v>83.3</v>
      </c>
      <c r="F19" s="8">
        <v>91.3</v>
      </c>
      <c r="G19" s="8">
        <v>91.5</v>
      </c>
      <c r="H19" s="12">
        <v>8.199999999999999</v>
      </c>
    </row>
    <row r="20" spans="2:8">
      <c r="B20" s="5" t="s">
        <v>36</v>
      </c>
      <c r="C20" s="6" t="s">
        <v>37</v>
      </c>
      <c r="D20" s="8">
        <v>87.2</v>
      </c>
      <c r="E20" s="8">
        <v>84.2</v>
      </c>
      <c r="F20" s="8">
        <v>89.90000000000001</v>
      </c>
      <c r="G20" s="8">
        <v>90.7</v>
      </c>
      <c r="H20" s="12">
        <v>6.5</v>
      </c>
    </row>
    <row r="21" spans="2:8">
      <c r="B21" s="5" t="s">
        <v>14</v>
      </c>
      <c r="C21" s="6" t="s">
        <v>15</v>
      </c>
      <c r="D21" s="8">
        <v>86.5</v>
      </c>
      <c r="E21" s="8">
        <v>85.7</v>
      </c>
      <c r="F21" s="8">
        <v>87.2</v>
      </c>
      <c r="G21" s="8">
        <v>87.2</v>
      </c>
      <c r="H21" s="12">
        <v>1.5</v>
      </c>
    </row>
    <row r="22" spans="2:8">
      <c r="B22" s="5" t="s">
        <v>38</v>
      </c>
      <c r="C22" s="6" t="s">
        <v>39</v>
      </c>
      <c r="D22" s="8">
        <v>86</v>
      </c>
      <c r="E22" s="8">
        <v>82.8</v>
      </c>
      <c r="F22" s="8">
        <v>89</v>
      </c>
      <c r="G22" s="8">
        <v>89.59999999999999</v>
      </c>
      <c r="H22" s="12">
        <v>6.8</v>
      </c>
    </row>
    <row r="23" spans="2:8">
      <c r="B23" s="5" t="s">
        <v>40</v>
      </c>
      <c r="C23" s="6" t="s">
        <v>41</v>
      </c>
      <c r="D23" s="8">
        <v>85.59999999999999</v>
      </c>
      <c r="E23" s="8">
        <v>81.90000000000001</v>
      </c>
      <c r="F23" s="8">
        <v>88.7</v>
      </c>
      <c r="G23" s="8">
        <v>90.2</v>
      </c>
      <c r="H23" s="12">
        <v>8.300000000000001</v>
      </c>
    </row>
    <row r="24" spans="2:8">
      <c r="B24" s="5" t="s">
        <v>42</v>
      </c>
      <c r="C24" s="6" t="s">
        <v>43</v>
      </c>
      <c r="D24" s="8">
        <v>85.40000000000001</v>
      </c>
      <c r="E24" s="8">
        <v>81.8</v>
      </c>
      <c r="F24" s="8">
        <v>89.40000000000001</v>
      </c>
      <c r="G24" s="8">
        <v>88</v>
      </c>
      <c r="H24" s="12">
        <v>7.6</v>
      </c>
    </row>
    <row r="25" spans="2:8">
      <c r="B25" s="5" t="s">
        <v>16</v>
      </c>
      <c r="C25" s="6" t="s">
        <v>17</v>
      </c>
      <c r="D25" s="8">
        <v>84.90000000000001</v>
      </c>
      <c r="E25" s="8">
        <v>83</v>
      </c>
      <c r="F25" s="8">
        <v>86</v>
      </c>
      <c r="G25" s="8">
        <v>88.3</v>
      </c>
      <c r="H25" s="12">
        <v>5.3</v>
      </c>
    </row>
    <row r="26" spans="2:8">
      <c r="B26" s="5" t="s">
        <v>19</v>
      </c>
      <c r="C26" s="6" t="s">
        <v>20</v>
      </c>
      <c r="D26" s="8">
        <v>84.59999999999999</v>
      </c>
      <c r="E26" s="8">
        <v>86.8</v>
      </c>
      <c r="F26" s="8">
        <v>84.59999999999999</v>
      </c>
      <c r="G26" s="8">
        <v>75.7</v>
      </c>
      <c r="H26" s="12">
        <v>11.1</v>
      </c>
    </row>
    <row r="27" spans="2:8">
      <c r="B27" s="5" t="s">
        <v>45</v>
      </c>
      <c r="C27" s="6" t="s">
        <v>46</v>
      </c>
      <c r="D27" s="8">
        <v>84.09999999999999</v>
      </c>
      <c r="E27" s="8">
        <v>86.3</v>
      </c>
      <c r="F27" s="8">
        <v>83.59999999999999</v>
      </c>
      <c r="G27" s="8">
        <v>76.5</v>
      </c>
      <c r="H27" s="12">
        <v>9.800000000000001</v>
      </c>
    </row>
    <row r="28" spans="2:8">
      <c r="B28" s="5" t="s">
        <v>47</v>
      </c>
      <c r="C28" s="6" t="s">
        <v>48</v>
      </c>
      <c r="D28" s="8">
        <v>83.40000000000001</v>
      </c>
      <c r="E28" s="8">
        <v>80.90000000000001</v>
      </c>
      <c r="F28" s="8">
        <v>86</v>
      </c>
      <c r="G28" s="8">
        <v>86</v>
      </c>
      <c r="H28" s="12">
        <v>5.1</v>
      </c>
    </row>
    <row r="29" spans="2:8">
      <c r="B29" s="5" t="s">
        <v>49</v>
      </c>
      <c r="C29" s="6" t="s">
        <v>50</v>
      </c>
      <c r="D29" s="8">
        <v>81.7</v>
      </c>
      <c r="E29" s="8">
        <v>84</v>
      </c>
      <c r="F29" s="8">
        <v>79.59999999999999</v>
      </c>
      <c r="G29" s="8">
        <v>79.3</v>
      </c>
      <c r="H29" s="12">
        <v>4.7</v>
      </c>
    </row>
    <row r="30" spans="2:8">
      <c r="B30" s="5" t="s">
        <v>21</v>
      </c>
      <c r="C30" s="6" t="s">
        <v>22</v>
      </c>
      <c r="D30" s="8">
        <v>81.5</v>
      </c>
      <c r="E30" s="8">
        <v>75.90000000000001</v>
      </c>
      <c r="F30" s="8">
        <v>86.8</v>
      </c>
      <c r="G30" s="8">
        <v>87.5</v>
      </c>
      <c r="H30" s="12">
        <v>11.6</v>
      </c>
    </row>
    <row r="31" spans="2:8">
      <c r="B31" s="5" t="s">
        <v>51</v>
      </c>
      <c r="C31" s="6" t="s">
        <v>52</v>
      </c>
      <c r="D31" s="8">
        <v>81</v>
      </c>
      <c r="E31" s="8">
        <v>80</v>
      </c>
      <c r="F31" s="8">
        <v>82</v>
      </c>
      <c r="G31" s="8">
        <v>82</v>
      </c>
      <c r="H31" s="12">
        <v>2</v>
      </c>
    </row>
    <row r="32" spans="2:8">
      <c r="B32" s="5" t="s">
        <v>53</v>
      </c>
      <c r="C32" s="6" t="s">
        <v>54</v>
      </c>
      <c r="D32" s="8">
        <v>80.7</v>
      </c>
      <c r="E32" s="8">
        <v>77.7</v>
      </c>
      <c r="F32" s="8">
        <v>83.7</v>
      </c>
      <c r="G32" s="8">
        <v>84.2</v>
      </c>
      <c r="H32" s="12">
        <v>6.5</v>
      </c>
    </row>
    <row r="33" spans="2:8">
      <c r="B33" s="5" t="s">
        <v>23</v>
      </c>
      <c r="C33" s="6" t="s">
        <v>24</v>
      </c>
      <c r="D33" s="8">
        <v>80.40000000000001</v>
      </c>
      <c r="E33" s="8">
        <v>76.59999999999999</v>
      </c>
      <c r="F33" s="8">
        <v>84.09999999999999</v>
      </c>
      <c r="G33" s="8">
        <v>84.90000000000001</v>
      </c>
      <c r="H33" s="12">
        <v>8.300000000000001</v>
      </c>
    </row>
    <row r="34" spans="2:8">
      <c r="B34" s="5" t="s">
        <v>25</v>
      </c>
      <c r="C34" s="6" t="s">
        <v>26</v>
      </c>
      <c r="D34" s="8">
        <v>80.2</v>
      </c>
      <c r="E34" s="8">
        <v>76.7</v>
      </c>
      <c r="F34" s="8">
        <v>83.5</v>
      </c>
      <c r="G34" s="8">
        <v>83.5</v>
      </c>
      <c r="H34" s="12">
        <v>6.8</v>
      </c>
    </row>
    <row r="35" spans="2:8">
      <c r="B35" s="5" t="s">
        <v>55</v>
      </c>
      <c r="C35" s="6" t="s">
        <v>56</v>
      </c>
      <c r="D35" s="8">
        <v>77.7</v>
      </c>
      <c r="E35" s="8">
        <v>80.7</v>
      </c>
      <c r="F35" s="8">
        <v>76.59999999999999</v>
      </c>
      <c r="G35" s="8">
        <v>69.2</v>
      </c>
      <c r="H35" s="12">
        <v>11.5</v>
      </c>
    </row>
    <row r="36" spans="2:8">
      <c r="B36" s="5" t="s">
        <v>57</v>
      </c>
      <c r="C36" s="6" t="s">
        <v>58</v>
      </c>
      <c r="D36" s="8">
        <v>77.40000000000001</v>
      </c>
      <c r="E36" s="8">
        <v>74.90000000000001</v>
      </c>
      <c r="F36" s="8">
        <v>78.90000000000001</v>
      </c>
      <c r="G36" s="8">
        <v>81.59999999999999</v>
      </c>
      <c r="H36" s="12">
        <v>6.7</v>
      </c>
    </row>
    <row r="37" spans="2:8">
      <c r="B37" s="5" t="s">
        <v>59</v>
      </c>
      <c r="C37" s="6" t="s">
        <v>60</v>
      </c>
      <c r="D37" s="8">
        <v>77.2</v>
      </c>
      <c r="E37" s="8">
        <v>73.59999999999999</v>
      </c>
      <c r="F37" s="8">
        <v>80.59999999999999</v>
      </c>
      <c r="G37" s="8">
        <v>81.5</v>
      </c>
      <c r="H37" s="12">
        <v>7.9</v>
      </c>
    </row>
  </sheetData>
  <mergeCells count="4">
    <mergeCell ref="B1:H1"/>
    <mergeCell ref="B2:H2"/>
    <mergeCell ref="B4:H4"/>
    <mergeCell ref="B12:H12"/>
  </mergeCells>
  <conditionalFormatting sqref="D14:D37">
    <cfRule type="colorScale" priority="1">
      <colorScale>
        <cfvo type="min" val="0"/>
        <cfvo type="percentile" val="50"/>
        <cfvo type="max" val="0"/>
        <color rgb="FFF4CCCC"/>
        <color rgb="FFFFF2CC"/>
        <color rgb="FFC6EFCE"/>
      </colorScale>
    </cfRule>
  </conditionalFormatting>
  <conditionalFormatting sqref="E14:E37">
    <cfRule type="colorScale" priority="2">
      <colorScale>
        <cfvo type="min" val="0"/>
        <cfvo type="percentile" val="50"/>
        <cfvo type="max" val="0"/>
        <color rgb="FFF4CCCC"/>
        <color rgb="FFFFF2CC"/>
        <color rgb="FFC6EFCE"/>
      </colorScale>
    </cfRule>
  </conditionalFormatting>
  <conditionalFormatting sqref="F14:F37">
    <cfRule type="colorScale" priority="3">
      <colorScale>
        <cfvo type="min" val="0"/>
        <cfvo type="percentile" val="50"/>
        <cfvo type="max" val="0"/>
        <color rgb="FFF4CCCC"/>
        <color rgb="FFFFF2CC"/>
        <color rgb="FFC6EFCE"/>
      </colorScale>
    </cfRule>
  </conditionalFormatting>
  <conditionalFormatting sqref="G14:G37">
    <cfRule type="colorScale" priority="4">
      <colorScale>
        <cfvo type="min" val="0"/>
        <cfvo type="percentile" val="50"/>
        <cfvo type="max" val="0"/>
        <color rgb="FFF4CCCC"/>
        <color rgb="FFFFF2CC"/>
        <color rgb="FFC6EFCE"/>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77"/>
  <sheetViews>
    <sheetView showGridLines="0" workbookViewId="0"/>
  </sheetViews>
  <sheetFormatPr defaultRowHeight="15"/>
  <cols>
    <col min="1" max="1" width="10.7109375" customWidth="1"/>
    <col min="2" max="2" width="22.7109375" customWidth="1"/>
    <col min="3" max="10" width="14.7109375" customWidth="1"/>
  </cols>
  <sheetData>
    <row r="1" spans="1:10">
      <c r="A1" s="1" t="s">
        <v>248</v>
      </c>
      <c r="B1" s="1"/>
      <c r="C1" s="1"/>
      <c r="D1" s="1"/>
      <c r="E1" s="1"/>
      <c r="F1" s="1"/>
      <c r="G1" s="1"/>
      <c r="H1" s="1"/>
      <c r="I1" s="1"/>
      <c r="J1" s="1"/>
    </row>
    <row r="2" spans="1:10">
      <c r="A2" s="2" t="s">
        <v>249</v>
      </c>
      <c r="B2" s="2"/>
      <c r="C2" s="2"/>
      <c r="D2" s="2"/>
      <c r="E2" s="2"/>
      <c r="F2" s="2"/>
      <c r="G2" s="2"/>
      <c r="H2" s="2"/>
      <c r="I2" s="2"/>
      <c r="J2" s="2"/>
    </row>
    <row r="4" spans="1:10">
      <c r="A4" s="3" t="s">
        <v>99</v>
      </c>
      <c r="B4" s="3"/>
      <c r="C4" s="3"/>
      <c r="D4" s="3"/>
      <c r="E4" s="3"/>
      <c r="F4" s="3"/>
      <c r="G4" s="3"/>
      <c r="H4" s="3"/>
      <c r="I4" s="3"/>
      <c r="J4" s="3"/>
    </row>
    <row r="5" spans="1:10">
      <c r="A5" s="5" t="s">
        <v>9</v>
      </c>
      <c r="B5" s="6" t="s">
        <v>250</v>
      </c>
      <c r="C5" s="12">
        <v>4.004</v>
      </c>
      <c r="D5" s="12">
        <v>3.967</v>
      </c>
      <c r="E5" s="12">
        <v>3.581</v>
      </c>
      <c r="F5" s="12">
        <v>3.369</v>
      </c>
      <c r="G5" s="12">
        <v>3.132</v>
      </c>
      <c r="H5" s="12">
        <v>2.7</v>
      </c>
      <c r="I5" s="12">
        <v>3.986</v>
      </c>
      <c r="J5" s="12">
        <v>5.022</v>
      </c>
    </row>
    <row r="6" spans="1:10">
      <c r="B6" s="6" t="s">
        <v>74</v>
      </c>
      <c r="C6" s="15">
        <v>30.6</v>
      </c>
      <c r="D6" s="15">
        <v>42.2</v>
      </c>
      <c r="E6" s="15">
        <v>20.6</v>
      </c>
      <c r="F6" s="15">
        <v>29.7</v>
      </c>
      <c r="G6" s="15">
        <v>18.5</v>
      </c>
      <c r="H6" s="15">
        <v>14.4</v>
      </c>
      <c r="I6" s="15">
        <v>20.9</v>
      </c>
      <c r="J6" s="15">
        <v>34.3</v>
      </c>
    </row>
    <row r="7" spans="1:10">
      <c r="C7" s="4" t="s">
        <v>252</v>
      </c>
    </row>
    <row r="8" spans="1:10">
      <c r="A8" s="5" t="s">
        <v>12</v>
      </c>
      <c r="B8" s="6" t="s">
        <v>250</v>
      </c>
      <c r="C8" s="12">
        <v>15.701</v>
      </c>
      <c r="D8" s="12">
        <v>18.287</v>
      </c>
      <c r="E8" s="12">
        <v>22.481</v>
      </c>
      <c r="F8" s="12">
        <v>21.378</v>
      </c>
      <c r="G8" s="12">
        <v>20.226</v>
      </c>
      <c r="H8" s="12">
        <v>23.818</v>
      </c>
      <c r="I8" s="12">
        <v>33.239</v>
      </c>
      <c r="J8" s="12">
        <v>30.727</v>
      </c>
    </row>
    <row r="9" spans="1:10">
      <c r="B9" s="6" t="s">
        <v>74</v>
      </c>
      <c r="C9" s="15">
        <v>26.4</v>
      </c>
      <c r="D9" s="15">
        <v>51.5</v>
      </c>
      <c r="E9" s="15">
        <v>54.9</v>
      </c>
      <c r="F9" s="15">
        <v>54.8</v>
      </c>
      <c r="G9" s="15">
        <v>43.3</v>
      </c>
      <c r="H9" s="15">
        <v>53.1</v>
      </c>
      <c r="I9" s="15">
        <v>71.59999999999999</v>
      </c>
      <c r="J9" s="15">
        <v>68.3</v>
      </c>
    </row>
    <row r="10" spans="1:10">
      <c r="C10" s="4" t="s">
        <v>253</v>
      </c>
    </row>
    <row r="11" spans="1:10">
      <c r="A11" s="5" t="s">
        <v>14</v>
      </c>
      <c r="B11" s="6" t="s">
        <v>250</v>
      </c>
      <c r="C11" s="12">
        <v>4.461191</v>
      </c>
      <c r="D11" s="12">
        <v>5.323178</v>
      </c>
      <c r="E11" s="12">
        <v>5.476544</v>
      </c>
      <c r="F11" s="12">
        <v>5.055248</v>
      </c>
      <c r="G11" s="12">
        <v>5.209715</v>
      </c>
      <c r="H11" s="12">
        <v>7.017459</v>
      </c>
      <c r="I11" s="12">
        <v>7.064795</v>
      </c>
      <c r="J11" s="12">
        <v>7.271157</v>
      </c>
    </row>
    <row r="12" spans="1:10">
      <c r="B12" s="6" t="s">
        <v>74</v>
      </c>
      <c r="C12" s="15">
        <v>64.90000000000001</v>
      </c>
      <c r="D12" s="15">
        <v>70.2</v>
      </c>
      <c r="E12" s="15">
        <v>73.90000000000001</v>
      </c>
      <c r="F12" s="15">
        <v>65.3</v>
      </c>
      <c r="G12" s="15">
        <v>65.8</v>
      </c>
      <c r="H12" s="15">
        <v>64.09999999999999</v>
      </c>
      <c r="I12" s="15">
        <v>68.3</v>
      </c>
      <c r="J12" s="15">
        <v>67.59999999999999</v>
      </c>
    </row>
    <row r="13" spans="1:10">
      <c r="C13" s="4" t="s">
        <v>252</v>
      </c>
    </row>
    <row r="14" spans="1:10">
      <c r="A14" s="5" t="s">
        <v>16</v>
      </c>
      <c r="B14" s="6" t="s">
        <v>250</v>
      </c>
      <c r="C14" s="12">
        <v>5.898313</v>
      </c>
      <c r="D14" s="12">
        <v>6.186097</v>
      </c>
      <c r="E14" s="12">
        <v>4.727787</v>
      </c>
      <c r="F14" s="12">
        <v>5.63013</v>
      </c>
      <c r="G14" s="12">
        <v>6.075522</v>
      </c>
      <c r="H14" s="12">
        <v>7.27777</v>
      </c>
      <c r="I14" s="12">
        <v>7.29482</v>
      </c>
      <c r="J14" s="12">
        <v>7.183121</v>
      </c>
    </row>
    <row r="15" spans="1:10">
      <c r="B15" s="6" t="s">
        <v>74</v>
      </c>
      <c r="C15" s="15">
        <v>39.8</v>
      </c>
      <c r="D15" s="15">
        <v>41.6</v>
      </c>
      <c r="E15" s="15">
        <v>44</v>
      </c>
      <c r="F15" s="15">
        <v>44.1</v>
      </c>
      <c r="G15" s="15">
        <v>45</v>
      </c>
      <c r="H15" s="15">
        <v>44.3</v>
      </c>
      <c r="I15" s="15">
        <v>33.8</v>
      </c>
      <c r="J15" s="15">
        <v>30.4</v>
      </c>
    </row>
    <row r="16" spans="1:10">
      <c r="C16" s="4" t="s">
        <v>254</v>
      </c>
    </row>
    <row r="17" spans="1:10">
      <c r="A17" s="5" t="s">
        <v>19</v>
      </c>
      <c r="B17" s="6" t="s">
        <v>250</v>
      </c>
      <c r="C17" s="12">
        <v>12.254093</v>
      </c>
      <c r="D17" s="12">
        <v>12.065211</v>
      </c>
      <c r="E17" s="12">
        <v>11.617856</v>
      </c>
      <c r="F17" s="12">
        <v>3.8861</v>
      </c>
      <c r="G17" s="12">
        <v>10.564834</v>
      </c>
      <c r="H17" s="12">
        <v>15.561154</v>
      </c>
      <c r="I17" s="12">
        <v>9.91835</v>
      </c>
      <c r="J17" s="12">
        <v>11.603472</v>
      </c>
    </row>
    <row r="18" spans="1:10">
      <c r="B18" s="6" t="s">
        <v>74</v>
      </c>
      <c r="C18" s="15">
        <v>46.9</v>
      </c>
      <c r="D18" s="15">
        <v>48.8</v>
      </c>
      <c r="E18" s="15">
        <v>47.4</v>
      </c>
      <c r="F18" s="15">
        <v>100</v>
      </c>
      <c r="G18" s="15">
        <v>42.9</v>
      </c>
      <c r="H18" s="15">
        <v>48.6</v>
      </c>
      <c r="I18" s="15">
        <v>44.8</v>
      </c>
      <c r="J18" s="15">
        <v>47</v>
      </c>
    </row>
    <row r="19" spans="1:10">
      <c r="C19" s="4" t="s">
        <v>253</v>
      </c>
    </row>
    <row r="20" spans="1:10">
      <c r="A20" s="5" t="s">
        <v>21</v>
      </c>
      <c r="B20" s="6" t="s">
        <v>250</v>
      </c>
      <c r="C20" s="12">
        <v>13.458</v>
      </c>
      <c r="D20" s="12">
        <v>16.11</v>
      </c>
      <c r="E20" s="12">
        <v>16.836</v>
      </c>
      <c r="F20" s="12">
        <v>18.453</v>
      </c>
      <c r="G20" s="12">
        <v>19.2</v>
      </c>
      <c r="H20" s="12">
        <v>18.91</v>
      </c>
      <c r="I20" s="12">
        <v>19.79</v>
      </c>
      <c r="J20" s="12">
        <v>22.686</v>
      </c>
    </row>
    <row r="21" spans="1:10">
      <c r="B21" s="6" t="s">
        <v>74</v>
      </c>
      <c r="C21" s="15">
        <v>18.8</v>
      </c>
      <c r="D21" s="15">
        <v>26</v>
      </c>
      <c r="E21" s="15">
        <v>25.6</v>
      </c>
      <c r="F21" s="15">
        <v>27.4</v>
      </c>
      <c r="G21" s="15">
        <v>26.2</v>
      </c>
      <c r="H21" s="15">
        <v>27.9</v>
      </c>
      <c r="I21" s="15">
        <v>30.1</v>
      </c>
      <c r="J21" s="15">
        <v>36.8</v>
      </c>
    </row>
    <row r="22" spans="1:10">
      <c r="C22" s="4" t="s">
        <v>255</v>
      </c>
    </row>
    <row r="23" spans="1:10">
      <c r="A23" s="5" t="s">
        <v>23</v>
      </c>
      <c r="B23" s="6" t="s">
        <v>250</v>
      </c>
      <c r="C23" s="12">
        <v>14.43</v>
      </c>
      <c r="D23" s="12">
        <v>10.636</v>
      </c>
      <c r="E23" s="12">
        <v>12.093</v>
      </c>
      <c r="F23" s="12">
        <v>13.243</v>
      </c>
      <c r="G23" s="12">
        <v>13.138</v>
      </c>
      <c r="H23" s="12">
        <v>13.201</v>
      </c>
      <c r="I23" s="12">
        <v>14.06</v>
      </c>
      <c r="J23" s="12">
        <v>14.803</v>
      </c>
    </row>
    <row r="24" spans="1:10">
      <c r="B24" s="6" t="s">
        <v>74</v>
      </c>
      <c r="C24" s="15">
        <v>56.5</v>
      </c>
      <c r="D24" s="15">
        <v>49</v>
      </c>
      <c r="E24" s="15">
        <v>49.2</v>
      </c>
      <c r="F24" s="15">
        <v>51.3</v>
      </c>
      <c r="G24" s="15">
        <v>51.4</v>
      </c>
      <c r="H24" s="15">
        <v>51.3</v>
      </c>
      <c r="I24" s="15">
        <v>51.3</v>
      </c>
      <c r="J24" s="15">
        <v>50.8</v>
      </c>
    </row>
    <row r="25" spans="1:10">
      <c r="C25" s="4" t="s">
        <v>252</v>
      </c>
    </row>
    <row r="26" spans="1:10">
      <c r="A26" s="5" t="s">
        <v>25</v>
      </c>
      <c r="B26" s="6" t="s">
        <v>250</v>
      </c>
      <c r="C26" s="12">
        <v>22.985981</v>
      </c>
      <c r="D26" s="12">
        <v>20.142156</v>
      </c>
      <c r="E26" s="12">
        <v>14.711826</v>
      </c>
      <c r="F26" s="12">
        <v>19.657905</v>
      </c>
      <c r="G26" s="12">
        <v>18.64775</v>
      </c>
      <c r="H26" s="12">
        <v>8.783695</v>
      </c>
      <c r="I26" s="12">
        <v>18.10193</v>
      </c>
      <c r="J26" s="12">
        <v>23.896448</v>
      </c>
    </row>
    <row r="27" spans="1:10">
      <c r="B27" s="6" t="s">
        <v>74</v>
      </c>
      <c r="C27" s="15">
        <v>138.1</v>
      </c>
      <c r="D27" s="15">
        <v>30.7</v>
      </c>
      <c r="E27" s="15">
        <v>29.8</v>
      </c>
      <c r="F27" s="15">
        <v>50.2</v>
      </c>
      <c r="G27" s="15">
        <v>61.3</v>
      </c>
      <c r="H27" s="15">
        <v>45.5</v>
      </c>
      <c r="I27" s="15">
        <v>59.8</v>
      </c>
      <c r="J27" s="15">
        <v>57.9</v>
      </c>
    </row>
    <row r="29" spans="1:10">
      <c r="A29" s="3" t="s">
        <v>111</v>
      </c>
      <c r="B29" s="3"/>
      <c r="C29" s="4" t="s">
        <v>255</v>
      </c>
      <c r="D29" s="3"/>
      <c r="E29" s="3"/>
      <c r="F29" s="3"/>
      <c r="G29" s="3"/>
      <c r="H29" s="3"/>
      <c r="I29" s="3"/>
      <c r="J29" s="3"/>
    </row>
    <row r="30" spans="1:10">
      <c r="A30" s="5" t="s">
        <v>28</v>
      </c>
      <c r="B30" s="6" t="s">
        <v>250</v>
      </c>
      <c r="C30" s="12">
        <v>104.322</v>
      </c>
      <c r="D30" s="12">
        <v>102.059</v>
      </c>
      <c r="E30" s="12">
        <v>100.529</v>
      </c>
      <c r="F30" s="12">
        <v>137.799</v>
      </c>
      <c r="G30" s="12">
        <v>230.307</v>
      </c>
      <c r="H30" s="12">
        <v>226.038</v>
      </c>
      <c r="I30" s="12">
        <v>223.585</v>
      </c>
      <c r="J30" s="12">
        <v>230.561</v>
      </c>
    </row>
    <row r="31" spans="1:10">
      <c r="B31" s="6" t="s">
        <v>74</v>
      </c>
      <c r="C31" s="15">
        <v>67.7</v>
      </c>
      <c r="D31" s="15">
        <v>65.40000000000001</v>
      </c>
      <c r="E31" s="15">
        <v>66</v>
      </c>
      <c r="F31" s="15">
        <v>54</v>
      </c>
      <c r="G31" s="15">
        <v>59.2</v>
      </c>
      <c r="H31" s="15">
        <v>47.3</v>
      </c>
      <c r="I31" s="15">
        <v>59</v>
      </c>
      <c r="J31" s="15">
        <v>70.5</v>
      </c>
    </row>
    <row r="32" spans="1:10">
      <c r="C32" s="4" t="s">
        <v>255</v>
      </c>
    </row>
    <row r="33" spans="1:10">
      <c r="A33" s="5" t="s">
        <v>30</v>
      </c>
      <c r="B33" s="6" t="s">
        <v>250</v>
      </c>
      <c r="C33" s="12">
        <v>95.26900000000001</v>
      </c>
      <c r="D33" s="12">
        <v>91.98999999999999</v>
      </c>
      <c r="E33" s="12">
        <v>81.102</v>
      </c>
      <c r="F33" s="12">
        <v>92.167</v>
      </c>
      <c r="G33" s="12">
        <v>95.93300000000001</v>
      </c>
      <c r="H33" s="12">
        <v>108.813</v>
      </c>
      <c r="I33" s="12">
        <v>126.459</v>
      </c>
      <c r="J33" s="12">
        <v>136.436</v>
      </c>
    </row>
    <row r="34" spans="1:10">
      <c r="B34" s="6" t="s">
        <v>74</v>
      </c>
      <c r="C34" s="15">
        <v>51.1</v>
      </c>
      <c r="D34" s="15">
        <v>53.9</v>
      </c>
      <c r="E34" s="15">
        <v>53.6</v>
      </c>
      <c r="F34" s="15">
        <v>55</v>
      </c>
      <c r="G34" s="15">
        <v>55.5</v>
      </c>
      <c r="H34" s="15">
        <v>56</v>
      </c>
      <c r="I34" s="15">
        <v>56.6</v>
      </c>
      <c r="J34" s="15">
        <v>57.6</v>
      </c>
    </row>
    <row r="35" spans="1:10">
      <c r="C35" s="4" t="s">
        <v>252</v>
      </c>
    </row>
    <row r="36" spans="1:10">
      <c r="A36" s="5" t="s">
        <v>32</v>
      </c>
      <c r="B36" s="6" t="s">
        <v>250</v>
      </c>
      <c r="C36" s="12">
        <v>124.583</v>
      </c>
      <c r="D36" s="12">
        <v>137.86</v>
      </c>
      <c r="E36" s="12">
        <v>144.309</v>
      </c>
      <c r="F36" s="12">
        <v>109.408</v>
      </c>
      <c r="G36" s="12">
        <v>175.984</v>
      </c>
      <c r="H36" s="12">
        <v>130.106</v>
      </c>
      <c r="I36" s="12">
        <v>157.109</v>
      </c>
      <c r="J36" s="12">
        <v>155.869</v>
      </c>
    </row>
    <row r="37" spans="1:10">
      <c r="B37" s="6" t="s">
        <v>74</v>
      </c>
      <c r="C37" s="15">
        <v>39.9</v>
      </c>
      <c r="D37" s="15">
        <v>41.8</v>
      </c>
      <c r="E37" s="15">
        <v>40.6</v>
      </c>
      <c r="F37" s="15">
        <v>36.6</v>
      </c>
      <c r="G37" s="15">
        <v>43.9</v>
      </c>
      <c r="H37" s="15">
        <v>43.1</v>
      </c>
      <c r="I37" s="15">
        <v>40.9</v>
      </c>
      <c r="J37" s="15">
        <v>41.9</v>
      </c>
    </row>
    <row r="38" spans="1:10">
      <c r="C38" s="4" t="s">
        <v>255</v>
      </c>
    </row>
    <row r="39" spans="1:10">
      <c r="A39" s="5" t="s">
        <v>34</v>
      </c>
      <c r="B39" s="6" t="s">
        <v>250</v>
      </c>
      <c r="C39" s="12">
        <v>226.173</v>
      </c>
      <c r="D39" s="12">
        <v>225.991</v>
      </c>
      <c r="E39" s="12">
        <v>227.704</v>
      </c>
      <c r="F39" s="12">
        <v>242.852</v>
      </c>
      <c r="G39" s="12">
        <v>247.744</v>
      </c>
      <c r="H39" s="12">
        <v>265.068</v>
      </c>
      <c r="I39" s="12">
        <v>279.435</v>
      </c>
      <c r="J39" s="12">
        <v>291.56</v>
      </c>
    </row>
    <row r="40" spans="1:10">
      <c r="B40" s="6" t="s">
        <v>74</v>
      </c>
      <c r="C40" s="15">
        <v>31.1</v>
      </c>
      <c r="D40" s="15">
        <v>36.1</v>
      </c>
      <c r="E40" s="15">
        <v>37.4</v>
      </c>
      <c r="F40" s="15">
        <v>37.6</v>
      </c>
      <c r="G40" s="15">
        <v>38.4</v>
      </c>
      <c r="H40" s="15">
        <v>37.3</v>
      </c>
      <c r="I40" s="15">
        <v>38.3</v>
      </c>
      <c r="J40" s="15">
        <v>39</v>
      </c>
    </row>
    <row r="41" spans="1:10">
      <c r="C41" s="4" t="s">
        <v>251</v>
      </c>
    </row>
    <row r="42" spans="1:10">
      <c r="A42" s="5" t="s">
        <v>36</v>
      </c>
      <c r="B42" s="6" t="s">
        <v>250</v>
      </c>
      <c r="C42" s="12">
        <v>16.333</v>
      </c>
      <c r="D42" s="12">
        <v>13.97</v>
      </c>
      <c r="E42" s="12">
        <v>16.709</v>
      </c>
      <c r="F42" s="12">
        <v>14.408</v>
      </c>
      <c r="G42" s="12">
        <v>16.939</v>
      </c>
      <c r="H42" s="12">
        <v>15.4</v>
      </c>
      <c r="I42" s="12">
        <v>16.381</v>
      </c>
      <c r="J42" s="12">
        <v>17.333</v>
      </c>
    </row>
    <row r="43" spans="1:10">
      <c r="B43" s="6" t="s">
        <v>74</v>
      </c>
      <c r="C43" s="15">
        <v>27.3</v>
      </c>
      <c r="D43" s="15">
        <v>29.3</v>
      </c>
      <c r="E43" s="15">
        <v>28.5</v>
      </c>
      <c r="F43" s="15">
        <v>26.6</v>
      </c>
      <c r="G43" s="15">
        <v>29.3</v>
      </c>
      <c r="H43" s="15">
        <v>30.6</v>
      </c>
      <c r="I43" s="15">
        <v>31.2</v>
      </c>
      <c r="J43" s="15">
        <v>34.1</v>
      </c>
    </row>
    <row r="44" spans="1:10">
      <c r="C44" s="4" t="s">
        <v>252</v>
      </c>
    </row>
    <row r="45" spans="1:10">
      <c r="A45" s="5" t="s">
        <v>38</v>
      </c>
      <c r="B45" s="6" t="s">
        <v>250</v>
      </c>
      <c r="C45" s="12">
        <v>104.575</v>
      </c>
      <c r="D45" s="12">
        <v>81.351</v>
      </c>
      <c r="E45" s="12">
        <v>83.675</v>
      </c>
      <c r="F45" s="12">
        <v>101.388</v>
      </c>
      <c r="G45" s="12">
        <v>113.387</v>
      </c>
      <c r="H45" s="12">
        <v>116.491</v>
      </c>
      <c r="I45" s="12">
        <v>91.339</v>
      </c>
      <c r="J45" s="12">
        <v>123.287</v>
      </c>
    </row>
    <row r="46" spans="1:10">
      <c r="B46" s="6" t="s">
        <v>74</v>
      </c>
      <c r="C46" s="15">
        <v>22</v>
      </c>
      <c r="D46" s="15">
        <v>21.2</v>
      </c>
      <c r="E46" s="15">
        <v>32.5</v>
      </c>
      <c r="F46" s="15">
        <v>33.2</v>
      </c>
      <c r="G46" s="15">
        <v>36.6</v>
      </c>
      <c r="H46" s="15">
        <v>36.9</v>
      </c>
      <c r="I46" s="15">
        <v>34.7</v>
      </c>
      <c r="J46" s="15">
        <v>37.6</v>
      </c>
    </row>
    <row r="47" spans="1:10">
      <c r="C47" s="4" t="s">
        <v>255</v>
      </c>
    </row>
    <row r="48" spans="1:10">
      <c r="A48" s="5" t="s">
        <v>40</v>
      </c>
      <c r="B48" s="6" t="s">
        <v>250</v>
      </c>
      <c r="C48" s="12">
        <v>36.91</v>
      </c>
      <c r="D48" s="12">
        <v>48.793</v>
      </c>
      <c r="E48" s="12">
        <v>46.772</v>
      </c>
      <c r="F48" s="12">
        <v>29.698</v>
      </c>
      <c r="G48" s="12">
        <v>47.168</v>
      </c>
      <c r="H48" s="12">
        <v>49.903</v>
      </c>
      <c r="I48" s="12">
        <v>17.587</v>
      </c>
      <c r="J48" s="12">
        <v>34.341</v>
      </c>
    </row>
    <row r="49" spans="1:10">
      <c r="B49" s="6" t="s">
        <v>74</v>
      </c>
      <c r="C49" s="15">
        <v>7.7</v>
      </c>
      <c r="D49" s="15">
        <v>21.9</v>
      </c>
      <c r="E49" s="15">
        <v>22.8</v>
      </c>
      <c r="F49" s="15">
        <v>29.2</v>
      </c>
      <c r="G49" s="15">
        <v>30.1</v>
      </c>
      <c r="H49" s="15">
        <v>30.5</v>
      </c>
      <c r="I49" s="15">
        <v>73.5</v>
      </c>
      <c r="J49" s="15">
        <v>33.2</v>
      </c>
    </row>
    <row r="50" spans="1:10">
      <c r="C50" s="4" t="s">
        <v>255</v>
      </c>
    </row>
    <row r="51" spans="1:10">
      <c r="A51" s="5" t="s">
        <v>42</v>
      </c>
      <c r="B51" s="6" t="s">
        <v>250</v>
      </c>
      <c r="C51" s="12">
        <v>10.739516</v>
      </c>
      <c r="D51" s="12">
        <v>11.765635</v>
      </c>
      <c r="E51" s="12">
        <v>15.384806</v>
      </c>
      <c r="F51" s="12">
        <v>15.968729</v>
      </c>
      <c r="G51" s="12">
        <v>21.936214</v>
      </c>
      <c r="H51" s="12">
        <v>24.144832</v>
      </c>
      <c r="I51" s="12">
        <v>22.247114</v>
      </c>
      <c r="J51" s="12">
        <v>21.807083</v>
      </c>
    </row>
    <row r="52" spans="1:10">
      <c r="B52" s="6" t="s">
        <v>74</v>
      </c>
      <c r="C52" s="15">
        <v>52</v>
      </c>
      <c r="D52" s="15">
        <v>53.4</v>
      </c>
      <c r="E52" s="15">
        <v>55.4</v>
      </c>
      <c r="F52" s="15">
        <v>41.4</v>
      </c>
      <c r="G52" s="15">
        <v>51.4</v>
      </c>
      <c r="H52" s="15">
        <v>35.5</v>
      </c>
      <c r="I52" s="15">
        <v>63.2</v>
      </c>
      <c r="J52" s="15">
        <v>54.5</v>
      </c>
    </row>
    <row r="54" spans="1:10">
      <c r="A54" s="3" t="s">
        <v>120</v>
      </c>
      <c r="B54" s="3"/>
      <c r="C54" s="4" t="s">
        <v>252</v>
      </c>
      <c r="D54" s="3"/>
      <c r="E54" s="3"/>
      <c r="F54" s="3"/>
      <c r="G54" s="3"/>
      <c r="H54" s="3"/>
      <c r="I54" s="3"/>
      <c r="J54" s="3"/>
    </row>
    <row r="55" spans="1:10">
      <c r="A55" s="5" t="s">
        <v>45</v>
      </c>
      <c r="B55" s="6" t="s">
        <v>250</v>
      </c>
      <c r="C55" s="12">
        <v>923.1</v>
      </c>
      <c r="D55" s="12">
        <v>900.9</v>
      </c>
      <c r="E55" s="12">
        <v>1053.6</v>
      </c>
      <c r="F55" s="12">
        <v>1082.2</v>
      </c>
      <c r="G55" s="12">
        <v>1169.1</v>
      </c>
      <c r="H55" s="12">
        <v>1112.2</v>
      </c>
      <c r="I55" s="12">
        <v>1388.1</v>
      </c>
      <c r="J55" s="12">
        <v>1629.7</v>
      </c>
    </row>
    <row r="56" spans="1:10">
      <c r="B56" s="6" t="s">
        <v>74</v>
      </c>
      <c r="C56" s="15">
        <v>29.6</v>
      </c>
      <c r="D56" s="15">
        <v>25.1</v>
      </c>
      <c r="E56" s="15">
        <v>32.6</v>
      </c>
      <c r="F56" s="15">
        <v>35</v>
      </c>
      <c r="G56" s="15">
        <v>33.7</v>
      </c>
      <c r="H56" s="15">
        <v>37.3</v>
      </c>
      <c r="I56" s="15">
        <v>38.9</v>
      </c>
      <c r="J56" s="15">
        <v>37.8</v>
      </c>
    </row>
    <row r="57" spans="1:10">
      <c r="C57" s="4" t="s">
        <v>256</v>
      </c>
    </row>
    <row r="58" spans="1:10">
      <c r="A58" s="5" t="s">
        <v>47</v>
      </c>
      <c r="B58" s="6" t="s">
        <v>250</v>
      </c>
      <c r="C58" s="12">
        <v>240.581</v>
      </c>
      <c r="D58" s="12">
        <v>166.919</v>
      </c>
      <c r="E58" s="12">
        <v>187.391</v>
      </c>
      <c r="F58" s="12">
        <v>177.872</v>
      </c>
      <c r="G58" s="12">
        <v>192.824</v>
      </c>
      <c r="H58" s="12">
        <v>203.405</v>
      </c>
      <c r="I58" s="12">
        <v>214.294</v>
      </c>
      <c r="J58" s="12">
        <v>229.21</v>
      </c>
    </row>
    <row r="59" spans="1:10">
      <c r="B59" s="6" t="s">
        <v>74</v>
      </c>
      <c r="C59" s="15">
        <v>51.2</v>
      </c>
      <c r="D59" s="15">
        <v>44.8</v>
      </c>
      <c r="E59" s="15">
        <v>45.7</v>
      </c>
      <c r="F59" s="15">
        <v>45.7</v>
      </c>
      <c r="G59" s="15">
        <v>41.4</v>
      </c>
      <c r="H59" s="15">
        <v>44.9</v>
      </c>
      <c r="I59" s="15">
        <v>46.3</v>
      </c>
      <c r="J59" s="15">
        <v>46.7</v>
      </c>
    </row>
    <row r="60" spans="1:10">
      <c r="C60" s="4" t="s">
        <v>255</v>
      </c>
    </row>
    <row r="61" spans="1:10">
      <c r="A61" s="5" t="s">
        <v>49</v>
      </c>
      <c r="B61" s="6" t="s">
        <v>250</v>
      </c>
      <c r="C61" s="12">
        <v>44.527</v>
      </c>
      <c r="D61" s="12">
        <v>50.511</v>
      </c>
      <c r="E61" s="12">
        <v>56.129</v>
      </c>
      <c r="F61" s="12">
        <v>47.381</v>
      </c>
      <c r="G61" s="12">
        <v>51.668</v>
      </c>
      <c r="H61" s="12">
        <v>61.735</v>
      </c>
      <c r="I61" s="12">
        <v>66.742</v>
      </c>
      <c r="J61" s="12">
        <v>81.185</v>
      </c>
    </row>
    <row r="62" spans="1:10">
      <c r="B62" s="6" t="s">
        <v>74</v>
      </c>
      <c r="C62" s="15">
        <v>16.8</v>
      </c>
      <c r="D62" s="15">
        <v>23.5</v>
      </c>
      <c r="E62" s="15">
        <v>22.4</v>
      </c>
      <c r="F62" s="15">
        <v>2.4</v>
      </c>
      <c r="G62" s="15">
        <v>26.7</v>
      </c>
      <c r="H62" s="15">
        <v>29.9</v>
      </c>
      <c r="I62" s="15">
        <v>31.1</v>
      </c>
      <c r="J62" s="15">
        <v>30.7</v>
      </c>
    </row>
    <row r="63" spans="1:10">
      <c r="C63" s="4" t="s">
        <v>252</v>
      </c>
    </row>
    <row r="64" spans="1:10">
      <c r="A64" s="5" t="s">
        <v>51</v>
      </c>
      <c r="B64" s="6" t="s">
        <v>250</v>
      </c>
      <c r="C64" s="12">
        <v>76.99255700000001</v>
      </c>
      <c r="D64" s="12">
        <v>83.006</v>
      </c>
      <c r="E64" s="12">
        <v>85.039</v>
      </c>
      <c r="F64" s="12">
        <v>85.96809500000001</v>
      </c>
      <c r="G64" s="12">
        <v>91.23796900000001</v>
      </c>
      <c r="H64" s="12">
        <v>100.124</v>
      </c>
      <c r="I64" s="12">
        <v>115.097</v>
      </c>
      <c r="J64" s="12">
        <v>121.787</v>
      </c>
    </row>
    <row r="65" spans="1:10">
      <c r="B65" s="6" t="s">
        <v>74</v>
      </c>
      <c r="C65" s="15">
        <v>39</v>
      </c>
      <c r="D65" s="15">
        <v>34.9</v>
      </c>
      <c r="E65" s="15">
        <v>33.2</v>
      </c>
      <c r="F65" s="15">
        <v>39.3</v>
      </c>
      <c r="G65" s="15">
        <v>38.1</v>
      </c>
      <c r="H65" s="15">
        <v>39.4</v>
      </c>
      <c r="I65" s="15">
        <v>40.9</v>
      </c>
      <c r="J65" s="15">
        <v>41</v>
      </c>
    </row>
    <row r="66" spans="1:10">
      <c r="C66" s="4" t="s">
        <v>255</v>
      </c>
    </row>
    <row r="67" spans="1:10">
      <c r="A67" s="5" t="s">
        <v>53</v>
      </c>
      <c r="B67" s="6" t="s">
        <v>250</v>
      </c>
      <c r="C67" s="12">
        <v>122.69</v>
      </c>
      <c r="D67" s="12">
        <v>132.595</v>
      </c>
      <c r="E67" s="12">
        <v>141.698</v>
      </c>
      <c r="F67" s="12">
        <v>148.546</v>
      </c>
      <c r="G67" s="12">
        <v>150.971</v>
      </c>
      <c r="H67" s="12">
        <v>162.547</v>
      </c>
      <c r="I67" s="12">
        <v>180.715</v>
      </c>
      <c r="J67" s="12">
        <v>192.398</v>
      </c>
    </row>
    <row r="68" spans="1:10">
      <c r="B68" s="6" t="s">
        <v>74</v>
      </c>
      <c r="C68" s="15">
        <v>39</v>
      </c>
      <c r="D68" s="15">
        <v>39.9</v>
      </c>
      <c r="E68" s="15">
        <v>39.4</v>
      </c>
      <c r="F68" s="15">
        <v>39.7</v>
      </c>
      <c r="G68" s="15">
        <v>37.3</v>
      </c>
      <c r="H68" s="15">
        <v>40.1</v>
      </c>
      <c r="I68" s="15">
        <v>39.9</v>
      </c>
      <c r="J68" s="15">
        <v>39.1</v>
      </c>
    </row>
    <row r="69" spans="1:10">
      <c r="C69" s="4" t="s">
        <v>255</v>
      </c>
    </row>
    <row r="70" spans="1:10">
      <c r="A70" s="5" t="s">
        <v>55</v>
      </c>
      <c r="B70" s="6" t="s">
        <v>250</v>
      </c>
      <c r="C70" s="12">
        <v>458.188</v>
      </c>
      <c r="D70" s="12">
        <v>523.866</v>
      </c>
      <c r="E70" s="12">
        <v>537.173</v>
      </c>
      <c r="F70" s="12">
        <v>518.492</v>
      </c>
      <c r="G70" s="12">
        <v>504.271</v>
      </c>
      <c r="H70" s="12">
        <v>569.336</v>
      </c>
      <c r="I70" s="12">
        <v>724.557</v>
      </c>
      <c r="J70" s="12">
        <v>1158.833</v>
      </c>
    </row>
    <row r="71" spans="1:10">
      <c r="B71" s="6" t="s">
        <v>74</v>
      </c>
      <c r="C71" s="15">
        <v>7.1</v>
      </c>
      <c r="D71" s="15">
        <v>18.1</v>
      </c>
      <c r="E71" s="15">
        <v>19.3</v>
      </c>
      <c r="F71" s="15">
        <v>18.8</v>
      </c>
      <c r="G71" s="15">
        <v>19.6</v>
      </c>
      <c r="H71" s="15">
        <v>16.6</v>
      </c>
      <c r="I71" s="15">
        <v>33.6</v>
      </c>
      <c r="J71" s="15">
        <v>35.3</v>
      </c>
    </row>
    <row r="72" spans="1:10">
      <c r="C72" s="4" t="s">
        <v>257</v>
      </c>
    </row>
    <row r="73" spans="1:10">
      <c r="A73" s="5" t="s">
        <v>57</v>
      </c>
      <c r="B73" s="6" t="s">
        <v>250</v>
      </c>
      <c r="C73" s="12">
        <v>930.303</v>
      </c>
      <c r="D73" s="12">
        <v>904.735</v>
      </c>
      <c r="E73" s="12">
        <v>919.395</v>
      </c>
      <c r="F73" s="12">
        <v>910.3150000000001</v>
      </c>
      <c r="G73" s="12">
        <v>934.84</v>
      </c>
      <c r="H73" s="12">
        <v>971.3630000000001</v>
      </c>
      <c r="I73" s="12">
        <v>1049.137999</v>
      </c>
      <c r="J73" s="12">
        <v>1100.346</v>
      </c>
    </row>
    <row r="74" spans="1:10">
      <c r="B74" s="6" t="s">
        <v>74</v>
      </c>
      <c r="C74" s="15">
        <v>28.7</v>
      </c>
      <c r="D74" s="15">
        <v>25.5</v>
      </c>
      <c r="E74" s="15">
        <v>28.3</v>
      </c>
      <c r="F74" s="15">
        <v>26.6</v>
      </c>
      <c r="G74" s="15">
        <v>27.4</v>
      </c>
      <c r="H74" s="15">
        <v>27.4</v>
      </c>
      <c r="I74" s="15">
        <v>27.7</v>
      </c>
      <c r="J74" s="15">
        <v>26.7</v>
      </c>
    </row>
    <row r="75" spans="1:10">
      <c r="C75" s="4" t="s">
        <v>255</v>
      </c>
    </row>
    <row r="76" spans="1:10">
      <c r="A76" s="5" t="s">
        <v>59</v>
      </c>
      <c r="B76" s="6" t="s">
        <v>250</v>
      </c>
      <c r="C76" s="12">
        <v>252.009</v>
      </c>
      <c r="D76" s="12">
        <v>257.645</v>
      </c>
      <c r="E76" s="12">
        <v>233.143</v>
      </c>
      <c r="F76" s="12">
        <v>234.337</v>
      </c>
      <c r="G76" s="12">
        <v>227.793</v>
      </c>
      <c r="H76" s="12">
        <v>250.721</v>
      </c>
      <c r="I76" s="12">
        <v>250.792</v>
      </c>
      <c r="J76" s="12">
        <v>274.471</v>
      </c>
    </row>
    <row r="77" spans="1:10">
      <c r="B77" s="6" t="s">
        <v>74</v>
      </c>
      <c r="C77" s="15">
        <v>38.7</v>
      </c>
      <c r="D77" s="15">
        <v>37.3</v>
      </c>
      <c r="E77" s="15">
        <v>23.2</v>
      </c>
      <c r="F77" s="15">
        <v>38.6</v>
      </c>
      <c r="G77" s="15">
        <v>39.4</v>
      </c>
      <c r="H77" s="15">
        <v>37.3</v>
      </c>
      <c r="I77" s="15">
        <v>39.5</v>
      </c>
      <c r="J77" s="15">
        <v>36.1</v>
      </c>
    </row>
  </sheetData>
  <mergeCells count="5">
    <mergeCell ref="A1:J1"/>
    <mergeCell ref="A2:J2"/>
    <mergeCell ref="A4:J4"/>
    <mergeCell ref="A29:J29"/>
    <mergeCell ref="A54:J54"/>
  </mergeCells>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14:colorSeries theme="1"/>
          <x14:colorNegative theme="9"/>
          <x14:colorAxis rgb="FF000000"/>
          <x14:colorMarkers theme="8"/>
          <x14:colorFirst theme="4"/>
          <x14:colorLast theme="5"/>
          <x14:colorHigh theme="6"/>
          <x14:colorLow theme="7"/>
          <x14:sparklines>
            <x14:sparkline>
              <xm:f>'Revenue Trends'!C76:J76</xm:f>
              <xm:sqref>K76</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Trends'!C73:J73</xm:f>
              <xm:sqref>K73</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Trends'!C70:J70</xm:f>
              <xm:sqref>K70</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Trends'!C67:J67</xm:f>
              <xm:sqref>K67</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Trends'!C64:J64</xm:f>
              <xm:sqref>K64</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Trends'!C61:J61</xm:f>
              <xm:sqref>K61</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Trends'!C58:J58</xm:f>
              <xm:sqref>K58</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Trends'!C55:J55</xm:f>
              <xm:sqref>K55</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Trends'!C51:J51</xm:f>
              <xm:sqref>K51</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Trends'!C48:J48</xm:f>
              <xm:sqref>K48</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Trends'!C45:J45</xm:f>
              <xm:sqref>K45</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Trends'!C42:J42</xm:f>
              <xm:sqref>K42</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Trends'!C39:J39</xm:f>
              <xm:sqref>K39</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Trends'!C36:J36</xm:f>
              <xm:sqref>K36</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Trends'!C33:J33</xm:f>
              <xm:sqref>K33</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Trends'!C30:J30</xm:f>
              <xm:sqref>K30</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Trends'!C26:J26</xm:f>
              <xm:sqref>K26</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Trends'!C23:J23</xm:f>
              <xm:sqref>K23</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Trends'!C20:J20</xm:f>
              <xm:sqref>K20</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Trends'!C17:J17</xm:f>
              <xm:sqref>K17</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Trends'!C14:J14</xm:f>
              <xm:sqref>K14</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Trends'!C11:J11</xm:f>
              <xm:sqref>K11</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Trends'!C8:J8</xm:f>
              <xm:sqref>K8</xm:sqref>
            </x14:sparkline>
          </x14:sparklines>
        </x14:sparklineGroup>
        <x14:sparklineGroup type="column" displayEmptyCellsAs="gap">
          <x14:colorSeries theme="1"/>
          <x14:colorNegative theme="9"/>
          <x14:colorAxis rgb="FF000000"/>
          <x14:colorMarkers theme="8"/>
          <x14:colorFirst theme="4"/>
          <x14:colorLast theme="5"/>
          <x14:colorHigh theme="6"/>
          <x14:colorLow theme="7"/>
          <x14:sparklines>
            <x14:sparkline>
              <xm:f>'Revenue Trends'!C5:J5</xm:f>
              <xm:sqref>K5</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dimension ref="A1:H14"/>
  <sheetViews>
    <sheetView showGridLines="0" workbookViewId="0"/>
  </sheetViews>
  <sheetFormatPr defaultRowHeight="15"/>
  <cols>
    <col min="1" max="1" width="8.7109375" customWidth="1"/>
    <col min="2" max="2" width="28.7109375" customWidth="1"/>
    <col min="3" max="8" width="16.7109375" customWidth="1"/>
  </cols>
  <sheetData>
    <row r="1" spans="1:8">
      <c r="A1" s="1" t="s">
        <v>258</v>
      </c>
      <c r="B1" s="1"/>
      <c r="C1" s="1"/>
      <c r="D1" s="1"/>
      <c r="E1" s="1"/>
      <c r="F1" s="1"/>
      <c r="G1" s="1"/>
      <c r="H1" s="1"/>
    </row>
    <row r="2" spans="1:8">
      <c r="A2" s="2" t="s">
        <v>259</v>
      </c>
      <c r="B2" s="2"/>
      <c r="C2" s="2"/>
      <c r="D2" s="2"/>
      <c r="E2" s="2"/>
      <c r="F2" s="2"/>
      <c r="G2" s="2"/>
      <c r="H2" s="2"/>
    </row>
    <row r="4" spans="1:8">
      <c r="A4" s="13" t="s">
        <v>3</v>
      </c>
      <c r="B4" s="13" t="s">
        <v>260</v>
      </c>
      <c r="C4" s="13" t="s">
        <v>261</v>
      </c>
      <c r="D4" s="4" t="s">
        <v>262</v>
      </c>
      <c r="E4" s="4" t="s">
        <v>72</v>
      </c>
      <c r="F4" s="4" t="s">
        <v>74</v>
      </c>
      <c r="G4" s="4" t="s">
        <v>76</v>
      </c>
      <c r="H4" s="4" t="s">
        <v>75</v>
      </c>
    </row>
    <row r="5" spans="1:8">
      <c r="A5" s="5" t="s">
        <v>263</v>
      </c>
      <c r="B5" s="6" t="s">
        <v>264</v>
      </c>
      <c r="C5" s="6" t="s">
        <v>265</v>
      </c>
      <c r="D5" s="11">
        <v>2017</v>
      </c>
      <c r="E5" s="15">
        <v>38</v>
      </c>
      <c r="F5" s="15">
        <v>44</v>
      </c>
      <c r="G5" s="15">
        <v>8</v>
      </c>
      <c r="H5" s="15">
        <v>4</v>
      </c>
    </row>
    <row r="6" spans="1:8">
      <c r="A6" s="5" t="s">
        <v>266</v>
      </c>
      <c r="B6" s="6" t="s">
        <v>267</v>
      </c>
      <c r="C6" s="6" t="s">
        <v>268</v>
      </c>
      <c r="D6" s="11">
        <v>2016</v>
      </c>
      <c r="E6" s="15">
        <v>22</v>
      </c>
      <c r="F6" s="15">
        <v>50</v>
      </c>
      <c r="G6" s="15">
        <v>12</v>
      </c>
      <c r="H6" s="15">
        <v>6</v>
      </c>
    </row>
    <row r="7" spans="1:8">
      <c r="A7" s="5" t="s">
        <v>269</v>
      </c>
      <c r="B7" s="6" t="s">
        <v>270</v>
      </c>
      <c r="C7" s="6" t="s">
        <v>271</v>
      </c>
      <c r="D7" s="11">
        <v>2017</v>
      </c>
      <c r="E7" s="15">
        <v>95</v>
      </c>
      <c r="F7" s="15">
        <v>38</v>
      </c>
      <c r="G7" s="15">
        <v>20</v>
      </c>
      <c r="H7" s="15">
        <v>3</v>
      </c>
    </row>
    <row r="8" spans="1:8">
      <c r="A8" s="5" t="s">
        <v>272</v>
      </c>
      <c r="B8" s="6" t="s">
        <v>273</v>
      </c>
      <c r="C8" s="6" t="s">
        <v>274</v>
      </c>
      <c r="D8" s="11">
        <v>2019</v>
      </c>
      <c r="E8" s="15">
        <v>18</v>
      </c>
      <c r="F8" s="15">
        <v>25</v>
      </c>
      <c r="G8" s="15">
        <v>5</v>
      </c>
      <c r="H8" s="15">
        <v>8</v>
      </c>
    </row>
    <row r="9" spans="1:8">
      <c r="A9" s="5" t="s">
        <v>275</v>
      </c>
      <c r="B9" s="6" t="s">
        <v>276</v>
      </c>
      <c r="C9" s="6" t="s">
        <v>277</v>
      </c>
      <c r="D9" s="11">
        <v>2023</v>
      </c>
      <c r="E9" s="15">
        <v>55</v>
      </c>
      <c r="F9" s="15">
        <v>28</v>
      </c>
      <c r="G9" s="15">
        <v>30</v>
      </c>
      <c r="H9" s="15">
        <v>15</v>
      </c>
    </row>
    <row r="10" spans="1:8">
      <c r="A10" s="5" t="s">
        <v>278</v>
      </c>
      <c r="B10" s="6" t="s">
        <v>279</v>
      </c>
      <c r="C10" s="6" t="s">
        <v>280</v>
      </c>
      <c r="D10" s="11">
        <v>2021</v>
      </c>
      <c r="E10" s="15">
        <v>12</v>
      </c>
      <c r="F10" s="15">
        <v>35</v>
      </c>
      <c r="G10" s="15">
        <v>6</v>
      </c>
      <c r="H10" s="15">
        <v>25</v>
      </c>
    </row>
    <row r="12" spans="1:8">
      <c r="A12" s="3" t="s">
        <v>281</v>
      </c>
      <c r="B12" s="3"/>
      <c r="C12" s="3"/>
      <c r="D12" s="3"/>
      <c r="E12" s="3"/>
      <c r="F12" s="3"/>
      <c r="G12" s="3"/>
      <c r="H12" s="3"/>
    </row>
    <row r="13" spans="1:8">
      <c r="A13" s="6"/>
      <c r="B13" s="5" t="s">
        <v>282</v>
      </c>
      <c r="E13" s="15">
        <v>12</v>
      </c>
      <c r="F13" s="15">
        <v>25</v>
      </c>
      <c r="G13" s="15">
        <v>5</v>
      </c>
      <c r="H13" s="15">
        <v>3</v>
      </c>
    </row>
    <row r="14" spans="1:8">
      <c r="B14" s="5" t="s">
        <v>283</v>
      </c>
      <c r="E14" s="15">
        <v>95</v>
      </c>
      <c r="F14" s="15">
        <v>50</v>
      </c>
      <c r="G14" s="15">
        <v>30</v>
      </c>
      <c r="H14" s="15">
        <v>25</v>
      </c>
    </row>
  </sheetData>
  <mergeCells count="3">
    <mergeCell ref="A1:H1"/>
    <mergeCell ref="A2:H2"/>
    <mergeCell ref="A12:H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B1:C39"/>
  <sheetViews>
    <sheetView showGridLines="0" workbookViewId="0"/>
  </sheetViews>
  <sheetFormatPr defaultRowHeight="15"/>
  <cols>
    <col min="1" max="1" width="3.7109375" customWidth="1"/>
    <col min="2" max="2" width="25.7109375" customWidth="1"/>
    <col min="3" max="3" width="60.7109375" customWidth="1"/>
  </cols>
  <sheetData>
    <row r="1" spans="2:3">
      <c r="B1" s="1" t="s">
        <v>284</v>
      </c>
      <c r="C1" s="1"/>
    </row>
    <row r="4" spans="2:3">
      <c r="B4" s="3" t="s">
        <v>285</v>
      </c>
    </row>
    <row r="5" spans="2:3">
      <c r="C5" s="6" t="s">
        <v>286</v>
      </c>
    </row>
    <row r="6" spans="2:3">
      <c r="C6" s="6" t="s">
        <v>287</v>
      </c>
    </row>
    <row r="7" spans="2:3">
      <c r="C7" s="6" t="s">
        <v>288</v>
      </c>
    </row>
    <row r="9" spans="2:3">
      <c r="B9" s="3" t="s">
        <v>289</v>
      </c>
    </row>
    <row r="10" spans="2:3">
      <c r="C10" s="6" t="s">
        <v>290</v>
      </c>
    </row>
    <row r="11" spans="2:3">
      <c r="C11" s="6" t="s">
        <v>291</v>
      </c>
    </row>
    <row r="12" spans="2:3">
      <c r="C12" s="6" t="s">
        <v>292</v>
      </c>
    </row>
    <row r="14" spans="2:3">
      <c r="B14" s="3" t="s">
        <v>293</v>
      </c>
    </row>
    <row r="15" spans="2:3">
      <c r="C15" s="6" t="s">
        <v>294</v>
      </c>
    </row>
    <row r="16" spans="2:3">
      <c r="C16" s="6" t="s">
        <v>295</v>
      </c>
    </row>
    <row r="17" spans="2:3">
      <c r="C17" s="6" t="s">
        <v>296</v>
      </c>
    </row>
    <row r="18" spans="2:3">
      <c r="C18" s="6" t="s">
        <v>297</v>
      </c>
    </row>
    <row r="19" spans="2:3">
      <c r="C19" s="6" t="s">
        <v>298</v>
      </c>
    </row>
    <row r="21" spans="2:3">
      <c r="B21" s="3" t="s">
        <v>299</v>
      </c>
    </row>
    <row r="22" spans="2:3">
      <c r="C22" s="6" t="s">
        <v>300</v>
      </c>
    </row>
    <row r="23" spans="2:3">
      <c r="C23" s="6" t="s">
        <v>301</v>
      </c>
    </row>
    <row r="24" spans="2:3">
      <c r="C24" s="6" t="s">
        <v>302</v>
      </c>
    </row>
    <row r="26" spans="2:3">
      <c r="B26" s="3" t="s">
        <v>303</v>
      </c>
    </row>
    <row r="27" spans="2:3">
      <c r="C27" s="6" t="s">
        <v>304</v>
      </c>
    </row>
    <row r="28" spans="2:3">
      <c r="C28" s="6" t="s">
        <v>305</v>
      </c>
    </row>
    <row r="29" spans="2:3">
      <c r="C29" s="6" t="s">
        <v>306</v>
      </c>
    </row>
    <row r="31" spans="2:3">
      <c r="B31" s="3" t="s">
        <v>307</v>
      </c>
    </row>
    <row r="32" spans="2:3">
      <c r="C32" s="6" t="s">
        <v>308</v>
      </c>
    </row>
    <row r="33" spans="2:3">
      <c r="C33" s="6" t="s">
        <v>309</v>
      </c>
    </row>
    <row r="34" spans="2:3">
      <c r="C34" s="6" t="s">
        <v>310</v>
      </c>
    </row>
    <row r="36" spans="2:3">
      <c r="B36" s="3" t="s">
        <v>311</v>
      </c>
    </row>
    <row r="37" spans="2:3">
      <c r="C37" s="6" t="s">
        <v>312</v>
      </c>
    </row>
    <row r="38" spans="2:3">
      <c r="C38" s="6" t="s">
        <v>313</v>
      </c>
    </row>
    <row r="39" spans="2:3">
      <c r="C39" s="6" t="s">
        <v>314</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Executive Summary</vt:lpstr>
      <vt:lpstr>Nano Cap</vt:lpstr>
      <vt:lpstr>Small Cap</vt:lpstr>
      <vt:lpstr>Breakout</vt:lpstr>
      <vt:lpstr>Descriptions</vt:lpstr>
      <vt:lpstr>Standouts</vt:lpstr>
      <vt:lpstr>Recommendations</vt:lpstr>
      <vt:lpstr>Portfolio Construction</vt:lpstr>
      <vt:lpstr>Sensitivity</vt:lpstr>
      <vt:lpstr>Revenue Trends</vt:lpstr>
      <vt:lpstr>Fingerprint Reference</vt:lpstr>
      <vt:lpstr>Methodology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2026-03-05T02:51:38Z</dcterms:created>
  <dcterms:modified xsi:type="dcterms:W3CDTF">2026-03-05T02:51:38Z</dcterms:modified>
</cp:coreProperties>
</file>